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r User\Desktop\"/>
    </mc:Choice>
  </mc:AlternateContent>
  <xr:revisionPtr revIDLastSave="0" documentId="13_ncr:1_{B49DA546-0F51-4496-8151-1F0E651346DD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SalesData" sheetId="1" r:id="rId1"/>
    <sheet name="Sales_Report" sheetId="2" r:id="rId2"/>
    <sheet name="Q2" sheetId="3" r:id="rId3"/>
    <sheet name="Q3" sheetId="4" r:id="rId4"/>
    <sheet name="Q3_PART 2" sheetId="5" r:id="rId5"/>
    <sheet name="Q4" sheetId="6" r:id="rId6"/>
    <sheet name="Q5" sheetId="7" r:id="rId7"/>
    <sheet name="Q6" sheetId="8" r:id="rId8"/>
    <sheet name="Q7" sheetId="9" r:id="rId9"/>
    <sheet name="Q8" sheetId="10" r:id="rId10"/>
    <sheet name="Q9" sheetId="11" r:id="rId11"/>
    <sheet name="Q10" sheetId="12" r:id="rId12"/>
    <sheet name="Q11" sheetId="13" r:id="rId13"/>
    <sheet name="Q12" sheetId="14" r:id="rId14"/>
    <sheet name="Q13" sheetId="15" r:id="rId15"/>
    <sheet name="Q14" sheetId="16" r:id="rId16"/>
  </sheets>
  <definedNames>
    <definedName name="_xlnm._FilterDatabase" localSheetId="3" hidden="1">'Q3'!$A$1:$L$1000</definedName>
    <definedName name="_xlnm._FilterDatabase" localSheetId="4" hidden="1">'Q3_PART 2'!$A$1:$L$1000</definedName>
  </definedNames>
  <calcPr calcId="191029"/>
  <pivotCaches>
    <pivotCache cacheId="4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6" l="1"/>
  <c r="N4" i="16"/>
  <c r="N5" i="16"/>
  <c r="N6" i="16"/>
  <c r="N7" i="16"/>
  <c r="N8" i="16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52" i="16"/>
  <c r="N53" i="16"/>
  <c r="N54" i="16"/>
  <c r="N55" i="16"/>
  <c r="N56" i="16"/>
  <c r="N57" i="16"/>
  <c r="N58" i="16"/>
  <c r="N59" i="16"/>
  <c r="N60" i="16"/>
  <c r="N61" i="16"/>
  <c r="N62" i="16"/>
  <c r="N63" i="16"/>
  <c r="N64" i="16"/>
  <c r="N65" i="16"/>
  <c r="N66" i="16"/>
  <c r="N67" i="16"/>
  <c r="N68" i="16"/>
  <c r="N69" i="16"/>
  <c r="N70" i="16"/>
  <c r="N71" i="16"/>
  <c r="N72" i="16"/>
  <c r="N73" i="16"/>
  <c r="N74" i="16"/>
  <c r="N75" i="16"/>
  <c r="N76" i="16"/>
  <c r="N77" i="16"/>
  <c r="N78" i="16"/>
  <c r="N79" i="16"/>
  <c r="N80" i="16"/>
  <c r="N81" i="16"/>
  <c r="N82" i="16"/>
  <c r="N83" i="16"/>
  <c r="N84" i="16"/>
  <c r="N85" i="16"/>
  <c r="N86" i="16"/>
  <c r="N87" i="16"/>
  <c r="N88" i="16"/>
  <c r="N89" i="16"/>
  <c r="N90" i="16"/>
  <c r="N91" i="16"/>
  <c r="N92" i="16"/>
  <c r="N93" i="16"/>
  <c r="N94" i="16"/>
  <c r="N95" i="16"/>
  <c r="N96" i="16"/>
  <c r="N97" i="16"/>
  <c r="N98" i="16"/>
  <c r="N99" i="16"/>
  <c r="N100" i="16"/>
  <c r="N101" i="16"/>
  <c r="N102" i="16"/>
  <c r="N103" i="16"/>
  <c r="N104" i="16"/>
  <c r="N105" i="16"/>
  <c r="N106" i="16"/>
  <c r="N107" i="16"/>
  <c r="N108" i="16"/>
  <c r="N109" i="16"/>
  <c r="N110" i="16"/>
  <c r="N111" i="16"/>
  <c r="N112" i="16"/>
  <c r="N113" i="16"/>
  <c r="N114" i="16"/>
  <c r="N115" i="16"/>
  <c r="N116" i="16"/>
  <c r="N117" i="16"/>
  <c r="N118" i="16"/>
  <c r="N119" i="16"/>
  <c r="N120" i="16"/>
  <c r="N121" i="16"/>
  <c r="N122" i="16"/>
  <c r="N123" i="16"/>
  <c r="N124" i="16"/>
  <c r="N125" i="16"/>
  <c r="N126" i="16"/>
  <c r="N127" i="16"/>
  <c r="N128" i="16"/>
  <c r="N129" i="16"/>
  <c r="N130" i="16"/>
  <c r="N131" i="16"/>
  <c r="N132" i="16"/>
  <c r="N133" i="16"/>
  <c r="N134" i="16"/>
  <c r="N135" i="16"/>
  <c r="N136" i="16"/>
  <c r="N137" i="16"/>
  <c r="N138" i="16"/>
  <c r="N139" i="16"/>
  <c r="N140" i="16"/>
  <c r="N141" i="16"/>
  <c r="N142" i="16"/>
  <c r="N143" i="16"/>
  <c r="N144" i="16"/>
  <c r="N145" i="16"/>
  <c r="N146" i="16"/>
  <c r="N147" i="16"/>
  <c r="N148" i="16"/>
  <c r="N149" i="16"/>
  <c r="N150" i="16"/>
  <c r="N151" i="16"/>
  <c r="N152" i="16"/>
  <c r="N153" i="16"/>
  <c r="N154" i="16"/>
  <c r="N155" i="16"/>
  <c r="N156" i="16"/>
  <c r="N157" i="16"/>
  <c r="N158" i="16"/>
  <c r="N159" i="16"/>
  <c r="N160" i="16"/>
  <c r="N161" i="16"/>
  <c r="N162" i="16"/>
  <c r="N163" i="16"/>
  <c r="N164" i="16"/>
  <c r="N165" i="16"/>
  <c r="N166" i="16"/>
  <c r="N167" i="16"/>
  <c r="N168" i="16"/>
  <c r="N169" i="16"/>
  <c r="N170" i="16"/>
  <c r="N171" i="16"/>
  <c r="N172" i="16"/>
  <c r="N173" i="16"/>
  <c r="N174" i="16"/>
  <c r="N175" i="16"/>
  <c r="N176" i="16"/>
  <c r="N177" i="16"/>
  <c r="N178" i="16"/>
  <c r="N179" i="16"/>
  <c r="N180" i="16"/>
  <c r="N181" i="16"/>
  <c r="N182" i="16"/>
  <c r="N183" i="16"/>
  <c r="N184" i="16"/>
  <c r="N185" i="16"/>
  <c r="N186" i="16"/>
  <c r="N187" i="16"/>
  <c r="N188" i="16"/>
  <c r="N189" i="16"/>
  <c r="N190" i="16"/>
  <c r="N191" i="16"/>
  <c r="N192" i="16"/>
  <c r="N193" i="16"/>
  <c r="N194" i="16"/>
  <c r="N195" i="16"/>
  <c r="N196" i="16"/>
  <c r="N197" i="16"/>
  <c r="N198" i="16"/>
  <c r="N199" i="16"/>
  <c r="N200" i="16"/>
  <c r="N201" i="16"/>
  <c r="N202" i="16"/>
  <c r="N203" i="16"/>
  <c r="N204" i="16"/>
  <c r="N205" i="16"/>
  <c r="N206" i="16"/>
  <c r="N207" i="16"/>
  <c r="N208" i="16"/>
  <c r="N209" i="16"/>
  <c r="N210" i="16"/>
  <c r="N211" i="16"/>
  <c r="N212" i="16"/>
  <c r="N213" i="16"/>
  <c r="N214" i="16"/>
  <c r="N215" i="16"/>
  <c r="N216" i="16"/>
  <c r="N217" i="16"/>
  <c r="N218" i="16"/>
  <c r="N219" i="16"/>
  <c r="N220" i="16"/>
  <c r="N221" i="16"/>
  <c r="N222" i="16"/>
  <c r="N223" i="16"/>
  <c r="N224" i="16"/>
  <c r="N225" i="16"/>
  <c r="N226" i="16"/>
  <c r="N227" i="16"/>
  <c r="N228" i="16"/>
  <c r="N229" i="16"/>
  <c r="N230" i="16"/>
  <c r="N231" i="16"/>
  <c r="N232" i="16"/>
  <c r="N233" i="16"/>
  <c r="N234" i="16"/>
  <c r="N235" i="16"/>
  <c r="N236" i="16"/>
  <c r="N237" i="16"/>
  <c r="N238" i="16"/>
  <c r="N239" i="16"/>
  <c r="N240" i="16"/>
  <c r="N241" i="16"/>
  <c r="N242" i="16"/>
  <c r="N243" i="16"/>
  <c r="N244" i="16"/>
  <c r="N245" i="16"/>
  <c r="N246" i="16"/>
  <c r="N247" i="16"/>
  <c r="N248" i="16"/>
  <c r="N249" i="16"/>
  <c r="N250" i="16"/>
  <c r="N251" i="16"/>
  <c r="N252" i="16"/>
  <c r="N253" i="16"/>
  <c r="N254" i="16"/>
  <c r="N255" i="16"/>
  <c r="N256" i="16"/>
  <c r="N257" i="16"/>
  <c r="N258" i="16"/>
  <c r="N259" i="16"/>
  <c r="N260" i="16"/>
  <c r="N261" i="16"/>
  <c r="N262" i="16"/>
  <c r="N263" i="16"/>
  <c r="N264" i="16"/>
  <c r="N265" i="16"/>
  <c r="N266" i="16"/>
  <c r="N267" i="16"/>
  <c r="N268" i="16"/>
  <c r="N269" i="16"/>
  <c r="N270" i="16"/>
  <c r="N271" i="16"/>
  <c r="N272" i="16"/>
  <c r="N273" i="16"/>
  <c r="N274" i="16"/>
  <c r="N275" i="16"/>
  <c r="N276" i="16"/>
  <c r="N277" i="16"/>
  <c r="N278" i="16"/>
  <c r="N279" i="16"/>
  <c r="N280" i="16"/>
  <c r="N281" i="16"/>
  <c r="N282" i="16"/>
  <c r="N283" i="16"/>
  <c r="N284" i="16"/>
  <c r="N285" i="16"/>
  <c r="N286" i="16"/>
  <c r="N287" i="16"/>
  <c r="N288" i="16"/>
  <c r="N289" i="16"/>
  <c r="N290" i="16"/>
  <c r="N291" i="16"/>
  <c r="N292" i="16"/>
  <c r="N293" i="16"/>
  <c r="N294" i="16"/>
  <c r="N295" i="16"/>
  <c r="N296" i="16"/>
  <c r="N297" i="16"/>
  <c r="N298" i="16"/>
  <c r="N299" i="16"/>
  <c r="N300" i="16"/>
  <c r="N301" i="16"/>
  <c r="N302" i="16"/>
  <c r="N303" i="16"/>
  <c r="N304" i="16"/>
  <c r="N305" i="16"/>
  <c r="N306" i="16"/>
  <c r="N307" i="16"/>
  <c r="N308" i="16"/>
  <c r="N309" i="16"/>
  <c r="N310" i="16"/>
  <c r="N311" i="16"/>
  <c r="N312" i="16"/>
  <c r="N313" i="16"/>
  <c r="N314" i="16"/>
  <c r="N315" i="16"/>
  <c r="N316" i="16"/>
  <c r="N317" i="16"/>
  <c r="N318" i="16"/>
  <c r="N319" i="16"/>
  <c r="N320" i="16"/>
  <c r="N321" i="16"/>
  <c r="N322" i="16"/>
  <c r="N323" i="16"/>
  <c r="N324" i="16"/>
  <c r="N325" i="16"/>
  <c r="N326" i="16"/>
  <c r="N327" i="16"/>
  <c r="N328" i="16"/>
  <c r="N329" i="16"/>
  <c r="N330" i="16"/>
  <c r="N331" i="16"/>
  <c r="N332" i="16"/>
  <c r="N333" i="16"/>
  <c r="N334" i="16"/>
  <c r="N335" i="16"/>
  <c r="N336" i="16"/>
  <c r="N337" i="16"/>
  <c r="N338" i="16"/>
  <c r="N339" i="16"/>
  <c r="N340" i="16"/>
  <c r="N341" i="16"/>
  <c r="N342" i="16"/>
  <c r="N343" i="16"/>
  <c r="N344" i="16"/>
  <c r="N345" i="16"/>
  <c r="N346" i="16"/>
  <c r="N347" i="16"/>
  <c r="N348" i="16"/>
  <c r="N349" i="16"/>
  <c r="N350" i="16"/>
  <c r="N351" i="16"/>
  <c r="N352" i="16"/>
  <c r="N353" i="16"/>
  <c r="N354" i="16"/>
  <c r="N355" i="16"/>
  <c r="N356" i="16"/>
  <c r="N357" i="16"/>
  <c r="N358" i="16"/>
  <c r="N359" i="16"/>
  <c r="N360" i="16"/>
  <c r="N361" i="16"/>
  <c r="N362" i="16"/>
  <c r="N363" i="16"/>
  <c r="N364" i="16"/>
  <c r="N365" i="16"/>
  <c r="N366" i="16"/>
  <c r="N367" i="16"/>
  <c r="N368" i="16"/>
  <c r="N369" i="16"/>
  <c r="N370" i="16"/>
  <c r="N371" i="16"/>
  <c r="N372" i="16"/>
  <c r="N373" i="16"/>
  <c r="N374" i="16"/>
  <c r="N375" i="16"/>
  <c r="N376" i="16"/>
  <c r="N377" i="16"/>
  <c r="N378" i="16"/>
  <c r="N379" i="16"/>
  <c r="N380" i="16"/>
  <c r="N381" i="16"/>
  <c r="N382" i="16"/>
  <c r="N383" i="16"/>
  <c r="N384" i="16"/>
  <c r="N385" i="16"/>
  <c r="N386" i="16"/>
  <c r="N387" i="16"/>
  <c r="N388" i="16"/>
  <c r="N389" i="16"/>
  <c r="N390" i="16"/>
  <c r="N391" i="16"/>
  <c r="N392" i="16"/>
  <c r="N393" i="16"/>
  <c r="N394" i="16"/>
  <c r="N395" i="16"/>
  <c r="N396" i="16"/>
  <c r="N397" i="16"/>
  <c r="N398" i="16"/>
  <c r="N399" i="16"/>
  <c r="N400" i="16"/>
  <c r="N401" i="16"/>
  <c r="N2" i="16"/>
  <c r="L401" i="16"/>
  <c r="M401" i="16" s="1"/>
  <c r="L400" i="16"/>
  <c r="M400" i="16" s="1"/>
  <c r="L399" i="16"/>
  <c r="M399" i="16" s="1"/>
  <c r="L398" i="16"/>
  <c r="M398" i="16" s="1"/>
  <c r="L397" i="16"/>
  <c r="M397" i="16" s="1"/>
  <c r="L396" i="16"/>
  <c r="M396" i="16" s="1"/>
  <c r="L395" i="16"/>
  <c r="M395" i="16" s="1"/>
  <c r="L394" i="16"/>
  <c r="M394" i="16" s="1"/>
  <c r="L393" i="16"/>
  <c r="M393" i="16" s="1"/>
  <c r="L392" i="16"/>
  <c r="M392" i="16" s="1"/>
  <c r="L391" i="16"/>
  <c r="M391" i="16" s="1"/>
  <c r="L390" i="16"/>
  <c r="M390" i="16" s="1"/>
  <c r="L389" i="16"/>
  <c r="M389" i="16" s="1"/>
  <c r="L388" i="16"/>
  <c r="M388" i="16" s="1"/>
  <c r="L387" i="16"/>
  <c r="M387" i="16" s="1"/>
  <c r="L386" i="16"/>
  <c r="M386" i="16" s="1"/>
  <c r="L385" i="16"/>
  <c r="M385" i="16" s="1"/>
  <c r="L384" i="16"/>
  <c r="M384" i="16" s="1"/>
  <c r="L383" i="16"/>
  <c r="M383" i="16" s="1"/>
  <c r="L382" i="16"/>
  <c r="M382" i="16" s="1"/>
  <c r="L381" i="16"/>
  <c r="M381" i="16" s="1"/>
  <c r="L380" i="16"/>
  <c r="M380" i="16" s="1"/>
  <c r="L379" i="16"/>
  <c r="M379" i="16" s="1"/>
  <c r="L378" i="16"/>
  <c r="M378" i="16" s="1"/>
  <c r="L377" i="16"/>
  <c r="M377" i="16" s="1"/>
  <c r="L376" i="16"/>
  <c r="M376" i="16" s="1"/>
  <c r="L375" i="16"/>
  <c r="M375" i="16" s="1"/>
  <c r="L374" i="16"/>
  <c r="M374" i="16" s="1"/>
  <c r="L373" i="16"/>
  <c r="M373" i="16" s="1"/>
  <c r="L372" i="16"/>
  <c r="M372" i="16" s="1"/>
  <c r="L371" i="16"/>
  <c r="M371" i="16" s="1"/>
  <c r="L370" i="16"/>
  <c r="M370" i="16" s="1"/>
  <c r="L369" i="16"/>
  <c r="M369" i="16" s="1"/>
  <c r="L368" i="16"/>
  <c r="M368" i="16" s="1"/>
  <c r="L367" i="16"/>
  <c r="M367" i="16" s="1"/>
  <c r="L366" i="16"/>
  <c r="M366" i="16" s="1"/>
  <c r="L365" i="16"/>
  <c r="M365" i="16" s="1"/>
  <c r="L364" i="16"/>
  <c r="M364" i="16" s="1"/>
  <c r="L363" i="16"/>
  <c r="M363" i="16" s="1"/>
  <c r="L362" i="16"/>
  <c r="M362" i="16" s="1"/>
  <c r="L361" i="16"/>
  <c r="M361" i="16" s="1"/>
  <c r="L360" i="16"/>
  <c r="M360" i="16" s="1"/>
  <c r="L359" i="16"/>
  <c r="M359" i="16" s="1"/>
  <c r="L358" i="16"/>
  <c r="M358" i="16" s="1"/>
  <c r="L357" i="16"/>
  <c r="M357" i="16" s="1"/>
  <c r="L356" i="16"/>
  <c r="M356" i="16" s="1"/>
  <c r="L355" i="16"/>
  <c r="M355" i="16" s="1"/>
  <c r="L354" i="16"/>
  <c r="M354" i="16" s="1"/>
  <c r="L353" i="16"/>
  <c r="M353" i="16" s="1"/>
  <c r="L352" i="16"/>
  <c r="M352" i="16" s="1"/>
  <c r="L351" i="16"/>
  <c r="M351" i="16" s="1"/>
  <c r="L350" i="16"/>
  <c r="M350" i="16" s="1"/>
  <c r="L349" i="16"/>
  <c r="M349" i="16" s="1"/>
  <c r="L348" i="16"/>
  <c r="M348" i="16" s="1"/>
  <c r="L347" i="16"/>
  <c r="M347" i="16" s="1"/>
  <c r="L346" i="16"/>
  <c r="M346" i="16" s="1"/>
  <c r="L345" i="16"/>
  <c r="M345" i="16" s="1"/>
  <c r="L344" i="16"/>
  <c r="M344" i="16" s="1"/>
  <c r="L343" i="16"/>
  <c r="M343" i="16" s="1"/>
  <c r="L342" i="16"/>
  <c r="M342" i="16" s="1"/>
  <c r="L341" i="16"/>
  <c r="M341" i="16" s="1"/>
  <c r="L340" i="16"/>
  <c r="M340" i="16" s="1"/>
  <c r="L339" i="16"/>
  <c r="M339" i="16" s="1"/>
  <c r="L338" i="16"/>
  <c r="M338" i="16" s="1"/>
  <c r="L337" i="16"/>
  <c r="M337" i="16" s="1"/>
  <c r="L336" i="16"/>
  <c r="M336" i="16" s="1"/>
  <c r="L335" i="16"/>
  <c r="M335" i="16" s="1"/>
  <c r="L334" i="16"/>
  <c r="M334" i="16" s="1"/>
  <c r="L333" i="16"/>
  <c r="M333" i="16" s="1"/>
  <c r="L332" i="16"/>
  <c r="M332" i="16" s="1"/>
  <c r="L331" i="16"/>
  <c r="M331" i="16" s="1"/>
  <c r="L330" i="16"/>
  <c r="M330" i="16" s="1"/>
  <c r="L329" i="16"/>
  <c r="M329" i="16" s="1"/>
  <c r="L328" i="16"/>
  <c r="M328" i="16" s="1"/>
  <c r="L327" i="16"/>
  <c r="M327" i="16" s="1"/>
  <c r="L326" i="16"/>
  <c r="M326" i="16" s="1"/>
  <c r="L325" i="16"/>
  <c r="M325" i="16" s="1"/>
  <c r="L324" i="16"/>
  <c r="M324" i="16" s="1"/>
  <c r="L323" i="16"/>
  <c r="M323" i="16" s="1"/>
  <c r="L322" i="16"/>
  <c r="M322" i="16" s="1"/>
  <c r="L321" i="16"/>
  <c r="M321" i="16" s="1"/>
  <c r="L320" i="16"/>
  <c r="M320" i="16" s="1"/>
  <c r="L319" i="16"/>
  <c r="M319" i="16" s="1"/>
  <c r="L318" i="16"/>
  <c r="M318" i="16" s="1"/>
  <c r="L317" i="16"/>
  <c r="M317" i="16" s="1"/>
  <c r="L316" i="16"/>
  <c r="M316" i="16" s="1"/>
  <c r="L315" i="16"/>
  <c r="M315" i="16" s="1"/>
  <c r="L314" i="16"/>
  <c r="M314" i="16" s="1"/>
  <c r="L313" i="16"/>
  <c r="M313" i="16" s="1"/>
  <c r="L312" i="16"/>
  <c r="M312" i="16" s="1"/>
  <c r="L311" i="16"/>
  <c r="M311" i="16" s="1"/>
  <c r="L310" i="16"/>
  <c r="M310" i="16" s="1"/>
  <c r="L309" i="16"/>
  <c r="M309" i="16" s="1"/>
  <c r="L308" i="16"/>
  <c r="M308" i="16" s="1"/>
  <c r="L307" i="16"/>
  <c r="M307" i="16" s="1"/>
  <c r="L306" i="16"/>
  <c r="M306" i="16" s="1"/>
  <c r="L305" i="16"/>
  <c r="M305" i="16" s="1"/>
  <c r="L304" i="16"/>
  <c r="M304" i="16" s="1"/>
  <c r="L303" i="16"/>
  <c r="M303" i="16" s="1"/>
  <c r="L302" i="16"/>
  <c r="M302" i="16" s="1"/>
  <c r="L301" i="16"/>
  <c r="M301" i="16" s="1"/>
  <c r="L300" i="16"/>
  <c r="M300" i="16" s="1"/>
  <c r="L299" i="16"/>
  <c r="M299" i="16" s="1"/>
  <c r="L298" i="16"/>
  <c r="M298" i="16" s="1"/>
  <c r="L297" i="16"/>
  <c r="M297" i="16" s="1"/>
  <c r="L296" i="16"/>
  <c r="M296" i="16" s="1"/>
  <c r="L295" i="16"/>
  <c r="M295" i="16" s="1"/>
  <c r="L294" i="16"/>
  <c r="M294" i="16" s="1"/>
  <c r="L293" i="16"/>
  <c r="M293" i="16" s="1"/>
  <c r="L292" i="16"/>
  <c r="M292" i="16" s="1"/>
  <c r="L291" i="16"/>
  <c r="M291" i="16" s="1"/>
  <c r="L290" i="16"/>
  <c r="M290" i="16" s="1"/>
  <c r="L289" i="16"/>
  <c r="M289" i="16" s="1"/>
  <c r="L288" i="16"/>
  <c r="M288" i="16" s="1"/>
  <c r="L287" i="16"/>
  <c r="M287" i="16" s="1"/>
  <c r="L286" i="16"/>
  <c r="M286" i="16" s="1"/>
  <c r="L285" i="16"/>
  <c r="M285" i="16" s="1"/>
  <c r="L284" i="16"/>
  <c r="M284" i="16" s="1"/>
  <c r="L283" i="16"/>
  <c r="M283" i="16" s="1"/>
  <c r="L282" i="16"/>
  <c r="M282" i="16" s="1"/>
  <c r="L281" i="16"/>
  <c r="M281" i="16" s="1"/>
  <c r="L280" i="16"/>
  <c r="M280" i="16" s="1"/>
  <c r="L279" i="16"/>
  <c r="M279" i="16" s="1"/>
  <c r="L278" i="16"/>
  <c r="M278" i="16" s="1"/>
  <c r="L277" i="16"/>
  <c r="M277" i="16" s="1"/>
  <c r="L276" i="16"/>
  <c r="M276" i="16" s="1"/>
  <c r="L275" i="16"/>
  <c r="M275" i="16" s="1"/>
  <c r="L274" i="16"/>
  <c r="M274" i="16" s="1"/>
  <c r="L273" i="16"/>
  <c r="M273" i="16" s="1"/>
  <c r="L272" i="16"/>
  <c r="M272" i="16" s="1"/>
  <c r="L271" i="16"/>
  <c r="M271" i="16" s="1"/>
  <c r="L270" i="16"/>
  <c r="M270" i="16" s="1"/>
  <c r="L269" i="16"/>
  <c r="M269" i="16" s="1"/>
  <c r="L268" i="16"/>
  <c r="M268" i="16" s="1"/>
  <c r="L267" i="16"/>
  <c r="M267" i="16" s="1"/>
  <c r="L266" i="16"/>
  <c r="M266" i="16" s="1"/>
  <c r="L265" i="16"/>
  <c r="M265" i="16" s="1"/>
  <c r="L264" i="16"/>
  <c r="M264" i="16" s="1"/>
  <c r="L263" i="16"/>
  <c r="M263" i="16" s="1"/>
  <c r="L262" i="16"/>
  <c r="M262" i="16" s="1"/>
  <c r="L261" i="16"/>
  <c r="M261" i="16" s="1"/>
  <c r="L260" i="16"/>
  <c r="M260" i="16" s="1"/>
  <c r="L259" i="16"/>
  <c r="M259" i="16" s="1"/>
  <c r="L258" i="16"/>
  <c r="M258" i="16" s="1"/>
  <c r="L257" i="16"/>
  <c r="M257" i="16" s="1"/>
  <c r="L256" i="16"/>
  <c r="M256" i="16" s="1"/>
  <c r="L255" i="16"/>
  <c r="M255" i="16" s="1"/>
  <c r="L254" i="16"/>
  <c r="M254" i="16" s="1"/>
  <c r="L253" i="16"/>
  <c r="M253" i="16" s="1"/>
  <c r="L252" i="16"/>
  <c r="M252" i="16" s="1"/>
  <c r="L251" i="16"/>
  <c r="M251" i="16" s="1"/>
  <c r="L250" i="16"/>
  <c r="M250" i="16" s="1"/>
  <c r="L249" i="16"/>
  <c r="M249" i="16" s="1"/>
  <c r="L248" i="16"/>
  <c r="M248" i="16" s="1"/>
  <c r="L247" i="16"/>
  <c r="M247" i="16" s="1"/>
  <c r="L246" i="16"/>
  <c r="M246" i="16" s="1"/>
  <c r="L245" i="16"/>
  <c r="M245" i="16" s="1"/>
  <c r="L244" i="16"/>
  <c r="M244" i="16" s="1"/>
  <c r="L243" i="16"/>
  <c r="M243" i="16" s="1"/>
  <c r="L242" i="16"/>
  <c r="M242" i="16" s="1"/>
  <c r="L241" i="16"/>
  <c r="M241" i="16" s="1"/>
  <c r="L240" i="16"/>
  <c r="M240" i="16" s="1"/>
  <c r="L239" i="16"/>
  <c r="M239" i="16" s="1"/>
  <c r="L238" i="16"/>
  <c r="M238" i="16" s="1"/>
  <c r="L237" i="16"/>
  <c r="M237" i="16" s="1"/>
  <c r="L236" i="16"/>
  <c r="M236" i="16" s="1"/>
  <c r="L235" i="16"/>
  <c r="M235" i="16" s="1"/>
  <c r="L234" i="16"/>
  <c r="M234" i="16" s="1"/>
  <c r="L233" i="16"/>
  <c r="M233" i="16" s="1"/>
  <c r="L232" i="16"/>
  <c r="M232" i="16" s="1"/>
  <c r="L231" i="16"/>
  <c r="M231" i="16" s="1"/>
  <c r="L230" i="16"/>
  <c r="M230" i="16" s="1"/>
  <c r="L229" i="16"/>
  <c r="M229" i="16" s="1"/>
  <c r="L228" i="16"/>
  <c r="M228" i="16" s="1"/>
  <c r="L227" i="16"/>
  <c r="M227" i="16" s="1"/>
  <c r="L226" i="16"/>
  <c r="M226" i="16" s="1"/>
  <c r="L225" i="16"/>
  <c r="M225" i="16" s="1"/>
  <c r="L224" i="16"/>
  <c r="M224" i="16" s="1"/>
  <c r="L223" i="16"/>
  <c r="M223" i="16" s="1"/>
  <c r="L222" i="16"/>
  <c r="M222" i="16" s="1"/>
  <c r="L221" i="16"/>
  <c r="M221" i="16" s="1"/>
  <c r="L220" i="16"/>
  <c r="M220" i="16" s="1"/>
  <c r="L219" i="16"/>
  <c r="M219" i="16" s="1"/>
  <c r="L218" i="16"/>
  <c r="M218" i="16" s="1"/>
  <c r="L217" i="16"/>
  <c r="M217" i="16" s="1"/>
  <c r="L216" i="16"/>
  <c r="M216" i="16" s="1"/>
  <c r="L215" i="16"/>
  <c r="M215" i="16" s="1"/>
  <c r="L214" i="16"/>
  <c r="M214" i="16" s="1"/>
  <c r="L213" i="16"/>
  <c r="M213" i="16" s="1"/>
  <c r="L212" i="16"/>
  <c r="M212" i="16" s="1"/>
  <c r="L211" i="16"/>
  <c r="M211" i="16" s="1"/>
  <c r="L210" i="16"/>
  <c r="M210" i="16" s="1"/>
  <c r="L209" i="16"/>
  <c r="M209" i="16" s="1"/>
  <c r="L208" i="16"/>
  <c r="M208" i="16" s="1"/>
  <c r="L207" i="16"/>
  <c r="M207" i="16" s="1"/>
  <c r="L206" i="16"/>
  <c r="M206" i="16" s="1"/>
  <c r="L205" i="16"/>
  <c r="M205" i="16" s="1"/>
  <c r="L204" i="16"/>
  <c r="M204" i="16" s="1"/>
  <c r="L203" i="16"/>
  <c r="M203" i="16" s="1"/>
  <c r="L202" i="16"/>
  <c r="M202" i="16" s="1"/>
  <c r="L201" i="16"/>
  <c r="M201" i="16" s="1"/>
  <c r="L200" i="16"/>
  <c r="M200" i="16" s="1"/>
  <c r="L199" i="16"/>
  <c r="M199" i="16" s="1"/>
  <c r="L198" i="16"/>
  <c r="M198" i="16" s="1"/>
  <c r="L197" i="16"/>
  <c r="M197" i="16" s="1"/>
  <c r="L196" i="16"/>
  <c r="M196" i="16" s="1"/>
  <c r="L195" i="16"/>
  <c r="M195" i="16" s="1"/>
  <c r="L194" i="16"/>
  <c r="M194" i="16" s="1"/>
  <c r="L193" i="16"/>
  <c r="M193" i="16" s="1"/>
  <c r="L192" i="16"/>
  <c r="M192" i="16" s="1"/>
  <c r="L191" i="16"/>
  <c r="M191" i="16" s="1"/>
  <c r="L190" i="16"/>
  <c r="M190" i="16" s="1"/>
  <c r="L189" i="16"/>
  <c r="M189" i="16" s="1"/>
  <c r="L188" i="16"/>
  <c r="M188" i="16" s="1"/>
  <c r="L187" i="16"/>
  <c r="M187" i="16" s="1"/>
  <c r="L186" i="16"/>
  <c r="M186" i="16" s="1"/>
  <c r="L185" i="16"/>
  <c r="M185" i="16" s="1"/>
  <c r="L184" i="16"/>
  <c r="M184" i="16" s="1"/>
  <c r="L183" i="16"/>
  <c r="M183" i="16" s="1"/>
  <c r="L182" i="16"/>
  <c r="M182" i="16" s="1"/>
  <c r="L181" i="16"/>
  <c r="M181" i="16" s="1"/>
  <c r="L180" i="16"/>
  <c r="M180" i="16" s="1"/>
  <c r="L179" i="16"/>
  <c r="M179" i="16" s="1"/>
  <c r="L178" i="16"/>
  <c r="M178" i="16" s="1"/>
  <c r="L177" i="16"/>
  <c r="M177" i="16" s="1"/>
  <c r="L176" i="16"/>
  <c r="M176" i="16" s="1"/>
  <c r="L175" i="16"/>
  <c r="M175" i="16" s="1"/>
  <c r="L174" i="16"/>
  <c r="M174" i="16" s="1"/>
  <c r="L173" i="16"/>
  <c r="M173" i="16" s="1"/>
  <c r="L172" i="16"/>
  <c r="M172" i="16" s="1"/>
  <c r="L171" i="16"/>
  <c r="M171" i="16" s="1"/>
  <c r="L170" i="16"/>
  <c r="M170" i="16" s="1"/>
  <c r="L169" i="16"/>
  <c r="M169" i="16" s="1"/>
  <c r="L168" i="16"/>
  <c r="M168" i="16" s="1"/>
  <c r="L167" i="16"/>
  <c r="M167" i="16" s="1"/>
  <c r="L166" i="16"/>
  <c r="M166" i="16" s="1"/>
  <c r="L165" i="16"/>
  <c r="M165" i="16" s="1"/>
  <c r="L164" i="16"/>
  <c r="M164" i="16" s="1"/>
  <c r="L163" i="16"/>
  <c r="M163" i="16" s="1"/>
  <c r="L162" i="16"/>
  <c r="M162" i="16" s="1"/>
  <c r="L161" i="16"/>
  <c r="M161" i="16" s="1"/>
  <c r="L160" i="16"/>
  <c r="M160" i="16" s="1"/>
  <c r="L159" i="16"/>
  <c r="M159" i="16" s="1"/>
  <c r="L158" i="16"/>
  <c r="M158" i="16" s="1"/>
  <c r="L157" i="16"/>
  <c r="M157" i="16" s="1"/>
  <c r="L156" i="16"/>
  <c r="M156" i="16" s="1"/>
  <c r="L155" i="16"/>
  <c r="M155" i="16" s="1"/>
  <c r="L154" i="16"/>
  <c r="M154" i="16" s="1"/>
  <c r="L153" i="16"/>
  <c r="M153" i="16" s="1"/>
  <c r="L152" i="16"/>
  <c r="M152" i="16" s="1"/>
  <c r="L151" i="16"/>
  <c r="M151" i="16" s="1"/>
  <c r="L150" i="16"/>
  <c r="M150" i="16" s="1"/>
  <c r="L149" i="16"/>
  <c r="M149" i="16" s="1"/>
  <c r="L148" i="16"/>
  <c r="M148" i="16" s="1"/>
  <c r="L147" i="16"/>
  <c r="M147" i="16" s="1"/>
  <c r="L146" i="16"/>
  <c r="M146" i="16" s="1"/>
  <c r="L145" i="16"/>
  <c r="M145" i="16" s="1"/>
  <c r="L144" i="16"/>
  <c r="M144" i="16" s="1"/>
  <c r="L143" i="16"/>
  <c r="M143" i="16" s="1"/>
  <c r="L142" i="16"/>
  <c r="M142" i="16" s="1"/>
  <c r="L141" i="16"/>
  <c r="M141" i="16" s="1"/>
  <c r="L140" i="16"/>
  <c r="M140" i="16" s="1"/>
  <c r="L139" i="16"/>
  <c r="M139" i="16" s="1"/>
  <c r="L138" i="16"/>
  <c r="M138" i="16" s="1"/>
  <c r="L137" i="16"/>
  <c r="M137" i="16" s="1"/>
  <c r="L136" i="16"/>
  <c r="M136" i="16" s="1"/>
  <c r="L135" i="16"/>
  <c r="M135" i="16" s="1"/>
  <c r="L134" i="16"/>
  <c r="M134" i="16" s="1"/>
  <c r="L133" i="16"/>
  <c r="M133" i="16" s="1"/>
  <c r="L132" i="16"/>
  <c r="M132" i="16" s="1"/>
  <c r="L131" i="16"/>
  <c r="M131" i="16" s="1"/>
  <c r="L130" i="16"/>
  <c r="M130" i="16" s="1"/>
  <c r="L129" i="16"/>
  <c r="M129" i="16" s="1"/>
  <c r="L128" i="16"/>
  <c r="M128" i="16" s="1"/>
  <c r="L127" i="16"/>
  <c r="M127" i="16" s="1"/>
  <c r="L126" i="16"/>
  <c r="M126" i="16" s="1"/>
  <c r="L125" i="16"/>
  <c r="M125" i="16" s="1"/>
  <c r="L124" i="16"/>
  <c r="M124" i="16" s="1"/>
  <c r="L123" i="16"/>
  <c r="M123" i="16" s="1"/>
  <c r="L122" i="16"/>
  <c r="M122" i="16" s="1"/>
  <c r="L121" i="16"/>
  <c r="M121" i="16" s="1"/>
  <c r="L120" i="16"/>
  <c r="M120" i="16" s="1"/>
  <c r="L119" i="16"/>
  <c r="M119" i="16" s="1"/>
  <c r="L118" i="16"/>
  <c r="M118" i="16" s="1"/>
  <c r="L117" i="16"/>
  <c r="M117" i="16" s="1"/>
  <c r="L116" i="16"/>
  <c r="M116" i="16" s="1"/>
  <c r="L115" i="16"/>
  <c r="M115" i="16" s="1"/>
  <c r="L114" i="16"/>
  <c r="M114" i="16" s="1"/>
  <c r="L113" i="16"/>
  <c r="M113" i="16" s="1"/>
  <c r="L112" i="16"/>
  <c r="M112" i="16" s="1"/>
  <c r="L111" i="16"/>
  <c r="M111" i="16" s="1"/>
  <c r="L110" i="16"/>
  <c r="M110" i="16" s="1"/>
  <c r="L109" i="16"/>
  <c r="M109" i="16" s="1"/>
  <c r="L108" i="16"/>
  <c r="M108" i="16" s="1"/>
  <c r="L107" i="16"/>
  <c r="M107" i="16" s="1"/>
  <c r="L106" i="16"/>
  <c r="M106" i="16" s="1"/>
  <c r="L105" i="16"/>
  <c r="M105" i="16" s="1"/>
  <c r="L104" i="16"/>
  <c r="M104" i="16" s="1"/>
  <c r="L103" i="16"/>
  <c r="M103" i="16" s="1"/>
  <c r="L102" i="16"/>
  <c r="M102" i="16" s="1"/>
  <c r="L101" i="16"/>
  <c r="M101" i="16" s="1"/>
  <c r="L100" i="16"/>
  <c r="M100" i="16" s="1"/>
  <c r="L99" i="16"/>
  <c r="M99" i="16" s="1"/>
  <c r="L98" i="16"/>
  <c r="M98" i="16" s="1"/>
  <c r="L97" i="16"/>
  <c r="M97" i="16" s="1"/>
  <c r="L96" i="16"/>
  <c r="M96" i="16" s="1"/>
  <c r="L95" i="16"/>
  <c r="M95" i="16" s="1"/>
  <c r="L94" i="16"/>
  <c r="M94" i="16" s="1"/>
  <c r="L93" i="16"/>
  <c r="M93" i="16" s="1"/>
  <c r="L92" i="16"/>
  <c r="M92" i="16" s="1"/>
  <c r="L91" i="16"/>
  <c r="M91" i="16" s="1"/>
  <c r="L90" i="16"/>
  <c r="M90" i="16" s="1"/>
  <c r="L89" i="16"/>
  <c r="M89" i="16" s="1"/>
  <c r="L88" i="16"/>
  <c r="M88" i="16" s="1"/>
  <c r="L87" i="16"/>
  <c r="M87" i="16" s="1"/>
  <c r="L86" i="16"/>
  <c r="M86" i="16" s="1"/>
  <c r="L85" i="16"/>
  <c r="M85" i="16" s="1"/>
  <c r="L84" i="16"/>
  <c r="M84" i="16" s="1"/>
  <c r="L83" i="16"/>
  <c r="M83" i="16" s="1"/>
  <c r="L82" i="16"/>
  <c r="M82" i="16" s="1"/>
  <c r="L81" i="16"/>
  <c r="M81" i="16" s="1"/>
  <c r="L80" i="16"/>
  <c r="M80" i="16" s="1"/>
  <c r="L79" i="16"/>
  <c r="M79" i="16" s="1"/>
  <c r="L78" i="16"/>
  <c r="M78" i="16" s="1"/>
  <c r="L77" i="16"/>
  <c r="M77" i="16" s="1"/>
  <c r="L76" i="16"/>
  <c r="M76" i="16" s="1"/>
  <c r="L75" i="16"/>
  <c r="M75" i="16" s="1"/>
  <c r="L74" i="16"/>
  <c r="M74" i="16" s="1"/>
  <c r="L73" i="16"/>
  <c r="M73" i="16" s="1"/>
  <c r="L72" i="16"/>
  <c r="M72" i="16" s="1"/>
  <c r="L71" i="16"/>
  <c r="M71" i="16" s="1"/>
  <c r="L70" i="16"/>
  <c r="M70" i="16" s="1"/>
  <c r="L69" i="16"/>
  <c r="M69" i="16" s="1"/>
  <c r="L68" i="16"/>
  <c r="M68" i="16" s="1"/>
  <c r="L67" i="16"/>
  <c r="M67" i="16" s="1"/>
  <c r="L66" i="16"/>
  <c r="M66" i="16" s="1"/>
  <c r="L65" i="16"/>
  <c r="M65" i="16" s="1"/>
  <c r="L64" i="16"/>
  <c r="M64" i="16" s="1"/>
  <c r="L63" i="16"/>
  <c r="M63" i="16" s="1"/>
  <c r="L62" i="16"/>
  <c r="M62" i="16" s="1"/>
  <c r="L61" i="16"/>
  <c r="M61" i="16" s="1"/>
  <c r="L60" i="16"/>
  <c r="M60" i="16" s="1"/>
  <c r="L59" i="16"/>
  <c r="M59" i="16" s="1"/>
  <c r="L58" i="16"/>
  <c r="M58" i="16" s="1"/>
  <c r="L57" i="16"/>
  <c r="M57" i="16" s="1"/>
  <c r="L56" i="16"/>
  <c r="M56" i="16" s="1"/>
  <c r="L55" i="16"/>
  <c r="M55" i="16" s="1"/>
  <c r="L54" i="16"/>
  <c r="M54" i="16" s="1"/>
  <c r="L53" i="16"/>
  <c r="M53" i="16" s="1"/>
  <c r="L52" i="16"/>
  <c r="M52" i="16" s="1"/>
  <c r="L51" i="16"/>
  <c r="M51" i="16" s="1"/>
  <c r="L50" i="16"/>
  <c r="M50" i="16" s="1"/>
  <c r="L49" i="16"/>
  <c r="M49" i="16" s="1"/>
  <c r="L48" i="16"/>
  <c r="M48" i="16" s="1"/>
  <c r="L47" i="16"/>
  <c r="M47" i="16" s="1"/>
  <c r="L46" i="16"/>
  <c r="M46" i="16" s="1"/>
  <c r="L45" i="16"/>
  <c r="M45" i="16" s="1"/>
  <c r="L44" i="16"/>
  <c r="M44" i="16" s="1"/>
  <c r="L43" i="16"/>
  <c r="M43" i="16" s="1"/>
  <c r="L42" i="16"/>
  <c r="M42" i="16" s="1"/>
  <c r="L41" i="16"/>
  <c r="M41" i="16" s="1"/>
  <c r="L40" i="16"/>
  <c r="M40" i="16" s="1"/>
  <c r="L39" i="16"/>
  <c r="M39" i="16" s="1"/>
  <c r="L38" i="16"/>
  <c r="M38" i="16" s="1"/>
  <c r="L37" i="16"/>
  <c r="M37" i="16" s="1"/>
  <c r="L36" i="16"/>
  <c r="M36" i="16" s="1"/>
  <c r="L35" i="16"/>
  <c r="M35" i="16" s="1"/>
  <c r="L34" i="16"/>
  <c r="M34" i="16" s="1"/>
  <c r="L33" i="16"/>
  <c r="M33" i="16" s="1"/>
  <c r="L32" i="16"/>
  <c r="M32" i="16" s="1"/>
  <c r="L31" i="16"/>
  <c r="M31" i="16" s="1"/>
  <c r="L30" i="16"/>
  <c r="M30" i="16" s="1"/>
  <c r="L29" i="16"/>
  <c r="M29" i="16" s="1"/>
  <c r="L28" i="16"/>
  <c r="M28" i="16" s="1"/>
  <c r="L27" i="16"/>
  <c r="M27" i="16" s="1"/>
  <c r="L26" i="16"/>
  <c r="M26" i="16" s="1"/>
  <c r="L25" i="16"/>
  <c r="M25" i="16" s="1"/>
  <c r="L24" i="16"/>
  <c r="M24" i="16" s="1"/>
  <c r="L23" i="16"/>
  <c r="M23" i="16" s="1"/>
  <c r="L22" i="16"/>
  <c r="M22" i="16" s="1"/>
  <c r="L21" i="16"/>
  <c r="M21" i="16" s="1"/>
  <c r="L20" i="16"/>
  <c r="M20" i="16" s="1"/>
  <c r="L19" i="16"/>
  <c r="M19" i="16" s="1"/>
  <c r="L18" i="16"/>
  <c r="M18" i="16" s="1"/>
  <c r="L17" i="16"/>
  <c r="M17" i="16" s="1"/>
  <c r="L16" i="16"/>
  <c r="M16" i="16" s="1"/>
  <c r="L15" i="16"/>
  <c r="M15" i="16" s="1"/>
  <c r="L14" i="16"/>
  <c r="M14" i="16" s="1"/>
  <c r="L13" i="16"/>
  <c r="M13" i="16" s="1"/>
  <c r="L12" i="16"/>
  <c r="M12" i="16" s="1"/>
  <c r="L11" i="16"/>
  <c r="M11" i="16" s="1"/>
  <c r="L10" i="16"/>
  <c r="M10" i="16" s="1"/>
  <c r="L9" i="16"/>
  <c r="M9" i="16" s="1"/>
  <c r="L8" i="16"/>
  <c r="M8" i="16" s="1"/>
  <c r="L7" i="16"/>
  <c r="M7" i="16" s="1"/>
  <c r="L6" i="16"/>
  <c r="M6" i="16" s="1"/>
  <c r="L5" i="16"/>
  <c r="M5" i="16" s="1"/>
  <c r="L4" i="16"/>
  <c r="M4" i="16" s="1"/>
  <c r="L3" i="16"/>
  <c r="M3" i="16" s="1"/>
  <c r="L2" i="16"/>
  <c r="M2" i="16" s="1"/>
  <c r="L401" i="15"/>
  <c r="L400" i="15"/>
  <c r="L399" i="15"/>
  <c r="L398" i="15"/>
  <c r="L397" i="15"/>
  <c r="L396" i="15"/>
  <c r="L395" i="15"/>
  <c r="L394" i="15"/>
  <c r="L393" i="15"/>
  <c r="L392" i="15"/>
  <c r="L391" i="15"/>
  <c r="L390" i="15"/>
  <c r="L389" i="15"/>
  <c r="L388" i="15"/>
  <c r="L387" i="15"/>
  <c r="L386" i="15"/>
  <c r="L385" i="15"/>
  <c r="L384" i="15"/>
  <c r="L383" i="15"/>
  <c r="L382" i="15"/>
  <c r="L381" i="15"/>
  <c r="L380" i="15"/>
  <c r="L379" i="15"/>
  <c r="L378" i="15"/>
  <c r="L377" i="15"/>
  <c r="L376" i="15"/>
  <c r="L375" i="15"/>
  <c r="L374" i="15"/>
  <c r="L373" i="15"/>
  <c r="L372" i="15"/>
  <c r="L371" i="15"/>
  <c r="L370" i="15"/>
  <c r="L369" i="15"/>
  <c r="L368" i="15"/>
  <c r="L367" i="15"/>
  <c r="L366" i="15"/>
  <c r="L365" i="15"/>
  <c r="L364" i="15"/>
  <c r="L363" i="15"/>
  <c r="L362" i="15"/>
  <c r="L361" i="15"/>
  <c r="L360" i="15"/>
  <c r="L359" i="15"/>
  <c r="L358" i="15"/>
  <c r="L357" i="15"/>
  <c r="L356" i="15"/>
  <c r="L355" i="15"/>
  <c r="L354" i="15"/>
  <c r="L353" i="15"/>
  <c r="L352" i="15"/>
  <c r="L351" i="15"/>
  <c r="L350" i="15"/>
  <c r="L349" i="15"/>
  <c r="L348" i="15"/>
  <c r="L347" i="15"/>
  <c r="L346" i="15"/>
  <c r="L345" i="15"/>
  <c r="L344" i="15"/>
  <c r="L343" i="15"/>
  <c r="L342" i="15"/>
  <c r="L341" i="15"/>
  <c r="L340" i="15"/>
  <c r="L339" i="15"/>
  <c r="L338" i="15"/>
  <c r="L337" i="15"/>
  <c r="L336" i="15"/>
  <c r="L335" i="15"/>
  <c r="L334" i="15"/>
  <c r="L333" i="15"/>
  <c r="L332" i="15"/>
  <c r="L331" i="15"/>
  <c r="L330" i="15"/>
  <c r="L329" i="15"/>
  <c r="L328" i="15"/>
  <c r="L327" i="15"/>
  <c r="L326" i="15"/>
  <c r="L325" i="15"/>
  <c r="L324" i="15"/>
  <c r="L323" i="15"/>
  <c r="L322" i="15"/>
  <c r="L321" i="15"/>
  <c r="L320" i="15"/>
  <c r="L319" i="15"/>
  <c r="L318" i="15"/>
  <c r="L317" i="15"/>
  <c r="L316" i="15"/>
  <c r="L315" i="15"/>
  <c r="L314" i="15"/>
  <c r="L313" i="15"/>
  <c r="L312" i="15"/>
  <c r="L311" i="15"/>
  <c r="L310" i="15"/>
  <c r="L309" i="15"/>
  <c r="L308" i="15"/>
  <c r="L307" i="15"/>
  <c r="L306" i="15"/>
  <c r="L305" i="15"/>
  <c r="L304" i="15"/>
  <c r="L303" i="15"/>
  <c r="L302" i="15"/>
  <c r="L301" i="15"/>
  <c r="L300" i="15"/>
  <c r="L299" i="15"/>
  <c r="L298" i="15"/>
  <c r="L297" i="15"/>
  <c r="L296" i="15"/>
  <c r="L295" i="15"/>
  <c r="L294" i="15"/>
  <c r="L293" i="15"/>
  <c r="L292" i="15"/>
  <c r="L291" i="15"/>
  <c r="L290" i="15"/>
  <c r="L289" i="15"/>
  <c r="L288" i="15"/>
  <c r="L287" i="15"/>
  <c r="L286" i="15"/>
  <c r="L285" i="15"/>
  <c r="L284" i="15"/>
  <c r="L283" i="15"/>
  <c r="L282" i="15"/>
  <c r="L281" i="15"/>
  <c r="L280" i="15"/>
  <c r="L279" i="15"/>
  <c r="L278" i="15"/>
  <c r="L277" i="15"/>
  <c r="L276" i="15"/>
  <c r="L275" i="15"/>
  <c r="L274" i="15"/>
  <c r="L273" i="15"/>
  <c r="L272" i="15"/>
  <c r="L271" i="15"/>
  <c r="L270" i="15"/>
  <c r="L269" i="15"/>
  <c r="L268" i="15"/>
  <c r="L267" i="15"/>
  <c r="L266" i="15"/>
  <c r="L265" i="15"/>
  <c r="L264" i="15"/>
  <c r="L263" i="15"/>
  <c r="L262" i="15"/>
  <c r="L261" i="15"/>
  <c r="L260" i="15"/>
  <c r="L259" i="15"/>
  <c r="L258" i="15"/>
  <c r="L257" i="15"/>
  <c r="L256" i="15"/>
  <c r="L255" i="15"/>
  <c r="L254" i="15"/>
  <c r="L253" i="15"/>
  <c r="L252" i="15"/>
  <c r="L251" i="15"/>
  <c r="L250" i="15"/>
  <c r="L249" i="15"/>
  <c r="L248" i="15"/>
  <c r="L247" i="15"/>
  <c r="L246" i="15"/>
  <c r="L245" i="15"/>
  <c r="L244" i="15"/>
  <c r="L243" i="15"/>
  <c r="L242" i="15"/>
  <c r="L241" i="15"/>
  <c r="L240" i="15"/>
  <c r="L239" i="15"/>
  <c r="L238" i="15"/>
  <c r="L237" i="15"/>
  <c r="L236" i="15"/>
  <c r="L235" i="15"/>
  <c r="L234" i="15"/>
  <c r="L233" i="15"/>
  <c r="L232" i="15"/>
  <c r="L231" i="15"/>
  <c r="L230" i="15"/>
  <c r="L229" i="15"/>
  <c r="L228" i="15"/>
  <c r="L227" i="15"/>
  <c r="L226" i="15"/>
  <c r="L225" i="15"/>
  <c r="L224" i="15"/>
  <c r="L223" i="15"/>
  <c r="L222" i="15"/>
  <c r="L221" i="15"/>
  <c r="L220" i="15"/>
  <c r="L219" i="15"/>
  <c r="L218" i="15"/>
  <c r="L217" i="15"/>
  <c r="L216" i="15"/>
  <c r="L215" i="15"/>
  <c r="L214" i="15"/>
  <c r="L213" i="15"/>
  <c r="L212" i="15"/>
  <c r="L211" i="15"/>
  <c r="L210" i="15"/>
  <c r="L209" i="15"/>
  <c r="L208" i="15"/>
  <c r="L207" i="15"/>
  <c r="L206" i="15"/>
  <c r="L205" i="15"/>
  <c r="L204" i="15"/>
  <c r="L203" i="15"/>
  <c r="L202" i="15"/>
  <c r="L201" i="15"/>
  <c r="L200" i="15"/>
  <c r="L199" i="15"/>
  <c r="L198" i="15"/>
  <c r="L197" i="15"/>
  <c r="L196" i="15"/>
  <c r="L195" i="15"/>
  <c r="L194" i="15"/>
  <c r="L193" i="15"/>
  <c r="L192" i="15"/>
  <c r="L191" i="15"/>
  <c r="L190" i="15"/>
  <c r="L189" i="15"/>
  <c r="L188" i="15"/>
  <c r="L187" i="15"/>
  <c r="L186" i="15"/>
  <c r="L185" i="15"/>
  <c r="L184" i="15"/>
  <c r="L183" i="15"/>
  <c r="L182" i="15"/>
  <c r="L181" i="15"/>
  <c r="L180" i="15"/>
  <c r="L179" i="15"/>
  <c r="L178" i="15"/>
  <c r="L177" i="15"/>
  <c r="L176" i="15"/>
  <c r="L175" i="15"/>
  <c r="L174" i="15"/>
  <c r="L173" i="15"/>
  <c r="L172" i="15"/>
  <c r="L171" i="15"/>
  <c r="L170" i="15"/>
  <c r="L169" i="15"/>
  <c r="L168" i="15"/>
  <c r="L167" i="15"/>
  <c r="L166" i="15"/>
  <c r="L165" i="15"/>
  <c r="L164" i="15"/>
  <c r="L163" i="15"/>
  <c r="L162" i="15"/>
  <c r="L161" i="15"/>
  <c r="L160" i="15"/>
  <c r="L159" i="15"/>
  <c r="L158" i="15"/>
  <c r="L157" i="15"/>
  <c r="L156" i="15"/>
  <c r="L155" i="15"/>
  <c r="L154" i="15"/>
  <c r="L153" i="15"/>
  <c r="L152" i="15"/>
  <c r="L151" i="15"/>
  <c r="L150" i="15"/>
  <c r="L149" i="15"/>
  <c r="L148" i="15"/>
  <c r="L147" i="15"/>
  <c r="L146" i="15"/>
  <c r="L145" i="15"/>
  <c r="L144" i="15"/>
  <c r="L143" i="15"/>
  <c r="L142" i="15"/>
  <c r="L141" i="15"/>
  <c r="L140" i="15"/>
  <c r="L139" i="15"/>
  <c r="L138" i="15"/>
  <c r="L137" i="15"/>
  <c r="L136" i="15"/>
  <c r="L135" i="15"/>
  <c r="L134" i="15"/>
  <c r="L133" i="15"/>
  <c r="L132" i="15"/>
  <c r="L131" i="15"/>
  <c r="L130" i="15"/>
  <c r="L129" i="15"/>
  <c r="L128" i="15"/>
  <c r="L127" i="15"/>
  <c r="L126" i="15"/>
  <c r="L125" i="15"/>
  <c r="L124" i="15"/>
  <c r="L123" i="15"/>
  <c r="L122" i="15"/>
  <c r="L121" i="15"/>
  <c r="L120" i="15"/>
  <c r="L119" i="15"/>
  <c r="L118" i="15"/>
  <c r="L117" i="15"/>
  <c r="L116" i="15"/>
  <c r="L115" i="15"/>
  <c r="L114" i="15"/>
  <c r="L113" i="15"/>
  <c r="L112" i="15"/>
  <c r="L111" i="15"/>
  <c r="L110" i="15"/>
  <c r="L109" i="15"/>
  <c r="L108" i="15"/>
  <c r="L107" i="15"/>
  <c r="L106" i="15"/>
  <c r="L105" i="15"/>
  <c r="L104" i="15"/>
  <c r="L103" i="15"/>
  <c r="L102" i="15"/>
  <c r="L101" i="15"/>
  <c r="L100" i="15"/>
  <c r="L99" i="15"/>
  <c r="L98" i="15"/>
  <c r="L97" i="15"/>
  <c r="L96" i="15"/>
  <c r="L95" i="15"/>
  <c r="L94" i="15"/>
  <c r="L93" i="15"/>
  <c r="L92" i="15"/>
  <c r="L91" i="15"/>
  <c r="L90" i="15"/>
  <c r="L89" i="15"/>
  <c r="L88" i="15"/>
  <c r="L87" i="15"/>
  <c r="L86" i="15"/>
  <c r="L85" i="15"/>
  <c r="L84" i="15"/>
  <c r="L83" i="15"/>
  <c r="L82" i="15"/>
  <c r="L81" i="15"/>
  <c r="L80" i="15"/>
  <c r="L79" i="15"/>
  <c r="L78" i="15"/>
  <c r="L77" i="15"/>
  <c r="L76" i="15"/>
  <c r="L75" i="15"/>
  <c r="L74" i="15"/>
  <c r="L73" i="15"/>
  <c r="L72" i="15"/>
  <c r="L71" i="15"/>
  <c r="L70" i="15"/>
  <c r="L69" i="15"/>
  <c r="L68" i="15"/>
  <c r="L67" i="15"/>
  <c r="L66" i="15"/>
  <c r="L65" i="15"/>
  <c r="L64" i="15"/>
  <c r="L63" i="15"/>
  <c r="L62" i="15"/>
  <c r="L61" i="15"/>
  <c r="L60" i="15"/>
  <c r="L59" i="15"/>
  <c r="L58" i="15"/>
  <c r="L57" i="15"/>
  <c r="L56" i="15"/>
  <c r="L55" i="15"/>
  <c r="L54" i="15"/>
  <c r="L53" i="15"/>
  <c r="L52" i="15"/>
  <c r="L51" i="15"/>
  <c r="L50" i="15"/>
  <c r="L49" i="15"/>
  <c r="L48" i="15"/>
  <c r="L47" i="15"/>
  <c r="L46" i="15"/>
  <c r="L45" i="15"/>
  <c r="L44" i="15"/>
  <c r="L43" i="15"/>
  <c r="L42" i="15"/>
  <c r="L41" i="15"/>
  <c r="L40" i="15"/>
  <c r="L39" i="15"/>
  <c r="L38" i="15"/>
  <c r="L37" i="15"/>
  <c r="L36" i="15"/>
  <c r="L35" i="15"/>
  <c r="L34" i="15"/>
  <c r="L33" i="15"/>
  <c r="L32" i="15"/>
  <c r="L31" i="15"/>
  <c r="L30" i="15"/>
  <c r="L29" i="15"/>
  <c r="L28" i="15"/>
  <c r="L27" i="15"/>
  <c r="L26" i="15"/>
  <c r="L25" i="15"/>
  <c r="L24" i="15"/>
  <c r="L23" i="15"/>
  <c r="L22" i="15"/>
  <c r="L21" i="15"/>
  <c r="L20" i="15"/>
  <c r="L19" i="15"/>
  <c r="L18" i="15"/>
  <c r="L17" i="15"/>
  <c r="L16" i="15"/>
  <c r="L15" i="15"/>
  <c r="L14" i="15"/>
  <c r="L13" i="15"/>
  <c r="L12" i="15"/>
  <c r="L11" i="15"/>
  <c r="L10" i="15"/>
  <c r="L9" i="15"/>
  <c r="L8" i="15"/>
  <c r="L7" i="15"/>
  <c r="L6" i="15"/>
  <c r="L5" i="15"/>
  <c r="L4" i="15"/>
  <c r="L3" i="15"/>
  <c r="L2" i="15"/>
  <c r="P401" i="14"/>
  <c r="O401" i="14"/>
  <c r="N401" i="14"/>
  <c r="M401" i="14"/>
  <c r="L401" i="14"/>
  <c r="P400" i="14"/>
  <c r="O400" i="14"/>
  <c r="N400" i="14"/>
  <c r="M400" i="14"/>
  <c r="L400" i="14"/>
  <c r="P399" i="14"/>
  <c r="O399" i="14"/>
  <c r="N399" i="14"/>
  <c r="M399" i="14"/>
  <c r="L399" i="14"/>
  <c r="P398" i="14"/>
  <c r="O398" i="14"/>
  <c r="N398" i="14"/>
  <c r="M398" i="14"/>
  <c r="L398" i="14"/>
  <c r="P397" i="14"/>
  <c r="O397" i="14"/>
  <c r="N397" i="14"/>
  <c r="M397" i="14"/>
  <c r="L397" i="14"/>
  <c r="P396" i="14"/>
  <c r="O396" i="14"/>
  <c r="N396" i="14"/>
  <c r="M396" i="14"/>
  <c r="L396" i="14"/>
  <c r="P395" i="14"/>
  <c r="O395" i="14"/>
  <c r="N395" i="14"/>
  <c r="M395" i="14"/>
  <c r="L395" i="14"/>
  <c r="P394" i="14"/>
  <c r="O394" i="14"/>
  <c r="N394" i="14"/>
  <c r="M394" i="14"/>
  <c r="L394" i="14"/>
  <c r="P393" i="14"/>
  <c r="O393" i="14"/>
  <c r="N393" i="14"/>
  <c r="M393" i="14"/>
  <c r="L393" i="14"/>
  <c r="P392" i="14"/>
  <c r="O392" i="14"/>
  <c r="N392" i="14"/>
  <c r="M392" i="14"/>
  <c r="L392" i="14"/>
  <c r="P391" i="14"/>
  <c r="O391" i="14"/>
  <c r="N391" i="14"/>
  <c r="M391" i="14"/>
  <c r="L391" i="14"/>
  <c r="P390" i="14"/>
  <c r="O390" i="14"/>
  <c r="N390" i="14"/>
  <c r="M390" i="14"/>
  <c r="L390" i="14"/>
  <c r="P389" i="14"/>
  <c r="O389" i="14"/>
  <c r="N389" i="14"/>
  <c r="M389" i="14"/>
  <c r="L389" i="14"/>
  <c r="P388" i="14"/>
  <c r="O388" i="14"/>
  <c r="N388" i="14"/>
  <c r="M388" i="14"/>
  <c r="L388" i="14"/>
  <c r="P387" i="14"/>
  <c r="O387" i="14"/>
  <c r="N387" i="14"/>
  <c r="M387" i="14"/>
  <c r="L387" i="14"/>
  <c r="P386" i="14"/>
  <c r="O386" i="14"/>
  <c r="N386" i="14"/>
  <c r="M386" i="14"/>
  <c r="L386" i="14"/>
  <c r="P385" i="14"/>
  <c r="O385" i="14"/>
  <c r="N385" i="14"/>
  <c r="M385" i="14"/>
  <c r="L385" i="14"/>
  <c r="P384" i="14"/>
  <c r="O384" i="14"/>
  <c r="N384" i="14"/>
  <c r="M384" i="14"/>
  <c r="L384" i="14"/>
  <c r="P383" i="14"/>
  <c r="O383" i="14"/>
  <c r="N383" i="14"/>
  <c r="M383" i="14"/>
  <c r="L383" i="14"/>
  <c r="P382" i="14"/>
  <c r="O382" i="14"/>
  <c r="N382" i="14"/>
  <c r="M382" i="14"/>
  <c r="L382" i="14"/>
  <c r="P381" i="14"/>
  <c r="O381" i="14"/>
  <c r="N381" i="14"/>
  <c r="M381" i="14"/>
  <c r="L381" i="14"/>
  <c r="P380" i="14"/>
  <c r="O380" i="14"/>
  <c r="N380" i="14"/>
  <c r="M380" i="14"/>
  <c r="L380" i="14"/>
  <c r="P379" i="14"/>
  <c r="O379" i="14"/>
  <c r="N379" i="14"/>
  <c r="M379" i="14"/>
  <c r="L379" i="14"/>
  <c r="P378" i="14"/>
  <c r="O378" i="14"/>
  <c r="N378" i="14"/>
  <c r="M378" i="14"/>
  <c r="L378" i="14"/>
  <c r="P377" i="14"/>
  <c r="O377" i="14"/>
  <c r="N377" i="14"/>
  <c r="M377" i="14"/>
  <c r="L377" i="14"/>
  <c r="P376" i="14"/>
  <c r="O376" i="14"/>
  <c r="N376" i="14"/>
  <c r="M376" i="14"/>
  <c r="L376" i="14"/>
  <c r="P375" i="14"/>
  <c r="O375" i="14"/>
  <c r="N375" i="14"/>
  <c r="M375" i="14"/>
  <c r="L375" i="14"/>
  <c r="P374" i="14"/>
  <c r="O374" i="14"/>
  <c r="N374" i="14"/>
  <c r="M374" i="14"/>
  <c r="L374" i="14"/>
  <c r="P373" i="14"/>
  <c r="O373" i="14"/>
  <c r="N373" i="14"/>
  <c r="M373" i="14"/>
  <c r="L373" i="14"/>
  <c r="P372" i="14"/>
  <c r="O372" i="14"/>
  <c r="N372" i="14"/>
  <c r="M372" i="14"/>
  <c r="L372" i="14"/>
  <c r="P371" i="14"/>
  <c r="O371" i="14"/>
  <c r="N371" i="14"/>
  <c r="M371" i="14"/>
  <c r="L371" i="14"/>
  <c r="P370" i="14"/>
  <c r="O370" i="14"/>
  <c r="N370" i="14"/>
  <c r="M370" i="14"/>
  <c r="L370" i="14"/>
  <c r="P369" i="14"/>
  <c r="O369" i="14"/>
  <c r="N369" i="14"/>
  <c r="M369" i="14"/>
  <c r="L369" i="14"/>
  <c r="P368" i="14"/>
  <c r="O368" i="14"/>
  <c r="N368" i="14"/>
  <c r="M368" i="14"/>
  <c r="L368" i="14"/>
  <c r="P367" i="14"/>
  <c r="O367" i="14"/>
  <c r="N367" i="14"/>
  <c r="M367" i="14"/>
  <c r="L367" i="14"/>
  <c r="P366" i="14"/>
  <c r="O366" i="14"/>
  <c r="N366" i="14"/>
  <c r="M366" i="14"/>
  <c r="L366" i="14"/>
  <c r="P365" i="14"/>
  <c r="O365" i="14"/>
  <c r="N365" i="14"/>
  <c r="M365" i="14"/>
  <c r="L365" i="14"/>
  <c r="P364" i="14"/>
  <c r="O364" i="14"/>
  <c r="N364" i="14"/>
  <c r="M364" i="14"/>
  <c r="L364" i="14"/>
  <c r="P363" i="14"/>
  <c r="O363" i="14"/>
  <c r="N363" i="14"/>
  <c r="M363" i="14"/>
  <c r="L363" i="14"/>
  <c r="P362" i="14"/>
  <c r="O362" i="14"/>
  <c r="N362" i="14"/>
  <c r="M362" i="14"/>
  <c r="L362" i="14"/>
  <c r="P361" i="14"/>
  <c r="O361" i="14"/>
  <c r="N361" i="14"/>
  <c r="M361" i="14"/>
  <c r="L361" i="14"/>
  <c r="P360" i="14"/>
  <c r="O360" i="14"/>
  <c r="N360" i="14"/>
  <c r="M360" i="14"/>
  <c r="L360" i="14"/>
  <c r="P359" i="14"/>
  <c r="O359" i="14"/>
  <c r="N359" i="14"/>
  <c r="M359" i="14"/>
  <c r="L359" i="14"/>
  <c r="P358" i="14"/>
  <c r="O358" i="14"/>
  <c r="N358" i="14"/>
  <c r="M358" i="14"/>
  <c r="L358" i="14"/>
  <c r="P357" i="14"/>
  <c r="O357" i="14"/>
  <c r="N357" i="14"/>
  <c r="M357" i="14"/>
  <c r="L357" i="14"/>
  <c r="P356" i="14"/>
  <c r="O356" i="14"/>
  <c r="N356" i="14"/>
  <c r="M356" i="14"/>
  <c r="L356" i="14"/>
  <c r="P355" i="14"/>
  <c r="O355" i="14"/>
  <c r="N355" i="14"/>
  <c r="M355" i="14"/>
  <c r="L355" i="14"/>
  <c r="P354" i="14"/>
  <c r="O354" i="14"/>
  <c r="N354" i="14"/>
  <c r="M354" i="14"/>
  <c r="L354" i="14"/>
  <c r="P353" i="14"/>
  <c r="O353" i="14"/>
  <c r="N353" i="14"/>
  <c r="M353" i="14"/>
  <c r="L353" i="14"/>
  <c r="P352" i="14"/>
  <c r="O352" i="14"/>
  <c r="N352" i="14"/>
  <c r="M352" i="14"/>
  <c r="L352" i="14"/>
  <c r="P351" i="14"/>
  <c r="O351" i="14"/>
  <c r="N351" i="14"/>
  <c r="M351" i="14"/>
  <c r="L351" i="14"/>
  <c r="P350" i="14"/>
  <c r="O350" i="14"/>
  <c r="N350" i="14"/>
  <c r="M350" i="14"/>
  <c r="L350" i="14"/>
  <c r="P349" i="14"/>
  <c r="O349" i="14"/>
  <c r="N349" i="14"/>
  <c r="M349" i="14"/>
  <c r="L349" i="14"/>
  <c r="P348" i="14"/>
  <c r="O348" i="14"/>
  <c r="N348" i="14"/>
  <c r="M348" i="14"/>
  <c r="L348" i="14"/>
  <c r="P347" i="14"/>
  <c r="O347" i="14"/>
  <c r="N347" i="14"/>
  <c r="M347" i="14"/>
  <c r="L347" i="14"/>
  <c r="P346" i="14"/>
  <c r="O346" i="14"/>
  <c r="N346" i="14"/>
  <c r="M346" i="14"/>
  <c r="L346" i="14"/>
  <c r="P345" i="14"/>
  <c r="O345" i="14"/>
  <c r="N345" i="14"/>
  <c r="M345" i="14"/>
  <c r="L345" i="14"/>
  <c r="P344" i="14"/>
  <c r="O344" i="14"/>
  <c r="N344" i="14"/>
  <c r="M344" i="14"/>
  <c r="L344" i="14"/>
  <c r="P343" i="14"/>
  <c r="O343" i="14"/>
  <c r="N343" i="14"/>
  <c r="M343" i="14"/>
  <c r="L343" i="14"/>
  <c r="P342" i="14"/>
  <c r="O342" i="14"/>
  <c r="N342" i="14"/>
  <c r="M342" i="14"/>
  <c r="L342" i="14"/>
  <c r="P341" i="14"/>
  <c r="O341" i="14"/>
  <c r="N341" i="14"/>
  <c r="M341" i="14"/>
  <c r="L341" i="14"/>
  <c r="P340" i="14"/>
  <c r="O340" i="14"/>
  <c r="N340" i="14"/>
  <c r="M340" i="14"/>
  <c r="L340" i="14"/>
  <c r="P339" i="14"/>
  <c r="O339" i="14"/>
  <c r="N339" i="14"/>
  <c r="M339" i="14"/>
  <c r="L339" i="14"/>
  <c r="P338" i="14"/>
  <c r="O338" i="14"/>
  <c r="N338" i="14"/>
  <c r="M338" i="14"/>
  <c r="L338" i="14"/>
  <c r="P337" i="14"/>
  <c r="O337" i="14"/>
  <c r="N337" i="14"/>
  <c r="M337" i="14"/>
  <c r="L337" i="14"/>
  <c r="P336" i="14"/>
  <c r="O336" i="14"/>
  <c r="N336" i="14"/>
  <c r="M336" i="14"/>
  <c r="L336" i="14"/>
  <c r="P335" i="14"/>
  <c r="O335" i="14"/>
  <c r="N335" i="14"/>
  <c r="M335" i="14"/>
  <c r="L335" i="14"/>
  <c r="P334" i="14"/>
  <c r="O334" i="14"/>
  <c r="N334" i="14"/>
  <c r="M334" i="14"/>
  <c r="L334" i="14"/>
  <c r="P333" i="14"/>
  <c r="O333" i="14"/>
  <c r="N333" i="14"/>
  <c r="M333" i="14"/>
  <c r="L333" i="14"/>
  <c r="P332" i="14"/>
  <c r="O332" i="14"/>
  <c r="N332" i="14"/>
  <c r="M332" i="14"/>
  <c r="L332" i="14"/>
  <c r="P331" i="14"/>
  <c r="O331" i="14"/>
  <c r="N331" i="14"/>
  <c r="M331" i="14"/>
  <c r="L331" i="14"/>
  <c r="P330" i="14"/>
  <c r="O330" i="14"/>
  <c r="N330" i="14"/>
  <c r="M330" i="14"/>
  <c r="L330" i="14"/>
  <c r="P329" i="14"/>
  <c r="O329" i="14"/>
  <c r="N329" i="14"/>
  <c r="M329" i="14"/>
  <c r="L329" i="14"/>
  <c r="P328" i="14"/>
  <c r="O328" i="14"/>
  <c r="N328" i="14"/>
  <c r="M328" i="14"/>
  <c r="L328" i="14"/>
  <c r="P327" i="14"/>
  <c r="O327" i="14"/>
  <c r="N327" i="14"/>
  <c r="M327" i="14"/>
  <c r="L327" i="14"/>
  <c r="P326" i="14"/>
  <c r="O326" i="14"/>
  <c r="N326" i="14"/>
  <c r="M326" i="14"/>
  <c r="L326" i="14"/>
  <c r="P325" i="14"/>
  <c r="O325" i="14"/>
  <c r="N325" i="14"/>
  <c r="M325" i="14"/>
  <c r="L325" i="14"/>
  <c r="P324" i="14"/>
  <c r="O324" i="14"/>
  <c r="N324" i="14"/>
  <c r="M324" i="14"/>
  <c r="L324" i="14"/>
  <c r="P323" i="14"/>
  <c r="O323" i="14"/>
  <c r="N323" i="14"/>
  <c r="M323" i="14"/>
  <c r="L323" i="14"/>
  <c r="P322" i="14"/>
  <c r="O322" i="14"/>
  <c r="N322" i="14"/>
  <c r="M322" i="14"/>
  <c r="L322" i="14"/>
  <c r="P321" i="14"/>
  <c r="O321" i="14"/>
  <c r="N321" i="14"/>
  <c r="M321" i="14"/>
  <c r="L321" i="14"/>
  <c r="P320" i="14"/>
  <c r="O320" i="14"/>
  <c r="N320" i="14"/>
  <c r="M320" i="14"/>
  <c r="L320" i="14"/>
  <c r="P319" i="14"/>
  <c r="O319" i="14"/>
  <c r="N319" i="14"/>
  <c r="M319" i="14"/>
  <c r="L319" i="14"/>
  <c r="P318" i="14"/>
  <c r="O318" i="14"/>
  <c r="N318" i="14"/>
  <c r="M318" i="14"/>
  <c r="L318" i="14"/>
  <c r="P317" i="14"/>
  <c r="O317" i="14"/>
  <c r="N317" i="14"/>
  <c r="M317" i="14"/>
  <c r="L317" i="14"/>
  <c r="P316" i="14"/>
  <c r="O316" i="14"/>
  <c r="N316" i="14"/>
  <c r="M316" i="14"/>
  <c r="L316" i="14"/>
  <c r="P315" i="14"/>
  <c r="O315" i="14"/>
  <c r="N315" i="14"/>
  <c r="M315" i="14"/>
  <c r="L315" i="14"/>
  <c r="P314" i="14"/>
  <c r="O314" i="14"/>
  <c r="N314" i="14"/>
  <c r="M314" i="14"/>
  <c r="L314" i="14"/>
  <c r="P313" i="14"/>
  <c r="O313" i="14"/>
  <c r="N313" i="14"/>
  <c r="M313" i="14"/>
  <c r="L313" i="14"/>
  <c r="P312" i="14"/>
  <c r="O312" i="14"/>
  <c r="N312" i="14"/>
  <c r="M312" i="14"/>
  <c r="L312" i="14"/>
  <c r="P311" i="14"/>
  <c r="O311" i="14"/>
  <c r="N311" i="14"/>
  <c r="M311" i="14"/>
  <c r="L311" i="14"/>
  <c r="P310" i="14"/>
  <c r="O310" i="14"/>
  <c r="N310" i="14"/>
  <c r="M310" i="14"/>
  <c r="L310" i="14"/>
  <c r="P309" i="14"/>
  <c r="O309" i="14"/>
  <c r="N309" i="14"/>
  <c r="M309" i="14"/>
  <c r="L309" i="14"/>
  <c r="P308" i="14"/>
  <c r="O308" i="14"/>
  <c r="N308" i="14"/>
  <c r="M308" i="14"/>
  <c r="L308" i="14"/>
  <c r="P307" i="14"/>
  <c r="O307" i="14"/>
  <c r="N307" i="14"/>
  <c r="M307" i="14"/>
  <c r="L307" i="14"/>
  <c r="P306" i="14"/>
  <c r="O306" i="14"/>
  <c r="N306" i="14"/>
  <c r="M306" i="14"/>
  <c r="L306" i="14"/>
  <c r="P305" i="14"/>
  <c r="O305" i="14"/>
  <c r="N305" i="14"/>
  <c r="M305" i="14"/>
  <c r="L305" i="14"/>
  <c r="P304" i="14"/>
  <c r="O304" i="14"/>
  <c r="N304" i="14"/>
  <c r="M304" i="14"/>
  <c r="L304" i="14"/>
  <c r="P303" i="14"/>
  <c r="O303" i="14"/>
  <c r="N303" i="14"/>
  <c r="M303" i="14"/>
  <c r="L303" i="14"/>
  <c r="P302" i="14"/>
  <c r="O302" i="14"/>
  <c r="N302" i="14"/>
  <c r="M302" i="14"/>
  <c r="L302" i="14"/>
  <c r="P301" i="14"/>
  <c r="O301" i="14"/>
  <c r="N301" i="14"/>
  <c r="M301" i="14"/>
  <c r="L301" i="14"/>
  <c r="P300" i="14"/>
  <c r="O300" i="14"/>
  <c r="N300" i="14"/>
  <c r="M300" i="14"/>
  <c r="L300" i="14"/>
  <c r="P299" i="14"/>
  <c r="O299" i="14"/>
  <c r="N299" i="14"/>
  <c r="M299" i="14"/>
  <c r="L299" i="14"/>
  <c r="P298" i="14"/>
  <c r="O298" i="14"/>
  <c r="N298" i="14"/>
  <c r="M298" i="14"/>
  <c r="L298" i="14"/>
  <c r="P297" i="14"/>
  <c r="O297" i="14"/>
  <c r="N297" i="14"/>
  <c r="M297" i="14"/>
  <c r="L297" i="14"/>
  <c r="P296" i="14"/>
  <c r="O296" i="14"/>
  <c r="N296" i="14"/>
  <c r="M296" i="14"/>
  <c r="L296" i="14"/>
  <c r="P295" i="14"/>
  <c r="O295" i="14"/>
  <c r="N295" i="14"/>
  <c r="M295" i="14"/>
  <c r="L295" i="14"/>
  <c r="P294" i="14"/>
  <c r="O294" i="14"/>
  <c r="N294" i="14"/>
  <c r="M294" i="14"/>
  <c r="L294" i="14"/>
  <c r="P293" i="14"/>
  <c r="O293" i="14"/>
  <c r="N293" i="14"/>
  <c r="M293" i="14"/>
  <c r="L293" i="14"/>
  <c r="P292" i="14"/>
  <c r="O292" i="14"/>
  <c r="N292" i="14"/>
  <c r="M292" i="14"/>
  <c r="L292" i="14"/>
  <c r="P291" i="14"/>
  <c r="O291" i="14"/>
  <c r="N291" i="14"/>
  <c r="M291" i="14"/>
  <c r="L291" i="14"/>
  <c r="P290" i="14"/>
  <c r="O290" i="14"/>
  <c r="N290" i="14"/>
  <c r="M290" i="14"/>
  <c r="L290" i="14"/>
  <c r="P289" i="14"/>
  <c r="O289" i="14"/>
  <c r="N289" i="14"/>
  <c r="M289" i="14"/>
  <c r="L289" i="14"/>
  <c r="P288" i="14"/>
  <c r="O288" i="14"/>
  <c r="N288" i="14"/>
  <c r="M288" i="14"/>
  <c r="L288" i="14"/>
  <c r="P287" i="14"/>
  <c r="O287" i="14"/>
  <c r="N287" i="14"/>
  <c r="M287" i="14"/>
  <c r="L287" i="14"/>
  <c r="P286" i="14"/>
  <c r="O286" i="14"/>
  <c r="N286" i="14"/>
  <c r="M286" i="14"/>
  <c r="L286" i="14"/>
  <c r="P285" i="14"/>
  <c r="O285" i="14"/>
  <c r="N285" i="14"/>
  <c r="M285" i="14"/>
  <c r="L285" i="14"/>
  <c r="P284" i="14"/>
  <c r="O284" i="14"/>
  <c r="N284" i="14"/>
  <c r="M284" i="14"/>
  <c r="L284" i="14"/>
  <c r="P283" i="14"/>
  <c r="O283" i="14"/>
  <c r="N283" i="14"/>
  <c r="M283" i="14"/>
  <c r="L283" i="14"/>
  <c r="P282" i="14"/>
  <c r="O282" i="14"/>
  <c r="N282" i="14"/>
  <c r="M282" i="14"/>
  <c r="L282" i="14"/>
  <c r="P281" i="14"/>
  <c r="O281" i="14"/>
  <c r="N281" i="14"/>
  <c r="M281" i="14"/>
  <c r="L281" i="14"/>
  <c r="P280" i="14"/>
  <c r="O280" i="14"/>
  <c r="N280" i="14"/>
  <c r="M280" i="14"/>
  <c r="L280" i="14"/>
  <c r="P279" i="14"/>
  <c r="O279" i="14"/>
  <c r="N279" i="14"/>
  <c r="M279" i="14"/>
  <c r="L279" i="14"/>
  <c r="P278" i="14"/>
  <c r="O278" i="14"/>
  <c r="N278" i="14"/>
  <c r="M278" i="14"/>
  <c r="L278" i="14"/>
  <c r="P277" i="14"/>
  <c r="O277" i="14"/>
  <c r="N277" i="14"/>
  <c r="M277" i="14"/>
  <c r="L277" i="14"/>
  <c r="P276" i="14"/>
  <c r="O276" i="14"/>
  <c r="N276" i="14"/>
  <c r="M276" i="14"/>
  <c r="L276" i="14"/>
  <c r="P275" i="14"/>
  <c r="O275" i="14"/>
  <c r="N275" i="14"/>
  <c r="M275" i="14"/>
  <c r="L275" i="14"/>
  <c r="P274" i="14"/>
  <c r="O274" i="14"/>
  <c r="N274" i="14"/>
  <c r="M274" i="14"/>
  <c r="L274" i="14"/>
  <c r="P273" i="14"/>
  <c r="O273" i="14"/>
  <c r="N273" i="14"/>
  <c r="M273" i="14"/>
  <c r="L273" i="14"/>
  <c r="P272" i="14"/>
  <c r="O272" i="14"/>
  <c r="N272" i="14"/>
  <c r="M272" i="14"/>
  <c r="L272" i="14"/>
  <c r="P271" i="14"/>
  <c r="O271" i="14"/>
  <c r="N271" i="14"/>
  <c r="M271" i="14"/>
  <c r="L271" i="14"/>
  <c r="P270" i="14"/>
  <c r="O270" i="14"/>
  <c r="N270" i="14"/>
  <c r="M270" i="14"/>
  <c r="L270" i="14"/>
  <c r="P269" i="14"/>
  <c r="O269" i="14"/>
  <c r="N269" i="14"/>
  <c r="M269" i="14"/>
  <c r="L269" i="14"/>
  <c r="P268" i="14"/>
  <c r="O268" i="14"/>
  <c r="N268" i="14"/>
  <c r="M268" i="14"/>
  <c r="L268" i="14"/>
  <c r="P267" i="14"/>
  <c r="O267" i="14"/>
  <c r="N267" i="14"/>
  <c r="M267" i="14"/>
  <c r="L267" i="14"/>
  <c r="P266" i="14"/>
  <c r="O266" i="14"/>
  <c r="N266" i="14"/>
  <c r="M266" i="14"/>
  <c r="L266" i="14"/>
  <c r="P265" i="14"/>
  <c r="O265" i="14"/>
  <c r="N265" i="14"/>
  <c r="M265" i="14"/>
  <c r="L265" i="14"/>
  <c r="P264" i="14"/>
  <c r="O264" i="14"/>
  <c r="N264" i="14"/>
  <c r="M264" i="14"/>
  <c r="L264" i="14"/>
  <c r="P263" i="14"/>
  <c r="O263" i="14"/>
  <c r="N263" i="14"/>
  <c r="M263" i="14"/>
  <c r="L263" i="14"/>
  <c r="P262" i="14"/>
  <c r="O262" i="14"/>
  <c r="N262" i="14"/>
  <c r="M262" i="14"/>
  <c r="L262" i="14"/>
  <c r="P261" i="14"/>
  <c r="O261" i="14"/>
  <c r="N261" i="14"/>
  <c r="M261" i="14"/>
  <c r="L261" i="14"/>
  <c r="P260" i="14"/>
  <c r="O260" i="14"/>
  <c r="N260" i="14"/>
  <c r="M260" i="14"/>
  <c r="L260" i="14"/>
  <c r="P259" i="14"/>
  <c r="O259" i="14"/>
  <c r="N259" i="14"/>
  <c r="M259" i="14"/>
  <c r="L259" i="14"/>
  <c r="P258" i="14"/>
  <c r="O258" i="14"/>
  <c r="N258" i="14"/>
  <c r="M258" i="14"/>
  <c r="L258" i="14"/>
  <c r="P257" i="14"/>
  <c r="O257" i="14"/>
  <c r="N257" i="14"/>
  <c r="M257" i="14"/>
  <c r="L257" i="14"/>
  <c r="P256" i="14"/>
  <c r="O256" i="14"/>
  <c r="N256" i="14"/>
  <c r="M256" i="14"/>
  <c r="L256" i="14"/>
  <c r="P255" i="14"/>
  <c r="O255" i="14"/>
  <c r="N255" i="14"/>
  <c r="M255" i="14"/>
  <c r="L255" i="14"/>
  <c r="P254" i="14"/>
  <c r="O254" i="14"/>
  <c r="N254" i="14"/>
  <c r="M254" i="14"/>
  <c r="L254" i="14"/>
  <c r="P253" i="14"/>
  <c r="O253" i="14"/>
  <c r="N253" i="14"/>
  <c r="M253" i="14"/>
  <c r="L253" i="14"/>
  <c r="P252" i="14"/>
  <c r="O252" i="14"/>
  <c r="N252" i="14"/>
  <c r="M252" i="14"/>
  <c r="L252" i="14"/>
  <c r="P251" i="14"/>
  <c r="O251" i="14"/>
  <c r="N251" i="14"/>
  <c r="M251" i="14"/>
  <c r="L251" i="14"/>
  <c r="P250" i="14"/>
  <c r="O250" i="14"/>
  <c r="N250" i="14"/>
  <c r="M250" i="14"/>
  <c r="L250" i="14"/>
  <c r="P249" i="14"/>
  <c r="O249" i="14"/>
  <c r="N249" i="14"/>
  <c r="M249" i="14"/>
  <c r="L249" i="14"/>
  <c r="P248" i="14"/>
  <c r="O248" i="14"/>
  <c r="N248" i="14"/>
  <c r="M248" i="14"/>
  <c r="L248" i="14"/>
  <c r="P247" i="14"/>
  <c r="O247" i="14"/>
  <c r="N247" i="14"/>
  <c r="M247" i="14"/>
  <c r="L247" i="14"/>
  <c r="P246" i="14"/>
  <c r="O246" i="14"/>
  <c r="N246" i="14"/>
  <c r="M246" i="14"/>
  <c r="L246" i="14"/>
  <c r="P245" i="14"/>
  <c r="O245" i="14"/>
  <c r="N245" i="14"/>
  <c r="M245" i="14"/>
  <c r="L245" i="14"/>
  <c r="P244" i="14"/>
  <c r="O244" i="14"/>
  <c r="N244" i="14"/>
  <c r="M244" i="14"/>
  <c r="L244" i="14"/>
  <c r="P243" i="14"/>
  <c r="O243" i="14"/>
  <c r="N243" i="14"/>
  <c r="M243" i="14"/>
  <c r="L243" i="14"/>
  <c r="P242" i="14"/>
  <c r="O242" i="14"/>
  <c r="N242" i="14"/>
  <c r="M242" i="14"/>
  <c r="L242" i="14"/>
  <c r="P241" i="14"/>
  <c r="O241" i="14"/>
  <c r="N241" i="14"/>
  <c r="M241" i="14"/>
  <c r="L241" i="14"/>
  <c r="P240" i="14"/>
  <c r="O240" i="14"/>
  <c r="N240" i="14"/>
  <c r="M240" i="14"/>
  <c r="L240" i="14"/>
  <c r="P239" i="14"/>
  <c r="O239" i="14"/>
  <c r="N239" i="14"/>
  <c r="M239" i="14"/>
  <c r="L239" i="14"/>
  <c r="P238" i="14"/>
  <c r="O238" i="14"/>
  <c r="N238" i="14"/>
  <c r="M238" i="14"/>
  <c r="L238" i="14"/>
  <c r="P237" i="14"/>
  <c r="O237" i="14"/>
  <c r="N237" i="14"/>
  <c r="M237" i="14"/>
  <c r="L237" i="14"/>
  <c r="P236" i="14"/>
  <c r="O236" i="14"/>
  <c r="N236" i="14"/>
  <c r="M236" i="14"/>
  <c r="L236" i="14"/>
  <c r="P235" i="14"/>
  <c r="O235" i="14"/>
  <c r="N235" i="14"/>
  <c r="M235" i="14"/>
  <c r="L235" i="14"/>
  <c r="P234" i="14"/>
  <c r="O234" i="14"/>
  <c r="N234" i="14"/>
  <c r="M234" i="14"/>
  <c r="L234" i="14"/>
  <c r="P233" i="14"/>
  <c r="O233" i="14"/>
  <c r="N233" i="14"/>
  <c r="M233" i="14"/>
  <c r="L233" i="14"/>
  <c r="P232" i="14"/>
  <c r="O232" i="14"/>
  <c r="N232" i="14"/>
  <c r="M232" i="14"/>
  <c r="L232" i="14"/>
  <c r="P231" i="14"/>
  <c r="O231" i="14"/>
  <c r="N231" i="14"/>
  <c r="M231" i="14"/>
  <c r="L231" i="14"/>
  <c r="P230" i="14"/>
  <c r="O230" i="14"/>
  <c r="N230" i="14"/>
  <c r="M230" i="14"/>
  <c r="L230" i="14"/>
  <c r="P229" i="14"/>
  <c r="O229" i="14"/>
  <c r="N229" i="14"/>
  <c r="M229" i="14"/>
  <c r="L229" i="14"/>
  <c r="P228" i="14"/>
  <c r="O228" i="14"/>
  <c r="N228" i="14"/>
  <c r="M228" i="14"/>
  <c r="L228" i="14"/>
  <c r="P227" i="14"/>
  <c r="O227" i="14"/>
  <c r="N227" i="14"/>
  <c r="M227" i="14"/>
  <c r="L227" i="14"/>
  <c r="P226" i="14"/>
  <c r="O226" i="14"/>
  <c r="N226" i="14"/>
  <c r="M226" i="14"/>
  <c r="L226" i="14"/>
  <c r="P225" i="14"/>
  <c r="O225" i="14"/>
  <c r="N225" i="14"/>
  <c r="M225" i="14"/>
  <c r="L225" i="14"/>
  <c r="P224" i="14"/>
  <c r="O224" i="14"/>
  <c r="N224" i="14"/>
  <c r="M224" i="14"/>
  <c r="L224" i="14"/>
  <c r="P223" i="14"/>
  <c r="O223" i="14"/>
  <c r="N223" i="14"/>
  <c r="M223" i="14"/>
  <c r="L223" i="14"/>
  <c r="P222" i="14"/>
  <c r="O222" i="14"/>
  <c r="N222" i="14"/>
  <c r="M222" i="14"/>
  <c r="L222" i="14"/>
  <c r="P221" i="14"/>
  <c r="O221" i="14"/>
  <c r="N221" i="14"/>
  <c r="M221" i="14"/>
  <c r="L221" i="14"/>
  <c r="P220" i="14"/>
  <c r="O220" i="14"/>
  <c r="N220" i="14"/>
  <c r="M220" i="14"/>
  <c r="L220" i="14"/>
  <c r="P219" i="14"/>
  <c r="O219" i="14"/>
  <c r="N219" i="14"/>
  <c r="M219" i="14"/>
  <c r="L219" i="14"/>
  <c r="P218" i="14"/>
  <c r="O218" i="14"/>
  <c r="N218" i="14"/>
  <c r="M218" i="14"/>
  <c r="L218" i="14"/>
  <c r="P217" i="14"/>
  <c r="O217" i="14"/>
  <c r="N217" i="14"/>
  <c r="M217" i="14"/>
  <c r="L217" i="14"/>
  <c r="P216" i="14"/>
  <c r="O216" i="14"/>
  <c r="N216" i="14"/>
  <c r="M216" i="14"/>
  <c r="L216" i="14"/>
  <c r="P215" i="14"/>
  <c r="O215" i="14"/>
  <c r="N215" i="14"/>
  <c r="M215" i="14"/>
  <c r="L215" i="14"/>
  <c r="P214" i="14"/>
  <c r="O214" i="14"/>
  <c r="N214" i="14"/>
  <c r="M214" i="14"/>
  <c r="L214" i="14"/>
  <c r="P213" i="14"/>
  <c r="O213" i="14"/>
  <c r="N213" i="14"/>
  <c r="M213" i="14"/>
  <c r="L213" i="14"/>
  <c r="P212" i="14"/>
  <c r="O212" i="14"/>
  <c r="N212" i="14"/>
  <c r="M212" i="14"/>
  <c r="L212" i="14"/>
  <c r="P211" i="14"/>
  <c r="O211" i="14"/>
  <c r="N211" i="14"/>
  <c r="M211" i="14"/>
  <c r="L211" i="14"/>
  <c r="P210" i="14"/>
  <c r="O210" i="14"/>
  <c r="N210" i="14"/>
  <c r="M210" i="14"/>
  <c r="L210" i="14"/>
  <c r="P209" i="14"/>
  <c r="O209" i="14"/>
  <c r="N209" i="14"/>
  <c r="M209" i="14"/>
  <c r="L209" i="14"/>
  <c r="P208" i="14"/>
  <c r="O208" i="14"/>
  <c r="N208" i="14"/>
  <c r="M208" i="14"/>
  <c r="L208" i="14"/>
  <c r="P207" i="14"/>
  <c r="O207" i="14"/>
  <c r="N207" i="14"/>
  <c r="M207" i="14"/>
  <c r="L207" i="14"/>
  <c r="P206" i="14"/>
  <c r="O206" i="14"/>
  <c r="N206" i="14"/>
  <c r="M206" i="14"/>
  <c r="L206" i="14"/>
  <c r="P205" i="14"/>
  <c r="O205" i="14"/>
  <c r="N205" i="14"/>
  <c r="M205" i="14"/>
  <c r="L205" i="14"/>
  <c r="P204" i="14"/>
  <c r="O204" i="14"/>
  <c r="N204" i="14"/>
  <c r="M204" i="14"/>
  <c r="L204" i="14"/>
  <c r="P203" i="14"/>
  <c r="O203" i="14"/>
  <c r="N203" i="14"/>
  <c r="M203" i="14"/>
  <c r="L203" i="14"/>
  <c r="P202" i="14"/>
  <c r="O202" i="14"/>
  <c r="N202" i="14"/>
  <c r="M202" i="14"/>
  <c r="L202" i="14"/>
  <c r="P201" i="14"/>
  <c r="O201" i="14"/>
  <c r="N201" i="14"/>
  <c r="M201" i="14"/>
  <c r="L201" i="14"/>
  <c r="P200" i="14"/>
  <c r="O200" i="14"/>
  <c r="N200" i="14"/>
  <c r="M200" i="14"/>
  <c r="L200" i="14"/>
  <c r="P199" i="14"/>
  <c r="O199" i="14"/>
  <c r="N199" i="14"/>
  <c r="M199" i="14"/>
  <c r="L199" i="14"/>
  <c r="P198" i="14"/>
  <c r="O198" i="14"/>
  <c r="N198" i="14"/>
  <c r="M198" i="14"/>
  <c r="L198" i="14"/>
  <c r="P197" i="14"/>
  <c r="O197" i="14"/>
  <c r="N197" i="14"/>
  <c r="M197" i="14"/>
  <c r="L197" i="14"/>
  <c r="P196" i="14"/>
  <c r="O196" i="14"/>
  <c r="N196" i="14"/>
  <c r="M196" i="14"/>
  <c r="L196" i="14"/>
  <c r="P195" i="14"/>
  <c r="O195" i="14"/>
  <c r="N195" i="14"/>
  <c r="M195" i="14"/>
  <c r="L195" i="14"/>
  <c r="P194" i="14"/>
  <c r="O194" i="14"/>
  <c r="N194" i="14"/>
  <c r="M194" i="14"/>
  <c r="L194" i="14"/>
  <c r="P193" i="14"/>
  <c r="O193" i="14"/>
  <c r="N193" i="14"/>
  <c r="M193" i="14"/>
  <c r="L193" i="14"/>
  <c r="P192" i="14"/>
  <c r="O192" i="14"/>
  <c r="N192" i="14"/>
  <c r="M192" i="14"/>
  <c r="L192" i="14"/>
  <c r="P191" i="14"/>
  <c r="O191" i="14"/>
  <c r="N191" i="14"/>
  <c r="M191" i="14"/>
  <c r="L191" i="14"/>
  <c r="P190" i="14"/>
  <c r="O190" i="14"/>
  <c r="N190" i="14"/>
  <c r="M190" i="14"/>
  <c r="L190" i="14"/>
  <c r="P189" i="14"/>
  <c r="O189" i="14"/>
  <c r="N189" i="14"/>
  <c r="M189" i="14"/>
  <c r="L189" i="14"/>
  <c r="P188" i="14"/>
  <c r="O188" i="14"/>
  <c r="N188" i="14"/>
  <c r="M188" i="14"/>
  <c r="L188" i="14"/>
  <c r="P187" i="14"/>
  <c r="O187" i="14"/>
  <c r="N187" i="14"/>
  <c r="M187" i="14"/>
  <c r="L187" i="14"/>
  <c r="P186" i="14"/>
  <c r="O186" i="14"/>
  <c r="N186" i="14"/>
  <c r="M186" i="14"/>
  <c r="L186" i="14"/>
  <c r="P185" i="14"/>
  <c r="O185" i="14"/>
  <c r="N185" i="14"/>
  <c r="M185" i="14"/>
  <c r="L185" i="14"/>
  <c r="P184" i="14"/>
  <c r="O184" i="14"/>
  <c r="N184" i="14"/>
  <c r="M184" i="14"/>
  <c r="L184" i="14"/>
  <c r="P183" i="14"/>
  <c r="O183" i="14"/>
  <c r="N183" i="14"/>
  <c r="M183" i="14"/>
  <c r="L183" i="14"/>
  <c r="P182" i="14"/>
  <c r="O182" i="14"/>
  <c r="N182" i="14"/>
  <c r="M182" i="14"/>
  <c r="L182" i="14"/>
  <c r="P181" i="14"/>
  <c r="O181" i="14"/>
  <c r="N181" i="14"/>
  <c r="M181" i="14"/>
  <c r="L181" i="14"/>
  <c r="P180" i="14"/>
  <c r="O180" i="14"/>
  <c r="N180" i="14"/>
  <c r="M180" i="14"/>
  <c r="L180" i="14"/>
  <c r="P179" i="14"/>
  <c r="O179" i="14"/>
  <c r="N179" i="14"/>
  <c r="M179" i="14"/>
  <c r="L179" i="14"/>
  <c r="P178" i="14"/>
  <c r="O178" i="14"/>
  <c r="N178" i="14"/>
  <c r="M178" i="14"/>
  <c r="L178" i="14"/>
  <c r="P177" i="14"/>
  <c r="O177" i="14"/>
  <c r="N177" i="14"/>
  <c r="M177" i="14"/>
  <c r="L177" i="14"/>
  <c r="P176" i="14"/>
  <c r="O176" i="14"/>
  <c r="N176" i="14"/>
  <c r="M176" i="14"/>
  <c r="L176" i="14"/>
  <c r="P175" i="14"/>
  <c r="O175" i="14"/>
  <c r="N175" i="14"/>
  <c r="M175" i="14"/>
  <c r="L175" i="14"/>
  <c r="P174" i="14"/>
  <c r="O174" i="14"/>
  <c r="N174" i="14"/>
  <c r="M174" i="14"/>
  <c r="L174" i="14"/>
  <c r="P173" i="14"/>
  <c r="O173" i="14"/>
  <c r="N173" i="14"/>
  <c r="M173" i="14"/>
  <c r="L173" i="14"/>
  <c r="P172" i="14"/>
  <c r="O172" i="14"/>
  <c r="N172" i="14"/>
  <c r="M172" i="14"/>
  <c r="L172" i="14"/>
  <c r="P171" i="14"/>
  <c r="O171" i="14"/>
  <c r="N171" i="14"/>
  <c r="M171" i="14"/>
  <c r="L171" i="14"/>
  <c r="P170" i="14"/>
  <c r="O170" i="14"/>
  <c r="N170" i="14"/>
  <c r="M170" i="14"/>
  <c r="L170" i="14"/>
  <c r="P169" i="14"/>
  <c r="O169" i="14"/>
  <c r="N169" i="14"/>
  <c r="M169" i="14"/>
  <c r="L169" i="14"/>
  <c r="P168" i="14"/>
  <c r="O168" i="14"/>
  <c r="N168" i="14"/>
  <c r="M168" i="14"/>
  <c r="L168" i="14"/>
  <c r="P167" i="14"/>
  <c r="O167" i="14"/>
  <c r="N167" i="14"/>
  <c r="M167" i="14"/>
  <c r="L167" i="14"/>
  <c r="P166" i="14"/>
  <c r="O166" i="14"/>
  <c r="N166" i="14"/>
  <c r="M166" i="14"/>
  <c r="L166" i="14"/>
  <c r="P165" i="14"/>
  <c r="O165" i="14"/>
  <c r="N165" i="14"/>
  <c r="M165" i="14"/>
  <c r="L165" i="14"/>
  <c r="P164" i="14"/>
  <c r="O164" i="14"/>
  <c r="N164" i="14"/>
  <c r="M164" i="14"/>
  <c r="L164" i="14"/>
  <c r="P163" i="14"/>
  <c r="O163" i="14"/>
  <c r="N163" i="14"/>
  <c r="M163" i="14"/>
  <c r="L163" i="14"/>
  <c r="P162" i="14"/>
  <c r="O162" i="14"/>
  <c r="N162" i="14"/>
  <c r="M162" i="14"/>
  <c r="L162" i="14"/>
  <c r="P161" i="14"/>
  <c r="O161" i="14"/>
  <c r="N161" i="14"/>
  <c r="M161" i="14"/>
  <c r="L161" i="14"/>
  <c r="P160" i="14"/>
  <c r="O160" i="14"/>
  <c r="N160" i="14"/>
  <c r="M160" i="14"/>
  <c r="L160" i="14"/>
  <c r="P159" i="14"/>
  <c r="O159" i="14"/>
  <c r="N159" i="14"/>
  <c r="M159" i="14"/>
  <c r="L159" i="14"/>
  <c r="P158" i="14"/>
  <c r="O158" i="14"/>
  <c r="N158" i="14"/>
  <c r="M158" i="14"/>
  <c r="L158" i="14"/>
  <c r="P157" i="14"/>
  <c r="O157" i="14"/>
  <c r="N157" i="14"/>
  <c r="M157" i="14"/>
  <c r="L157" i="14"/>
  <c r="P156" i="14"/>
  <c r="O156" i="14"/>
  <c r="N156" i="14"/>
  <c r="M156" i="14"/>
  <c r="L156" i="14"/>
  <c r="P155" i="14"/>
  <c r="O155" i="14"/>
  <c r="N155" i="14"/>
  <c r="M155" i="14"/>
  <c r="L155" i="14"/>
  <c r="P154" i="14"/>
  <c r="O154" i="14"/>
  <c r="N154" i="14"/>
  <c r="M154" i="14"/>
  <c r="L154" i="14"/>
  <c r="P153" i="14"/>
  <c r="O153" i="14"/>
  <c r="N153" i="14"/>
  <c r="M153" i="14"/>
  <c r="L153" i="14"/>
  <c r="P152" i="14"/>
  <c r="O152" i="14"/>
  <c r="N152" i="14"/>
  <c r="M152" i="14"/>
  <c r="L152" i="14"/>
  <c r="P151" i="14"/>
  <c r="O151" i="14"/>
  <c r="N151" i="14"/>
  <c r="M151" i="14"/>
  <c r="L151" i="14"/>
  <c r="P150" i="14"/>
  <c r="O150" i="14"/>
  <c r="N150" i="14"/>
  <c r="M150" i="14"/>
  <c r="L150" i="14"/>
  <c r="P149" i="14"/>
  <c r="O149" i="14"/>
  <c r="N149" i="14"/>
  <c r="M149" i="14"/>
  <c r="L149" i="14"/>
  <c r="P148" i="14"/>
  <c r="O148" i="14"/>
  <c r="N148" i="14"/>
  <c r="M148" i="14"/>
  <c r="L148" i="14"/>
  <c r="P147" i="14"/>
  <c r="O147" i="14"/>
  <c r="N147" i="14"/>
  <c r="M147" i="14"/>
  <c r="L147" i="14"/>
  <c r="P146" i="14"/>
  <c r="O146" i="14"/>
  <c r="N146" i="14"/>
  <c r="M146" i="14"/>
  <c r="L146" i="14"/>
  <c r="P145" i="14"/>
  <c r="O145" i="14"/>
  <c r="N145" i="14"/>
  <c r="M145" i="14"/>
  <c r="L145" i="14"/>
  <c r="P144" i="14"/>
  <c r="O144" i="14"/>
  <c r="N144" i="14"/>
  <c r="M144" i="14"/>
  <c r="L144" i="14"/>
  <c r="P143" i="14"/>
  <c r="O143" i="14"/>
  <c r="N143" i="14"/>
  <c r="M143" i="14"/>
  <c r="L143" i="14"/>
  <c r="P142" i="14"/>
  <c r="O142" i="14"/>
  <c r="N142" i="14"/>
  <c r="M142" i="14"/>
  <c r="L142" i="14"/>
  <c r="P141" i="14"/>
  <c r="O141" i="14"/>
  <c r="N141" i="14"/>
  <c r="M141" i="14"/>
  <c r="L141" i="14"/>
  <c r="P140" i="14"/>
  <c r="O140" i="14"/>
  <c r="N140" i="14"/>
  <c r="M140" i="14"/>
  <c r="L140" i="14"/>
  <c r="P139" i="14"/>
  <c r="O139" i="14"/>
  <c r="N139" i="14"/>
  <c r="M139" i="14"/>
  <c r="L139" i="14"/>
  <c r="P138" i="14"/>
  <c r="O138" i="14"/>
  <c r="N138" i="14"/>
  <c r="M138" i="14"/>
  <c r="L138" i="14"/>
  <c r="P137" i="14"/>
  <c r="O137" i="14"/>
  <c r="N137" i="14"/>
  <c r="M137" i="14"/>
  <c r="L137" i="14"/>
  <c r="P136" i="14"/>
  <c r="O136" i="14"/>
  <c r="N136" i="14"/>
  <c r="M136" i="14"/>
  <c r="L136" i="14"/>
  <c r="P135" i="14"/>
  <c r="O135" i="14"/>
  <c r="N135" i="14"/>
  <c r="M135" i="14"/>
  <c r="L135" i="14"/>
  <c r="P134" i="14"/>
  <c r="O134" i="14"/>
  <c r="N134" i="14"/>
  <c r="M134" i="14"/>
  <c r="L134" i="14"/>
  <c r="P133" i="14"/>
  <c r="O133" i="14"/>
  <c r="N133" i="14"/>
  <c r="M133" i="14"/>
  <c r="L133" i="14"/>
  <c r="P132" i="14"/>
  <c r="O132" i="14"/>
  <c r="N132" i="14"/>
  <c r="M132" i="14"/>
  <c r="L132" i="14"/>
  <c r="P131" i="14"/>
  <c r="O131" i="14"/>
  <c r="N131" i="14"/>
  <c r="M131" i="14"/>
  <c r="L131" i="14"/>
  <c r="P130" i="14"/>
  <c r="O130" i="14"/>
  <c r="N130" i="14"/>
  <c r="M130" i="14"/>
  <c r="L130" i="14"/>
  <c r="P129" i="14"/>
  <c r="O129" i="14"/>
  <c r="N129" i="14"/>
  <c r="M129" i="14"/>
  <c r="L129" i="14"/>
  <c r="P128" i="14"/>
  <c r="O128" i="14"/>
  <c r="N128" i="14"/>
  <c r="M128" i="14"/>
  <c r="L128" i="14"/>
  <c r="P127" i="14"/>
  <c r="O127" i="14"/>
  <c r="N127" i="14"/>
  <c r="M127" i="14"/>
  <c r="L127" i="14"/>
  <c r="P126" i="14"/>
  <c r="O126" i="14"/>
  <c r="N126" i="14"/>
  <c r="M126" i="14"/>
  <c r="L126" i="14"/>
  <c r="P125" i="14"/>
  <c r="O125" i="14"/>
  <c r="N125" i="14"/>
  <c r="M125" i="14"/>
  <c r="L125" i="14"/>
  <c r="P124" i="14"/>
  <c r="O124" i="14"/>
  <c r="N124" i="14"/>
  <c r="M124" i="14"/>
  <c r="L124" i="14"/>
  <c r="P123" i="14"/>
  <c r="O123" i="14"/>
  <c r="N123" i="14"/>
  <c r="M123" i="14"/>
  <c r="L123" i="14"/>
  <c r="P122" i="14"/>
  <c r="O122" i="14"/>
  <c r="N122" i="14"/>
  <c r="M122" i="14"/>
  <c r="L122" i="14"/>
  <c r="P121" i="14"/>
  <c r="O121" i="14"/>
  <c r="N121" i="14"/>
  <c r="M121" i="14"/>
  <c r="L121" i="14"/>
  <c r="P120" i="14"/>
  <c r="O120" i="14"/>
  <c r="N120" i="14"/>
  <c r="M120" i="14"/>
  <c r="L120" i="14"/>
  <c r="P119" i="14"/>
  <c r="O119" i="14"/>
  <c r="N119" i="14"/>
  <c r="M119" i="14"/>
  <c r="L119" i="14"/>
  <c r="P118" i="14"/>
  <c r="O118" i="14"/>
  <c r="N118" i="14"/>
  <c r="M118" i="14"/>
  <c r="L118" i="14"/>
  <c r="P117" i="14"/>
  <c r="O117" i="14"/>
  <c r="N117" i="14"/>
  <c r="M117" i="14"/>
  <c r="L117" i="14"/>
  <c r="P116" i="14"/>
  <c r="O116" i="14"/>
  <c r="N116" i="14"/>
  <c r="M116" i="14"/>
  <c r="L116" i="14"/>
  <c r="P115" i="14"/>
  <c r="O115" i="14"/>
  <c r="N115" i="14"/>
  <c r="M115" i="14"/>
  <c r="L115" i="14"/>
  <c r="P114" i="14"/>
  <c r="O114" i="14"/>
  <c r="N114" i="14"/>
  <c r="M114" i="14"/>
  <c r="L114" i="14"/>
  <c r="P113" i="14"/>
  <c r="O113" i="14"/>
  <c r="N113" i="14"/>
  <c r="M113" i="14"/>
  <c r="L113" i="14"/>
  <c r="P112" i="14"/>
  <c r="O112" i="14"/>
  <c r="N112" i="14"/>
  <c r="M112" i="14"/>
  <c r="L112" i="14"/>
  <c r="P111" i="14"/>
  <c r="O111" i="14"/>
  <c r="N111" i="14"/>
  <c r="M111" i="14"/>
  <c r="L111" i="14"/>
  <c r="P110" i="14"/>
  <c r="O110" i="14"/>
  <c r="N110" i="14"/>
  <c r="M110" i="14"/>
  <c r="L110" i="14"/>
  <c r="P109" i="14"/>
  <c r="O109" i="14"/>
  <c r="N109" i="14"/>
  <c r="M109" i="14"/>
  <c r="L109" i="14"/>
  <c r="P108" i="14"/>
  <c r="O108" i="14"/>
  <c r="N108" i="14"/>
  <c r="M108" i="14"/>
  <c r="L108" i="14"/>
  <c r="P107" i="14"/>
  <c r="O107" i="14"/>
  <c r="N107" i="14"/>
  <c r="M107" i="14"/>
  <c r="L107" i="14"/>
  <c r="P106" i="14"/>
  <c r="O106" i="14"/>
  <c r="N106" i="14"/>
  <c r="M106" i="14"/>
  <c r="L106" i="14"/>
  <c r="P105" i="14"/>
  <c r="O105" i="14"/>
  <c r="N105" i="14"/>
  <c r="M105" i="14"/>
  <c r="L105" i="14"/>
  <c r="P104" i="14"/>
  <c r="O104" i="14"/>
  <c r="N104" i="14"/>
  <c r="M104" i="14"/>
  <c r="L104" i="14"/>
  <c r="P103" i="14"/>
  <c r="O103" i="14"/>
  <c r="N103" i="14"/>
  <c r="M103" i="14"/>
  <c r="L103" i="14"/>
  <c r="P102" i="14"/>
  <c r="O102" i="14"/>
  <c r="N102" i="14"/>
  <c r="M102" i="14"/>
  <c r="L102" i="14"/>
  <c r="P101" i="14"/>
  <c r="O101" i="14"/>
  <c r="N101" i="14"/>
  <c r="M101" i="14"/>
  <c r="L101" i="14"/>
  <c r="P100" i="14"/>
  <c r="O100" i="14"/>
  <c r="N100" i="14"/>
  <c r="M100" i="14"/>
  <c r="L100" i="14"/>
  <c r="P99" i="14"/>
  <c r="O99" i="14"/>
  <c r="N99" i="14"/>
  <c r="M99" i="14"/>
  <c r="L99" i="14"/>
  <c r="P98" i="14"/>
  <c r="O98" i="14"/>
  <c r="N98" i="14"/>
  <c r="M98" i="14"/>
  <c r="L98" i="14"/>
  <c r="P97" i="14"/>
  <c r="O97" i="14"/>
  <c r="N97" i="14"/>
  <c r="M97" i="14"/>
  <c r="L97" i="14"/>
  <c r="P96" i="14"/>
  <c r="O96" i="14"/>
  <c r="N96" i="14"/>
  <c r="M96" i="14"/>
  <c r="L96" i="14"/>
  <c r="P95" i="14"/>
  <c r="O95" i="14"/>
  <c r="N95" i="14"/>
  <c r="M95" i="14"/>
  <c r="L95" i="14"/>
  <c r="P94" i="14"/>
  <c r="O94" i="14"/>
  <c r="N94" i="14"/>
  <c r="M94" i="14"/>
  <c r="L94" i="14"/>
  <c r="P93" i="14"/>
  <c r="O93" i="14"/>
  <c r="N93" i="14"/>
  <c r="M93" i="14"/>
  <c r="L93" i="14"/>
  <c r="P92" i="14"/>
  <c r="O92" i="14"/>
  <c r="N92" i="14"/>
  <c r="M92" i="14"/>
  <c r="L92" i="14"/>
  <c r="P91" i="14"/>
  <c r="O91" i="14"/>
  <c r="N91" i="14"/>
  <c r="M91" i="14"/>
  <c r="L91" i="14"/>
  <c r="P90" i="14"/>
  <c r="O90" i="14"/>
  <c r="N90" i="14"/>
  <c r="M90" i="14"/>
  <c r="L90" i="14"/>
  <c r="P89" i="14"/>
  <c r="O89" i="14"/>
  <c r="N89" i="14"/>
  <c r="M89" i="14"/>
  <c r="L89" i="14"/>
  <c r="P88" i="14"/>
  <c r="O88" i="14"/>
  <c r="N88" i="14"/>
  <c r="M88" i="14"/>
  <c r="L88" i="14"/>
  <c r="P87" i="14"/>
  <c r="O87" i="14"/>
  <c r="N87" i="14"/>
  <c r="M87" i="14"/>
  <c r="L87" i="14"/>
  <c r="P86" i="14"/>
  <c r="O86" i="14"/>
  <c r="N86" i="14"/>
  <c r="M86" i="14"/>
  <c r="L86" i="14"/>
  <c r="P85" i="14"/>
  <c r="O85" i="14"/>
  <c r="N85" i="14"/>
  <c r="M85" i="14"/>
  <c r="L85" i="14"/>
  <c r="P84" i="14"/>
  <c r="O84" i="14"/>
  <c r="N84" i="14"/>
  <c r="M84" i="14"/>
  <c r="L84" i="14"/>
  <c r="P83" i="14"/>
  <c r="O83" i="14"/>
  <c r="N83" i="14"/>
  <c r="M83" i="14"/>
  <c r="L83" i="14"/>
  <c r="P82" i="14"/>
  <c r="O82" i="14"/>
  <c r="N82" i="14"/>
  <c r="M82" i="14"/>
  <c r="L82" i="14"/>
  <c r="P81" i="14"/>
  <c r="O81" i="14"/>
  <c r="N81" i="14"/>
  <c r="M81" i="14"/>
  <c r="L81" i="14"/>
  <c r="P80" i="14"/>
  <c r="O80" i="14"/>
  <c r="N80" i="14"/>
  <c r="M80" i="14"/>
  <c r="L80" i="14"/>
  <c r="P79" i="14"/>
  <c r="O79" i="14"/>
  <c r="N79" i="14"/>
  <c r="M79" i="14"/>
  <c r="L79" i="14"/>
  <c r="P78" i="14"/>
  <c r="O78" i="14"/>
  <c r="N78" i="14"/>
  <c r="M78" i="14"/>
  <c r="L78" i="14"/>
  <c r="P77" i="14"/>
  <c r="O77" i="14"/>
  <c r="N77" i="14"/>
  <c r="M77" i="14"/>
  <c r="L77" i="14"/>
  <c r="P76" i="14"/>
  <c r="O76" i="14"/>
  <c r="N76" i="14"/>
  <c r="M76" i="14"/>
  <c r="L76" i="14"/>
  <c r="P75" i="14"/>
  <c r="O75" i="14"/>
  <c r="N75" i="14"/>
  <c r="M75" i="14"/>
  <c r="L75" i="14"/>
  <c r="P74" i="14"/>
  <c r="O74" i="14"/>
  <c r="N74" i="14"/>
  <c r="M74" i="14"/>
  <c r="L74" i="14"/>
  <c r="P73" i="14"/>
  <c r="O73" i="14"/>
  <c r="N73" i="14"/>
  <c r="M73" i="14"/>
  <c r="L73" i="14"/>
  <c r="P72" i="14"/>
  <c r="O72" i="14"/>
  <c r="N72" i="14"/>
  <c r="M72" i="14"/>
  <c r="L72" i="14"/>
  <c r="P71" i="14"/>
  <c r="O71" i="14"/>
  <c r="N71" i="14"/>
  <c r="M71" i="14"/>
  <c r="L71" i="14"/>
  <c r="P70" i="14"/>
  <c r="O70" i="14"/>
  <c r="N70" i="14"/>
  <c r="M70" i="14"/>
  <c r="L70" i="14"/>
  <c r="P69" i="14"/>
  <c r="O69" i="14"/>
  <c r="N69" i="14"/>
  <c r="M69" i="14"/>
  <c r="L69" i="14"/>
  <c r="P68" i="14"/>
  <c r="O68" i="14"/>
  <c r="N68" i="14"/>
  <c r="M68" i="14"/>
  <c r="L68" i="14"/>
  <c r="P67" i="14"/>
  <c r="O67" i="14"/>
  <c r="N67" i="14"/>
  <c r="M67" i="14"/>
  <c r="L67" i="14"/>
  <c r="P66" i="14"/>
  <c r="O66" i="14"/>
  <c r="N66" i="14"/>
  <c r="M66" i="14"/>
  <c r="L66" i="14"/>
  <c r="P65" i="14"/>
  <c r="O65" i="14"/>
  <c r="N65" i="14"/>
  <c r="M65" i="14"/>
  <c r="L65" i="14"/>
  <c r="P64" i="14"/>
  <c r="O64" i="14"/>
  <c r="N64" i="14"/>
  <c r="M64" i="14"/>
  <c r="L64" i="14"/>
  <c r="P63" i="14"/>
  <c r="O63" i="14"/>
  <c r="N63" i="14"/>
  <c r="M63" i="14"/>
  <c r="L63" i="14"/>
  <c r="P62" i="14"/>
  <c r="O62" i="14"/>
  <c r="N62" i="14"/>
  <c r="M62" i="14"/>
  <c r="L62" i="14"/>
  <c r="P61" i="14"/>
  <c r="O61" i="14"/>
  <c r="N61" i="14"/>
  <c r="M61" i="14"/>
  <c r="L61" i="14"/>
  <c r="P60" i="14"/>
  <c r="O60" i="14"/>
  <c r="N60" i="14"/>
  <c r="M60" i="14"/>
  <c r="L60" i="14"/>
  <c r="P59" i="14"/>
  <c r="O59" i="14"/>
  <c r="N59" i="14"/>
  <c r="M59" i="14"/>
  <c r="L59" i="14"/>
  <c r="P58" i="14"/>
  <c r="O58" i="14"/>
  <c r="N58" i="14"/>
  <c r="M58" i="14"/>
  <c r="L58" i="14"/>
  <c r="P57" i="14"/>
  <c r="O57" i="14"/>
  <c r="N57" i="14"/>
  <c r="M57" i="14"/>
  <c r="L57" i="14"/>
  <c r="P56" i="14"/>
  <c r="O56" i="14"/>
  <c r="N56" i="14"/>
  <c r="M56" i="14"/>
  <c r="L56" i="14"/>
  <c r="P55" i="14"/>
  <c r="O55" i="14"/>
  <c r="N55" i="14"/>
  <c r="M55" i="14"/>
  <c r="L55" i="14"/>
  <c r="P54" i="14"/>
  <c r="O54" i="14"/>
  <c r="N54" i="14"/>
  <c r="M54" i="14"/>
  <c r="L54" i="14"/>
  <c r="P53" i="14"/>
  <c r="O53" i="14"/>
  <c r="N53" i="14"/>
  <c r="M53" i="14"/>
  <c r="L53" i="14"/>
  <c r="P52" i="14"/>
  <c r="O52" i="14"/>
  <c r="N52" i="14"/>
  <c r="M52" i="14"/>
  <c r="L52" i="14"/>
  <c r="P51" i="14"/>
  <c r="O51" i="14"/>
  <c r="N51" i="14"/>
  <c r="M51" i="14"/>
  <c r="L51" i="14"/>
  <c r="P50" i="14"/>
  <c r="O50" i="14"/>
  <c r="N50" i="14"/>
  <c r="M50" i="14"/>
  <c r="L50" i="14"/>
  <c r="P49" i="14"/>
  <c r="O49" i="14"/>
  <c r="N49" i="14"/>
  <c r="M49" i="14"/>
  <c r="L49" i="14"/>
  <c r="P48" i="14"/>
  <c r="O48" i="14"/>
  <c r="N48" i="14"/>
  <c r="M48" i="14"/>
  <c r="L48" i="14"/>
  <c r="P47" i="14"/>
  <c r="O47" i="14"/>
  <c r="N47" i="14"/>
  <c r="M47" i="14"/>
  <c r="L47" i="14"/>
  <c r="P46" i="14"/>
  <c r="O46" i="14"/>
  <c r="N46" i="14"/>
  <c r="M46" i="14"/>
  <c r="L46" i="14"/>
  <c r="P45" i="14"/>
  <c r="O45" i="14"/>
  <c r="N45" i="14"/>
  <c r="M45" i="14"/>
  <c r="L45" i="14"/>
  <c r="P44" i="14"/>
  <c r="O44" i="14"/>
  <c r="N44" i="14"/>
  <c r="M44" i="14"/>
  <c r="L44" i="14"/>
  <c r="P43" i="14"/>
  <c r="O43" i="14"/>
  <c r="N43" i="14"/>
  <c r="M43" i="14"/>
  <c r="L43" i="14"/>
  <c r="P42" i="14"/>
  <c r="O42" i="14"/>
  <c r="N42" i="14"/>
  <c r="M42" i="14"/>
  <c r="L42" i="14"/>
  <c r="P41" i="14"/>
  <c r="O41" i="14"/>
  <c r="N41" i="14"/>
  <c r="M41" i="14"/>
  <c r="L41" i="14"/>
  <c r="P40" i="14"/>
  <c r="O40" i="14"/>
  <c r="N40" i="14"/>
  <c r="M40" i="14"/>
  <c r="L40" i="14"/>
  <c r="P39" i="14"/>
  <c r="O39" i="14"/>
  <c r="N39" i="14"/>
  <c r="M39" i="14"/>
  <c r="L39" i="14"/>
  <c r="P38" i="14"/>
  <c r="O38" i="14"/>
  <c r="N38" i="14"/>
  <c r="M38" i="14"/>
  <c r="L38" i="14"/>
  <c r="P37" i="14"/>
  <c r="O37" i="14"/>
  <c r="N37" i="14"/>
  <c r="M37" i="14"/>
  <c r="L37" i="14"/>
  <c r="P36" i="14"/>
  <c r="O36" i="14"/>
  <c r="N36" i="14"/>
  <c r="M36" i="14"/>
  <c r="L36" i="14"/>
  <c r="P35" i="14"/>
  <c r="O35" i="14"/>
  <c r="N35" i="14"/>
  <c r="M35" i="14"/>
  <c r="L35" i="14"/>
  <c r="P34" i="14"/>
  <c r="O34" i="14"/>
  <c r="N34" i="14"/>
  <c r="M34" i="14"/>
  <c r="L34" i="14"/>
  <c r="P33" i="14"/>
  <c r="O33" i="14"/>
  <c r="N33" i="14"/>
  <c r="M33" i="14"/>
  <c r="L33" i="14"/>
  <c r="P32" i="14"/>
  <c r="O32" i="14"/>
  <c r="N32" i="14"/>
  <c r="M32" i="14"/>
  <c r="L32" i="14"/>
  <c r="P31" i="14"/>
  <c r="O31" i="14"/>
  <c r="N31" i="14"/>
  <c r="M31" i="14"/>
  <c r="L31" i="14"/>
  <c r="P30" i="14"/>
  <c r="O30" i="14"/>
  <c r="N30" i="14"/>
  <c r="M30" i="14"/>
  <c r="L30" i="14"/>
  <c r="P29" i="14"/>
  <c r="O29" i="14"/>
  <c r="N29" i="14"/>
  <c r="M29" i="14"/>
  <c r="L29" i="14"/>
  <c r="P28" i="14"/>
  <c r="O28" i="14"/>
  <c r="N28" i="14"/>
  <c r="M28" i="14"/>
  <c r="L28" i="14"/>
  <c r="P27" i="14"/>
  <c r="O27" i="14"/>
  <c r="N27" i="14"/>
  <c r="M27" i="14"/>
  <c r="L27" i="14"/>
  <c r="P26" i="14"/>
  <c r="O26" i="14"/>
  <c r="N26" i="14"/>
  <c r="M26" i="14"/>
  <c r="L26" i="14"/>
  <c r="P25" i="14"/>
  <c r="O25" i="14"/>
  <c r="N25" i="14"/>
  <c r="M25" i="14"/>
  <c r="L25" i="14"/>
  <c r="P24" i="14"/>
  <c r="O24" i="14"/>
  <c r="N24" i="14"/>
  <c r="M24" i="14"/>
  <c r="L24" i="14"/>
  <c r="P23" i="14"/>
  <c r="O23" i="14"/>
  <c r="N23" i="14"/>
  <c r="M23" i="14"/>
  <c r="L23" i="14"/>
  <c r="P22" i="14"/>
  <c r="O22" i="14"/>
  <c r="N22" i="14"/>
  <c r="M22" i="14"/>
  <c r="L22" i="14"/>
  <c r="P21" i="14"/>
  <c r="O21" i="14"/>
  <c r="N21" i="14"/>
  <c r="M21" i="14"/>
  <c r="L21" i="14"/>
  <c r="P20" i="14"/>
  <c r="O20" i="14"/>
  <c r="N20" i="14"/>
  <c r="M20" i="14"/>
  <c r="L20" i="14"/>
  <c r="P19" i="14"/>
  <c r="O19" i="14"/>
  <c r="N19" i="14"/>
  <c r="M19" i="14"/>
  <c r="L19" i="14"/>
  <c r="P18" i="14"/>
  <c r="O18" i="14"/>
  <c r="N18" i="14"/>
  <c r="M18" i="14"/>
  <c r="L18" i="14"/>
  <c r="P17" i="14"/>
  <c r="O17" i="14"/>
  <c r="N17" i="14"/>
  <c r="M17" i="14"/>
  <c r="L17" i="14"/>
  <c r="P16" i="14"/>
  <c r="O16" i="14"/>
  <c r="N16" i="14"/>
  <c r="M16" i="14"/>
  <c r="L16" i="14"/>
  <c r="P15" i="14"/>
  <c r="O15" i="14"/>
  <c r="N15" i="14"/>
  <c r="M15" i="14"/>
  <c r="L15" i="14"/>
  <c r="P14" i="14"/>
  <c r="O14" i="14"/>
  <c r="N14" i="14"/>
  <c r="M14" i="14"/>
  <c r="L14" i="14"/>
  <c r="P13" i="14"/>
  <c r="O13" i="14"/>
  <c r="N13" i="14"/>
  <c r="M13" i="14"/>
  <c r="L13" i="14"/>
  <c r="P12" i="14"/>
  <c r="O12" i="14"/>
  <c r="N12" i="14"/>
  <c r="M12" i="14"/>
  <c r="L12" i="14"/>
  <c r="P11" i="14"/>
  <c r="O11" i="14"/>
  <c r="N11" i="14"/>
  <c r="M11" i="14"/>
  <c r="L11" i="14"/>
  <c r="P10" i="14"/>
  <c r="O10" i="14"/>
  <c r="N10" i="14"/>
  <c r="M10" i="14"/>
  <c r="L10" i="14"/>
  <c r="P9" i="14"/>
  <c r="O9" i="14"/>
  <c r="N9" i="14"/>
  <c r="M9" i="14"/>
  <c r="L9" i="14"/>
  <c r="P8" i="14"/>
  <c r="O8" i="14"/>
  <c r="N8" i="14"/>
  <c r="M8" i="14"/>
  <c r="L8" i="14"/>
  <c r="P7" i="14"/>
  <c r="O7" i="14"/>
  <c r="N7" i="14"/>
  <c r="M7" i="14"/>
  <c r="L7" i="14"/>
  <c r="P6" i="14"/>
  <c r="O6" i="14"/>
  <c r="N6" i="14"/>
  <c r="M6" i="14"/>
  <c r="L6" i="14"/>
  <c r="P5" i="14"/>
  <c r="O5" i="14"/>
  <c r="N5" i="14"/>
  <c r="M5" i="14"/>
  <c r="L5" i="14"/>
  <c r="P4" i="14"/>
  <c r="O4" i="14"/>
  <c r="N4" i="14"/>
  <c r="M4" i="14"/>
  <c r="L4" i="14"/>
  <c r="P3" i="14"/>
  <c r="O3" i="14"/>
  <c r="N3" i="14"/>
  <c r="M3" i="14"/>
  <c r="L3" i="14"/>
  <c r="P2" i="14"/>
  <c r="O2" i="14"/>
  <c r="N2" i="14"/>
  <c r="M2" i="14"/>
  <c r="L2" i="14"/>
  <c r="N401" i="13"/>
  <c r="M401" i="13"/>
  <c r="L401" i="13"/>
  <c r="N400" i="13"/>
  <c r="M400" i="13"/>
  <c r="L400" i="13"/>
  <c r="N399" i="13"/>
  <c r="M399" i="13"/>
  <c r="L399" i="13"/>
  <c r="N398" i="13"/>
  <c r="M398" i="13"/>
  <c r="L398" i="13"/>
  <c r="N397" i="13"/>
  <c r="M397" i="13"/>
  <c r="L397" i="13"/>
  <c r="N396" i="13"/>
  <c r="M396" i="13"/>
  <c r="L396" i="13"/>
  <c r="N395" i="13"/>
  <c r="M395" i="13"/>
  <c r="L395" i="13"/>
  <c r="N394" i="13"/>
  <c r="M394" i="13"/>
  <c r="L394" i="13"/>
  <c r="N393" i="13"/>
  <c r="M393" i="13"/>
  <c r="L393" i="13"/>
  <c r="N392" i="13"/>
  <c r="M392" i="13"/>
  <c r="L392" i="13"/>
  <c r="N391" i="13"/>
  <c r="M391" i="13"/>
  <c r="L391" i="13"/>
  <c r="N390" i="13"/>
  <c r="M390" i="13"/>
  <c r="L390" i="13"/>
  <c r="N389" i="13"/>
  <c r="M389" i="13"/>
  <c r="L389" i="13"/>
  <c r="N388" i="13"/>
  <c r="M388" i="13"/>
  <c r="L388" i="13"/>
  <c r="N387" i="13"/>
  <c r="M387" i="13"/>
  <c r="L387" i="13"/>
  <c r="N386" i="13"/>
  <c r="M386" i="13"/>
  <c r="L386" i="13"/>
  <c r="N385" i="13"/>
  <c r="M385" i="13"/>
  <c r="L385" i="13"/>
  <c r="N384" i="13"/>
  <c r="M384" i="13"/>
  <c r="L384" i="13"/>
  <c r="N383" i="13"/>
  <c r="M383" i="13"/>
  <c r="L383" i="13"/>
  <c r="N382" i="13"/>
  <c r="M382" i="13"/>
  <c r="L382" i="13"/>
  <c r="N381" i="13"/>
  <c r="M381" i="13"/>
  <c r="L381" i="13"/>
  <c r="N380" i="13"/>
  <c r="M380" i="13"/>
  <c r="L380" i="13"/>
  <c r="N379" i="13"/>
  <c r="M379" i="13"/>
  <c r="L379" i="13"/>
  <c r="N378" i="13"/>
  <c r="M378" i="13"/>
  <c r="L378" i="13"/>
  <c r="N377" i="13"/>
  <c r="M377" i="13"/>
  <c r="L377" i="13"/>
  <c r="N376" i="13"/>
  <c r="M376" i="13"/>
  <c r="L376" i="13"/>
  <c r="N375" i="13"/>
  <c r="M375" i="13"/>
  <c r="L375" i="13"/>
  <c r="N374" i="13"/>
  <c r="M374" i="13"/>
  <c r="L374" i="13"/>
  <c r="N373" i="13"/>
  <c r="M373" i="13"/>
  <c r="L373" i="13"/>
  <c r="N372" i="13"/>
  <c r="M372" i="13"/>
  <c r="L372" i="13"/>
  <c r="N371" i="13"/>
  <c r="M371" i="13"/>
  <c r="L371" i="13"/>
  <c r="N370" i="13"/>
  <c r="M370" i="13"/>
  <c r="L370" i="13"/>
  <c r="N369" i="13"/>
  <c r="M369" i="13"/>
  <c r="L369" i="13"/>
  <c r="N368" i="13"/>
  <c r="M368" i="13"/>
  <c r="L368" i="13"/>
  <c r="N367" i="13"/>
  <c r="M367" i="13"/>
  <c r="L367" i="13"/>
  <c r="N366" i="13"/>
  <c r="M366" i="13"/>
  <c r="L366" i="13"/>
  <c r="N365" i="13"/>
  <c r="M365" i="13"/>
  <c r="L365" i="13"/>
  <c r="N364" i="13"/>
  <c r="M364" i="13"/>
  <c r="L364" i="13"/>
  <c r="N363" i="13"/>
  <c r="M363" i="13"/>
  <c r="L363" i="13"/>
  <c r="N362" i="13"/>
  <c r="M362" i="13"/>
  <c r="L362" i="13"/>
  <c r="N361" i="13"/>
  <c r="M361" i="13"/>
  <c r="L361" i="13"/>
  <c r="N360" i="13"/>
  <c r="M360" i="13"/>
  <c r="L360" i="13"/>
  <c r="N359" i="13"/>
  <c r="M359" i="13"/>
  <c r="L359" i="13"/>
  <c r="N358" i="13"/>
  <c r="M358" i="13"/>
  <c r="L358" i="13"/>
  <c r="N357" i="13"/>
  <c r="M357" i="13"/>
  <c r="L357" i="13"/>
  <c r="N356" i="13"/>
  <c r="M356" i="13"/>
  <c r="L356" i="13"/>
  <c r="N355" i="13"/>
  <c r="M355" i="13"/>
  <c r="L355" i="13"/>
  <c r="N354" i="13"/>
  <c r="M354" i="13"/>
  <c r="L354" i="13"/>
  <c r="N353" i="13"/>
  <c r="M353" i="13"/>
  <c r="L353" i="13"/>
  <c r="N352" i="13"/>
  <c r="M352" i="13"/>
  <c r="L352" i="13"/>
  <c r="N351" i="13"/>
  <c r="M351" i="13"/>
  <c r="L351" i="13"/>
  <c r="N350" i="13"/>
  <c r="M350" i="13"/>
  <c r="L350" i="13"/>
  <c r="N349" i="13"/>
  <c r="M349" i="13"/>
  <c r="L349" i="13"/>
  <c r="N348" i="13"/>
  <c r="M348" i="13"/>
  <c r="L348" i="13"/>
  <c r="N347" i="13"/>
  <c r="M347" i="13"/>
  <c r="L347" i="13"/>
  <c r="N346" i="13"/>
  <c r="M346" i="13"/>
  <c r="L346" i="13"/>
  <c r="N345" i="13"/>
  <c r="M345" i="13"/>
  <c r="L345" i="13"/>
  <c r="N344" i="13"/>
  <c r="M344" i="13"/>
  <c r="L344" i="13"/>
  <c r="N343" i="13"/>
  <c r="M343" i="13"/>
  <c r="L343" i="13"/>
  <c r="N342" i="13"/>
  <c r="M342" i="13"/>
  <c r="L342" i="13"/>
  <c r="N341" i="13"/>
  <c r="M341" i="13"/>
  <c r="L341" i="13"/>
  <c r="N340" i="13"/>
  <c r="M340" i="13"/>
  <c r="L340" i="13"/>
  <c r="N339" i="13"/>
  <c r="M339" i="13"/>
  <c r="L339" i="13"/>
  <c r="N338" i="13"/>
  <c r="M338" i="13"/>
  <c r="L338" i="13"/>
  <c r="N337" i="13"/>
  <c r="M337" i="13"/>
  <c r="L337" i="13"/>
  <c r="N336" i="13"/>
  <c r="M336" i="13"/>
  <c r="L336" i="13"/>
  <c r="N335" i="13"/>
  <c r="M335" i="13"/>
  <c r="L335" i="13"/>
  <c r="N334" i="13"/>
  <c r="M334" i="13"/>
  <c r="L334" i="13"/>
  <c r="N333" i="13"/>
  <c r="M333" i="13"/>
  <c r="L333" i="13"/>
  <c r="N332" i="13"/>
  <c r="M332" i="13"/>
  <c r="L332" i="13"/>
  <c r="N331" i="13"/>
  <c r="M331" i="13"/>
  <c r="L331" i="13"/>
  <c r="N330" i="13"/>
  <c r="M330" i="13"/>
  <c r="L330" i="13"/>
  <c r="N329" i="13"/>
  <c r="M329" i="13"/>
  <c r="L329" i="13"/>
  <c r="N328" i="13"/>
  <c r="M328" i="13"/>
  <c r="L328" i="13"/>
  <c r="N327" i="13"/>
  <c r="M327" i="13"/>
  <c r="L327" i="13"/>
  <c r="N326" i="13"/>
  <c r="M326" i="13"/>
  <c r="L326" i="13"/>
  <c r="N325" i="13"/>
  <c r="M325" i="13"/>
  <c r="L325" i="13"/>
  <c r="N324" i="13"/>
  <c r="M324" i="13"/>
  <c r="L324" i="13"/>
  <c r="N323" i="13"/>
  <c r="M323" i="13"/>
  <c r="L323" i="13"/>
  <c r="N322" i="13"/>
  <c r="M322" i="13"/>
  <c r="L322" i="13"/>
  <c r="N321" i="13"/>
  <c r="M321" i="13"/>
  <c r="L321" i="13"/>
  <c r="N320" i="13"/>
  <c r="M320" i="13"/>
  <c r="L320" i="13"/>
  <c r="N319" i="13"/>
  <c r="M319" i="13"/>
  <c r="L319" i="13"/>
  <c r="N318" i="13"/>
  <c r="M318" i="13"/>
  <c r="L318" i="13"/>
  <c r="N317" i="13"/>
  <c r="M317" i="13"/>
  <c r="L317" i="13"/>
  <c r="N316" i="13"/>
  <c r="M316" i="13"/>
  <c r="L316" i="13"/>
  <c r="N315" i="13"/>
  <c r="M315" i="13"/>
  <c r="L315" i="13"/>
  <c r="N314" i="13"/>
  <c r="M314" i="13"/>
  <c r="L314" i="13"/>
  <c r="N313" i="13"/>
  <c r="M313" i="13"/>
  <c r="L313" i="13"/>
  <c r="N312" i="13"/>
  <c r="M312" i="13"/>
  <c r="L312" i="13"/>
  <c r="N311" i="13"/>
  <c r="M311" i="13"/>
  <c r="L311" i="13"/>
  <c r="N310" i="13"/>
  <c r="M310" i="13"/>
  <c r="L310" i="13"/>
  <c r="N309" i="13"/>
  <c r="M309" i="13"/>
  <c r="L309" i="13"/>
  <c r="N308" i="13"/>
  <c r="M308" i="13"/>
  <c r="L308" i="13"/>
  <c r="N307" i="13"/>
  <c r="M307" i="13"/>
  <c r="L307" i="13"/>
  <c r="N306" i="13"/>
  <c r="M306" i="13"/>
  <c r="L306" i="13"/>
  <c r="N305" i="13"/>
  <c r="M305" i="13"/>
  <c r="L305" i="13"/>
  <c r="N304" i="13"/>
  <c r="M304" i="13"/>
  <c r="L304" i="13"/>
  <c r="N303" i="13"/>
  <c r="M303" i="13"/>
  <c r="L303" i="13"/>
  <c r="N302" i="13"/>
  <c r="M302" i="13"/>
  <c r="L302" i="13"/>
  <c r="N301" i="13"/>
  <c r="M301" i="13"/>
  <c r="L301" i="13"/>
  <c r="N300" i="13"/>
  <c r="M300" i="13"/>
  <c r="L300" i="13"/>
  <c r="N299" i="13"/>
  <c r="M299" i="13"/>
  <c r="L299" i="13"/>
  <c r="N298" i="13"/>
  <c r="M298" i="13"/>
  <c r="L298" i="13"/>
  <c r="N297" i="13"/>
  <c r="M297" i="13"/>
  <c r="L297" i="13"/>
  <c r="N296" i="13"/>
  <c r="M296" i="13"/>
  <c r="L296" i="13"/>
  <c r="N295" i="13"/>
  <c r="M295" i="13"/>
  <c r="L295" i="13"/>
  <c r="N294" i="13"/>
  <c r="M294" i="13"/>
  <c r="L294" i="13"/>
  <c r="N293" i="13"/>
  <c r="M293" i="13"/>
  <c r="L293" i="13"/>
  <c r="N292" i="13"/>
  <c r="M292" i="13"/>
  <c r="L292" i="13"/>
  <c r="N291" i="13"/>
  <c r="M291" i="13"/>
  <c r="L291" i="13"/>
  <c r="N290" i="13"/>
  <c r="M290" i="13"/>
  <c r="L290" i="13"/>
  <c r="N289" i="13"/>
  <c r="M289" i="13"/>
  <c r="L289" i="13"/>
  <c r="N288" i="13"/>
  <c r="M288" i="13"/>
  <c r="L288" i="13"/>
  <c r="N287" i="13"/>
  <c r="M287" i="13"/>
  <c r="L287" i="13"/>
  <c r="N286" i="13"/>
  <c r="M286" i="13"/>
  <c r="L286" i="13"/>
  <c r="N285" i="13"/>
  <c r="M285" i="13"/>
  <c r="L285" i="13"/>
  <c r="N284" i="13"/>
  <c r="M284" i="13"/>
  <c r="L284" i="13"/>
  <c r="N283" i="13"/>
  <c r="M283" i="13"/>
  <c r="L283" i="13"/>
  <c r="N282" i="13"/>
  <c r="M282" i="13"/>
  <c r="L282" i="13"/>
  <c r="N281" i="13"/>
  <c r="M281" i="13"/>
  <c r="L281" i="13"/>
  <c r="N280" i="13"/>
  <c r="M280" i="13"/>
  <c r="L280" i="13"/>
  <c r="N279" i="13"/>
  <c r="M279" i="13"/>
  <c r="L279" i="13"/>
  <c r="N278" i="13"/>
  <c r="M278" i="13"/>
  <c r="L278" i="13"/>
  <c r="N277" i="13"/>
  <c r="M277" i="13"/>
  <c r="L277" i="13"/>
  <c r="N276" i="13"/>
  <c r="M276" i="13"/>
  <c r="L276" i="13"/>
  <c r="N275" i="13"/>
  <c r="M275" i="13"/>
  <c r="L275" i="13"/>
  <c r="N274" i="13"/>
  <c r="M274" i="13"/>
  <c r="L274" i="13"/>
  <c r="N273" i="13"/>
  <c r="M273" i="13"/>
  <c r="L273" i="13"/>
  <c r="N272" i="13"/>
  <c r="M272" i="13"/>
  <c r="L272" i="13"/>
  <c r="N271" i="13"/>
  <c r="M271" i="13"/>
  <c r="L271" i="13"/>
  <c r="N270" i="13"/>
  <c r="M270" i="13"/>
  <c r="L270" i="13"/>
  <c r="N269" i="13"/>
  <c r="M269" i="13"/>
  <c r="L269" i="13"/>
  <c r="N268" i="13"/>
  <c r="M268" i="13"/>
  <c r="L268" i="13"/>
  <c r="N267" i="13"/>
  <c r="M267" i="13"/>
  <c r="L267" i="13"/>
  <c r="N266" i="13"/>
  <c r="M266" i="13"/>
  <c r="L266" i="13"/>
  <c r="N265" i="13"/>
  <c r="M265" i="13"/>
  <c r="L265" i="13"/>
  <c r="N264" i="13"/>
  <c r="M264" i="13"/>
  <c r="L264" i="13"/>
  <c r="N263" i="13"/>
  <c r="M263" i="13"/>
  <c r="L263" i="13"/>
  <c r="N262" i="13"/>
  <c r="M262" i="13"/>
  <c r="L262" i="13"/>
  <c r="N261" i="13"/>
  <c r="M261" i="13"/>
  <c r="L261" i="13"/>
  <c r="N260" i="13"/>
  <c r="M260" i="13"/>
  <c r="L260" i="13"/>
  <c r="N259" i="13"/>
  <c r="M259" i="13"/>
  <c r="L259" i="13"/>
  <c r="N258" i="13"/>
  <c r="M258" i="13"/>
  <c r="L258" i="13"/>
  <c r="N257" i="13"/>
  <c r="M257" i="13"/>
  <c r="L257" i="13"/>
  <c r="N256" i="13"/>
  <c r="M256" i="13"/>
  <c r="L256" i="13"/>
  <c r="N255" i="13"/>
  <c r="M255" i="13"/>
  <c r="L255" i="13"/>
  <c r="N254" i="13"/>
  <c r="M254" i="13"/>
  <c r="L254" i="13"/>
  <c r="N253" i="13"/>
  <c r="M253" i="13"/>
  <c r="L253" i="13"/>
  <c r="N252" i="13"/>
  <c r="M252" i="13"/>
  <c r="L252" i="13"/>
  <c r="N251" i="13"/>
  <c r="M251" i="13"/>
  <c r="L251" i="13"/>
  <c r="N250" i="13"/>
  <c r="M250" i="13"/>
  <c r="L250" i="13"/>
  <c r="N249" i="13"/>
  <c r="M249" i="13"/>
  <c r="L249" i="13"/>
  <c r="N248" i="13"/>
  <c r="M248" i="13"/>
  <c r="L248" i="13"/>
  <c r="N247" i="13"/>
  <c r="M247" i="13"/>
  <c r="L247" i="13"/>
  <c r="N246" i="13"/>
  <c r="M246" i="13"/>
  <c r="L246" i="13"/>
  <c r="N245" i="13"/>
  <c r="M245" i="13"/>
  <c r="L245" i="13"/>
  <c r="N244" i="13"/>
  <c r="M244" i="13"/>
  <c r="L244" i="13"/>
  <c r="N243" i="13"/>
  <c r="M243" i="13"/>
  <c r="L243" i="13"/>
  <c r="N242" i="13"/>
  <c r="M242" i="13"/>
  <c r="L242" i="13"/>
  <c r="N241" i="13"/>
  <c r="M241" i="13"/>
  <c r="L241" i="13"/>
  <c r="N240" i="13"/>
  <c r="M240" i="13"/>
  <c r="L240" i="13"/>
  <c r="N239" i="13"/>
  <c r="M239" i="13"/>
  <c r="L239" i="13"/>
  <c r="N238" i="13"/>
  <c r="M238" i="13"/>
  <c r="L238" i="13"/>
  <c r="N237" i="13"/>
  <c r="M237" i="13"/>
  <c r="L237" i="13"/>
  <c r="N236" i="13"/>
  <c r="M236" i="13"/>
  <c r="L236" i="13"/>
  <c r="N235" i="13"/>
  <c r="M235" i="13"/>
  <c r="L235" i="13"/>
  <c r="N234" i="13"/>
  <c r="M234" i="13"/>
  <c r="L234" i="13"/>
  <c r="N233" i="13"/>
  <c r="M233" i="13"/>
  <c r="L233" i="13"/>
  <c r="N232" i="13"/>
  <c r="M232" i="13"/>
  <c r="L232" i="13"/>
  <c r="N231" i="13"/>
  <c r="M231" i="13"/>
  <c r="L231" i="13"/>
  <c r="N230" i="13"/>
  <c r="M230" i="13"/>
  <c r="L230" i="13"/>
  <c r="N229" i="13"/>
  <c r="M229" i="13"/>
  <c r="L229" i="13"/>
  <c r="N228" i="13"/>
  <c r="M228" i="13"/>
  <c r="L228" i="13"/>
  <c r="N227" i="13"/>
  <c r="M227" i="13"/>
  <c r="L227" i="13"/>
  <c r="N226" i="13"/>
  <c r="M226" i="13"/>
  <c r="L226" i="13"/>
  <c r="N225" i="13"/>
  <c r="M225" i="13"/>
  <c r="L225" i="13"/>
  <c r="N224" i="13"/>
  <c r="M224" i="13"/>
  <c r="L224" i="13"/>
  <c r="N223" i="13"/>
  <c r="M223" i="13"/>
  <c r="L223" i="13"/>
  <c r="N222" i="13"/>
  <c r="M222" i="13"/>
  <c r="L222" i="13"/>
  <c r="N221" i="13"/>
  <c r="M221" i="13"/>
  <c r="L221" i="13"/>
  <c r="N220" i="13"/>
  <c r="M220" i="13"/>
  <c r="L220" i="13"/>
  <c r="N219" i="13"/>
  <c r="M219" i="13"/>
  <c r="L219" i="13"/>
  <c r="N218" i="13"/>
  <c r="M218" i="13"/>
  <c r="L218" i="13"/>
  <c r="N217" i="13"/>
  <c r="M217" i="13"/>
  <c r="L217" i="13"/>
  <c r="N216" i="13"/>
  <c r="M216" i="13"/>
  <c r="L216" i="13"/>
  <c r="N215" i="13"/>
  <c r="M215" i="13"/>
  <c r="L215" i="13"/>
  <c r="N214" i="13"/>
  <c r="M214" i="13"/>
  <c r="L214" i="13"/>
  <c r="N213" i="13"/>
  <c r="M213" i="13"/>
  <c r="L213" i="13"/>
  <c r="N212" i="13"/>
  <c r="M212" i="13"/>
  <c r="L212" i="13"/>
  <c r="N211" i="13"/>
  <c r="M211" i="13"/>
  <c r="L211" i="13"/>
  <c r="N210" i="13"/>
  <c r="M210" i="13"/>
  <c r="L210" i="13"/>
  <c r="N209" i="13"/>
  <c r="M209" i="13"/>
  <c r="L209" i="13"/>
  <c r="N208" i="13"/>
  <c r="M208" i="13"/>
  <c r="L208" i="13"/>
  <c r="N207" i="13"/>
  <c r="M207" i="13"/>
  <c r="L207" i="13"/>
  <c r="N206" i="13"/>
  <c r="M206" i="13"/>
  <c r="L206" i="13"/>
  <c r="N205" i="13"/>
  <c r="M205" i="13"/>
  <c r="L205" i="13"/>
  <c r="N204" i="13"/>
  <c r="M204" i="13"/>
  <c r="L204" i="13"/>
  <c r="N203" i="13"/>
  <c r="M203" i="13"/>
  <c r="L203" i="13"/>
  <c r="N202" i="13"/>
  <c r="M202" i="13"/>
  <c r="L202" i="13"/>
  <c r="N201" i="13"/>
  <c r="M201" i="13"/>
  <c r="L201" i="13"/>
  <c r="N200" i="13"/>
  <c r="M200" i="13"/>
  <c r="L200" i="13"/>
  <c r="N199" i="13"/>
  <c r="M199" i="13"/>
  <c r="L199" i="13"/>
  <c r="N198" i="13"/>
  <c r="M198" i="13"/>
  <c r="L198" i="13"/>
  <c r="N197" i="13"/>
  <c r="M197" i="13"/>
  <c r="L197" i="13"/>
  <c r="N196" i="13"/>
  <c r="M196" i="13"/>
  <c r="L196" i="13"/>
  <c r="N195" i="13"/>
  <c r="M195" i="13"/>
  <c r="L195" i="13"/>
  <c r="N194" i="13"/>
  <c r="M194" i="13"/>
  <c r="L194" i="13"/>
  <c r="N193" i="13"/>
  <c r="M193" i="13"/>
  <c r="L193" i="13"/>
  <c r="N192" i="13"/>
  <c r="M192" i="13"/>
  <c r="L192" i="13"/>
  <c r="N191" i="13"/>
  <c r="M191" i="13"/>
  <c r="L191" i="13"/>
  <c r="N190" i="13"/>
  <c r="M190" i="13"/>
  <c r="L190" i="13"/>
  <c r="N189" i="13"/>
  <c r="M189" i="13"/>
  <c r="L189" i="13"/>
  <c r="N188" i="13"/>
  <c r="M188" i="13"/>
  <c r="L188" i="13"/>
  <c r="N187" i="13"/>
  <c r="M187" i="13"/>
  <c r="L187" i="13"/>
  <c r="N186" i="13"/>
  <c r="M186" i="13"/>
  <c r="L186" i="13"/>
  <c r="N185" i="13"/>
  <c r="M185" i="13"/>
  <c r="L185" i="13"/>
  <c r="N184" i="13"/>
  <c r="M184" i="13"/>
  <c r="L184" i="13"/>
  <c r="N183" i="13"/>
  <c r="M183" i="13"/>
  <c r="L183" i="13"/>
  <c r="N182" i="13"/>
  <c r="M182" i="13"/>
  <c r="L182" i="13"/>
  <c r="N181" i="13"/>
  <c r="M181" i="13"/>
  <c r="L181" i="13"/>
  <c r="N180" i="13"/>
  <c r="M180" i="13"/>
  <c r="L180" i="13"/>
  <c r="N179" i="13"/>
  <c r="M179" i="13"/>
  <c r="L179" i="13"/>
  <c r="N178" i="13"/>
  <c r="M178" i="13"/>
  <c r="L178" i="13"/>
  <c r="N177" i="13"/>
  <c r="M177" i="13"/>
  <c r="L177" i="13"/>
  <c r="N176" i="13"/>
  <c r="M176" i="13"/>
  <c r="L176" i="13"/>
  <c r="N175" i="13"/>
  <c r="M175" i="13"/>
  <c r="L175" i="13"/>
  <c r="N174" i="13"/>
  <c r="M174" i="13"/>
  <c r="L174" i="13"/>
  <c r="N173" i="13"/>
  <c r="M173" i="13"/>
  <c r="L173" i="13"/>
  <c r="N172" i="13"/>
  <c r="M172" i="13"/>
  <c r="L172" i="13"/>
  <c r="N171" i="13"/>
  <c r="M171" i="13"/>
  <c r="L171" i="13"/>
  <c r="N170" i="13"/>
  <c r="M170" i="13"/>
  <c r="L170" i="13"/>
  <c r="N169" i="13"/>
  <c r="M169" i="13"/>
  <c r="L169" i="13"/>
  <c r="N168" i="13"/>
  <c r="M168" i="13"/>
  <c r="L168" i="13"/>
  <c r="N167" i="13"/>
  <c r="M167" i="13"/>
  <c r="L167" i="13"/>
  <c r="N166" i="13"/>
  <c r="M166" i="13"/>
  <c r="L166" i="13"/>
  <c r="N165" i="13"/>
  <c r="M165" i="13"/>
  <c r="L165" i="13"/>
  <c r="N164" i="13"/>
  <c r="M164" i="13"/>
  <c r="L164" i="13"/>
  <c r="N163" i="13"/>
  <c r="M163" i="13"/>
  <c r="L163" i="13"/>
  <c r="N162" i="13"/>
  <c r="M162" i="13"/>
  <c r="L162" i="13"/>
  <c r="N161" i="13"/>
  <c r="M161" i="13"/>
  <c r="L161" i="13"/>
  <c r="N160" i="13"/>
  <c r="M160" i="13"/>
  <c r="L160" i="13"/>
  <c r="N159" i="13"/>
  <c r="M159" i="13"/>
  <c r="L159" i="13"/>
  <c r="N158" i="13"/>
  <c r="M158" i="13"/>
  <c r="L158" i="13"/>
  <c r="N157" i="13"/>
  <c r="M157" i="13"/>
  <c r="L157" i="13"/>
  <c r="N156" i="13"/>
  <c r="M156" i="13"/>
  <c r="L156" i="13"/>
  <c r="N155" i="13"/>
  <c r="M155" i="13"/>
  <c r="L155" i="13"/>
  <c r="N154" i="13"/>
  <c r="M154" i="13"/>
  <c r="L154" i="13"/>
  <c r="N153" i="13"/>
  <c r="M153" i="13"/>
  <c r="L153" i="13"/>
  <c r="N152" i="13"/>
  <c r="M152" i="13"/>
  <c r="L152" i="13"/>
  <c r="N151" i="13"/>
  <c r="M151" i="13"/>
  <c r="L151" i="13"/>
  <c r="N150" i="13"/>
  <c r="M150" i="13"/>
  <c r="L150" i="13"/>
  <c r="N149" i="13"/>
  <c r="M149" i="13"/>
  <c r="L149" i="13"/>
  <c r="N148" i="13"/>
  <c r="M148" i="13"/>
  <c r="L148" i="13"/>
  <c r="N147" i="13"/>
  <c r="M147" i="13"/>
  <c r="L147" i="13"/>
  <c r="N146" i="13"/>
  <c r="M146" i="13"/>
  <c r="L146" i="13"/>
  <c r="N145" i="13"/>
  <c r="M145" i="13"/>
  <c r="L145" i="13"/>
  <c r="N144" i="13"/>
  <c r="M144" i="13"/>
  <c r="L144" i="13"/>
  <c r="N143" i="13"/>
  <c r="M143" i="13"/>
  <c r="L143" i="13"/>
  <c r="N142" i="13"/>
  <c r="M142" i="13"/>
  <c r="L142" i="13"/>
  <c r="N141" i="13"/>
  <c r="M141" i="13"/>
  <c r="L141" i="13"/>
  <c r="N140" i="13"/>
  <c r="M140" i="13"/>
  <c r="L140" i="13"/>
  <c r="N139" i="13"/>
  <c r="M139" i="13"/>
  <c r="L139" i="13"/>
  <c r="N138" i="13"/>
  <c r="M138" i="13"/>
  <c r="L138" i="13"/>
  <c r="N137" i="13"/>
  <c r="M137" i="13"/>
  <c r="L137" i="13"/>
  <c r="N136" i="13"/>
  <c r="M136" i="13"/>
  <c r="L136" i="13"/>
  <c r="N135" i="13"/>
  <c r="M135" i="13"/>
  <c r="L135" i="13"/>
  <c r="N134" i="13"/>
  <c r="M134" i="13"/>
  <c r="L134" i="13"/>
  <c r="N133" i="13"/>
  <c r="M133" i="13"/>
  <c r="L133" i="13"/>
  <c r="N132" i="13"/>
  <c r="M132" i="13"/>
  <c r="L132" i="13"/>
  <c r="N131" i="13"/>
  <c r="M131" i="13"/>
  <c r="L131" i="13"/>
  <c r="N130" i="13"/>
  <c r="M130" i="13"/>
  <c r="L130" i="13"/>
  <c r="N129" i="13"/>
  <c r="M129" i="13"/>
  <c r="L129" i="13"/>
  <c r="N128" i="13"/>
  <c r="M128" i="13"/>
  <c r="L128" i="13"/>
  <c r="N127" i="13"/>
  <c r="M127" i="13"/>
  <c r="L127" i="13"/>
  <c r="N126" i="13"/>
  <c r="M126" i="13"/>
  <c r="L126" i="13"/>
  <c r="N125" i="13"/>
  <c r="M125" i="13"/>
  <c r="L125" i="13"/>
  <c r="N124" i="13"/>
  <c r="M124" i="13"/>
  <c r="L124" i="13"/>
  <c r="N123" i="13"/>
  <c r="M123" i="13"/>
  <c r="L123" i="13"/>
  <c r="N122" i="13"/>
  <c r="M122" i="13"/>
  <c r="L122" i="13"/>
  <c r="N121" i="13"/>
  <c r="M121" i="13"/>
  <c r="L121" i="13"/>
  <c r="N120" i="13"/>
  <c r="M120" i="13"/>
  <c r="L120" i="13"/>
  <c r="N119" i="13"/>
  <c r="M119" i="13"/>
  <c r="L119" i="13"/>
  <c r="N118" i="13"/>
  <c r="M118" i="13"/>
  <c r="L118" i="13"/>
  <c r="N117" i="13"/>
  <c r="M117" i="13"/>
  <c r="L117" i="13"/>
  <c r="N116" i="13"/>
  <c r="M116" i="13"/>
  <c r="L116" i="13"/>
  <c r="N115" i="13"/>
  <c r="M115" i="13"/>
  <c r="L115" i="13"/>
  <c r="N114" i="13"/>
  <c r="M114" i="13"/>
  <c r="L114" i="13"/>
  <c r="N113" i="13"/>
  <c r="M113" i="13"/>
  <c r="L113" i="13"/>
  <c r="N112" i="13"/>
  <c r="M112" i="13"/>
  <c r="L112" i="13"/>
  <c r="N111" i="13"/>
  <c r="M111" i="13"/>
  <c r="L111" i="13"/>
  <c r="N110" i="13"/>
  <c r="M110" i="13"/>
  <c r="L110" i="13"/>
  <c r="N109" i="13"/>
  <c r="M109" i="13"/>
  <c r="L109" i="13"/>
  <c r="N108" i="13"/>
  <c r="M108" i="13"/>
  <c r="L108" i="13"/>
  <c r="N107" i="13"/>
  <c r="M107" i="13"/>
  <c r="L107" i="13"/>
  <c r="N106" i="13"/>
  <c r="M106" i="13"/>
  <c r="L106" i="13"/>
  <c r="N105" i="13"/>
  <c r="M105" i="13"/>
  <c r="L105" i="13"/>
  <c r="N104" i="13"/>
  <c r="M104" i="13"/>
  <c r="L104" i="13"/>
  <c r="N103" i="13"/>
  <c r="M103" i="13"/>
  <c r="L103" i="13"/>
  <c r="N102" i="13"/>
  <c r="M102" i="13"/>
  <c r="L102" i="13"/>
  <c r="N101" i="13"/>
  <c r="M101" i="13"/>
  <c r="L101" i="13"/>
  <c r="N100" i="13"/>
  <c r="M100" i="13"/>
  <c r="L100" i="13"/>
  <c r="N99" i="13"/>
  <c r="M99" i="13"/>
  <c r="L99" i="13"/>
  <c r="N98" i="13"/>
  <c r="M98" i="13"/>
  <c r="L98" i="13"/>
  <c r="N97" i="13"/>
  <c r="M97" i="13"/>
  <c r="L97" i="13"/>
  <c r="N96" i="13"/>
  <c r="M96" i="13"/>
  <c r="L96" i="13"/>
  <c r="N95" i="13"/>
  <c r="M95" i="13"/>
  <c r="L95" i="13"/>
  <c r="N94" i="13"/>
  <c r="M94" i="13"/>
  <c r="L94" i="13"/>
  <c r="N93" i="13"/>
  <c r="M93" i="13"/>
  <c r="L93" i="13"/>
  <c r="N92" i="13"/>
  <c r="M92" i="13"/>
  <c r="L92" i="13"/>
  <c r="N91" i="13"/>
  <c r="M91" i="13"/>
  <c r="L91" i="13"/>
  <c r="N90" i="13"/>
  <c r="M90" i="13"/>
  <c r="L90" i="13"/>
  <c r="N89" i="13"/>
  <c r="M89" i="13"/>
  <c r="L89" i="13"/>
  <c r="N88" i="13"/>
  <c r="M88" i="13"/>
  <c r="L88" i="13"/>
  <c r="N87" i="13"/>
  <c r="M87" i="13"/>
  <c r="L87" i="13"/>
  <c r="N86" i="13"/>
  <c r="M86" i="13"/>
  <c r="L86" i="13"/>
  <c r="N85" i="13"/>
  <c r="M85" i="13"/>
  <c r="L85" i="13"/>
  <c r="N84" i="13"/>
  <c r="M84" i="13"/>
  <c r="L84" i="13"/>
  <c r="N83" i="13"/>
  <c r="M83" i="13"/>
  <c r="L83" i="13"/>
  <c r="N82" i="13"/>
  <c r="M82" i="13"/>
  <c r="L82" i="13"/>
  <c r="N81" i="13"/>
  <c r="M81" i="13"/>
  <c r="L81" i="13"/>
  <c r="N80" i="13"/>
  <c r="M80" i="13"/>
  <c r="L80" i="13"/>
  <c r="N79" i="13"/>
  <c r="M79" i="13"/>
  <c r="L79" i="13"/>
  <c r="N78" i="13"/>
  <c r="M78" i="13"/>
  <c r="L78" i="13"/>
  <c r="N77" i="13"/>
  <c r="M77" i="13"/>
  <c r="L77" i="13"/>
  <c r="N76" i="13"/>
  <c r="M76" i="13"/>
  <c r="L76" i="13"/>
  <c r="N75" i="13"/>
  <c r="M75" i="13"/>
  <c r="L75" i="13"/>
  <c r="N74" i="13"/>
  <c r="M74" i="13"/>
  <c r="L74" i="13"/>
  <c r="N73" i="13"/>
  <c r="M73" i="13"/>
  <c r="L73" i="13"/>
  <c r="N72" i="13"/>
  <c r="M72" i="13"/>
  <c r="L72" i="13"/>
  <c r="N71" i="13"/>
  <c r="M71" i="13"/>
  <c r="L71" i="13"/>
  <c r="N70" i="13"/>
  <c r="M70" i="13"/>
  <c r="L70" i="13"/>
  <c r="N69" i="13"/>
  <c r="M69" i="13"/>
  <c r="L69" i="13"/>
  <c r="N68" i="13"/>
  <c r="M68" i="13"/>
  <c r="L68" i="13"/>
  <c r="N67" i="13"/>
  <c r="M67" i="13"/>
  <c r="L67" i="13"/>
  <c r="N66" i="13"/>
  <c r="M66" i="13"/>
  <c r="L66" i="13"/>
  <c r="N65" i="13"/>
  <c r="M65" i="13"/>
  <c r="L65" i="13"/>
  <c r="N64" i="13"/>
  <c r="M64" i="13"/>
  <c r="L64" i="13"/>
  <c r="N63" i="13"/>
  <c r="M63" i="13"/>
  <c r="L63" i="13"/>
  <c r="N62" i="13"/>
  <c r="M62" i="13"/>
  <c r="L62" i="13"/>
  <c r="N61" i="13"/>
  <c r="M61" i="13"/>
  <c r="L61" i="13"/>
  <c r="N60" i="13"/>
  <c r="M60" i="13"/>
  <c r="L60" i="13"/>
  <c r="N59" i="13"/>
  <c r="M59" i="13"/>
  <c r="L59" i="13"/>
  <c r="N58" i="13"/>
  <c r="M58" i="13"/>
  <c r="L58" i="13"/>
  <c r="N57" i="13"/>
  <c r="M57" i="13"/>
  <c r="L57" i="13"/>
  <c r="N56" i="13"/>
  <c r="M56" i="13"/>
  <c r="L56" i="13"/>
  <c r="N55" i="13"/>
  <c r="M55" i="13"/>
  <c r="L55" i="13"/>
  <c r="N54" i="13"/>
  <c r="M54" i="13"/>
  <c r="L54" i="13"/>
  <c r="N53" i="13"/>
  <c r="M53" i="13"/>
  <c r="L53" i="13"/>
  <c r="N52" i="13"/>
  <c r="M52" i="13"/>
  <c r="L52" i="13"/>
  <c r="N51" i="13"/>
  <c r="M51" i="13"/>
  <c r="L51" i="13"/>
  <c r="N50" i="13"/>
  <c r="M50" i="13"/>
  <c r="L50" i="13"/>
  <c r="N49" i="13"/>
  <c r="M49" i="13"/>
  <c r="L49" i="13"/>
  <c r="N48" i="13"/>
  <c r="M48" i="13"/>
  <c r="L48" i="13"/>
  <c r="N47" i="13"/>
  <c r="M47" i="13"/>
  <c r="L47" i="13"/>
  <c r="N46" i="13"/>
  <c r="M46" i="13"/>
  <c r="L46" i="13"/>
  <c r="N45" i="13"/>
  <c r="M45" i="13"/>
  <c r="L45" i="13"/>
  <c r="N44" i="13"/>
  <c r="M44" i="13"/>
  <c r="L44" i="13"/>
  <c r="N43" i="13"/>
  <c r="M43" i="13"/>
  <c r="L43" i="13"/>
  <c r="N42" i="13"/>
  <c r="M42" i="13"/>
  <c r="L42" i="13"/>
  <c r="N41" i="13"/>
  <c r="M41" i="13"/>
  <c r="L41" i="13"/>
  <c r="N40" i="13"/>
  <c r="M40" i="13"/>
  <c r="L40" i="13"/>
  <c r="N39" i="13"/>
  <c r="M39" i="13"/>
  <c r="L39" i="13"/>
  <c r="N38" i="13"/>
  <c r="M38" i="13"/>
  <c r="L38" i="13"/>
  <c r="N37" i="13"/>
  <c r="M37" i="13"/>
  <c r="L37" i="13"/>
  <c r="N36" i="13"/>
  <c r="M36" i="13"/>
  <c r="L36" i="13"/>
  <c r="N35" i="13"/>
  <c r="M35" i="13"/>
  <c r="L35" i="13"/>
  <c r="N34" i="13"/>
  <c r="M34" i="13"/>
  <c r="L34" i="13"/>
  <c r="N33" i="13"/>
  <c r="M33" i="13"/>
  <c r="L33" i="13"/>
  <c r="N32" i="13"/>
  <c r="M32" i="13"/>
  <c r="L32" i="13"/>
  <c r="N31" i="13"/>
  <c r="M31" i="13"/>
  <c r="L31" i="13"/>
  <c r="N30" i="13"/>
  <c r="M30" i="13"/>
  <c r="L30" i="13"/>
  <c r="N29" i="13"/>
  <c r="M29" i="13"/>
  <c r="L29" i="13"/>
  <c r="N28" i="13"/>
  <c r="M28" i="13"/>
  <c r="L28" i="13"/>
  <c r="N27" i="13"/>
  <c r="M27" i="13"/>
  <c r="L27" i="13"/>
  <c r="N26" i="13"/>
  <c r="M26" i="13"/>
  <c r="L26" i="13"/>
  <c r="N25" i="13"/>
  <c r="M25" i="13"/>
  <c r="L25" i="13"/>
  <c r="N24" i="13"/>
  <c r="M24" i="13"/>
  <c r="L24" i="13"/>
  <c r="N23" i="13"/>
  <c r="M23" i="13"/>
  <c r="L23" i="13"/>
  <c r="N22" i="13"/>
  <c r="M22" i="13"/>
  <c r="L22" i="13"/>
  <c r="N21" i="13"/>
  <c r="M21" i="13"/>
  <c r="L21" i="13"/>
  <c r="N20" i="13"/>
  <c r="M20" i="13"/>
  <c r="L20" i="13"/>
  <c r="N19" i="13"/>
  <c r="M19" i="13"/>
  <c r="L19" i="13"/>
  <c r="N18" i="13"/>
  <c r="M18" i="13"/>
  <c r="L18" i="13"/>
  <c r="N17" i="13"/>
  <c r="M17" i="13"/>
  <c r="L17" i="13"/>
  <c r="N16" i="13"/>
  <c r="M16" i="13"/>
  <c r="L16" i="13"/>
  <c r="N15" i="13"/>
  <c r="M15" i="13"/>
  <c r="L15" i="13"/>
  <c r="N14" i="13"/>
  <c r="M14" i="13"/>
  <c r="L14" i="13"/>
  <c r="N13" i="13"/>
  <c r="M13" i="13"/>
  <c r="L13" i="13"/>
  <c r="N12" i="13"/>
  <c r="M12" i="13"/>
  <c r="L12" i="13"/>
  <c r="N11" i="13"/>
  <c r="M11" i="13"/>
  <c r="L11" i="13"/>
  <c r="N10" i="13"/>
  <c r="M10" i="13"/>
  <c r="L10" i="13"/>
  <c r="N9" i="13"/>
  <c r="M9" i="13"/>
  <c r="L9" i="13"/>
  <c r="N8" i="13"/>
  <c r="M8" i="13"/>
  <c r="L8" i="13"/>
  <c r="N7" i="13"/>
  <c r="M7" i="13"/>
  <c r="L7" i="13"/>
  <c r="N6" i="13"/>
  <c r="M6" i="13"/>
  <c r="L6" i="13"/>
  <c r="N5" i="13"/>
  <c r="M5" i="13"/>
  <c r="L5" i="13"/>
  <c r="N4" i="13"/>
  <c r="M4" i="13"/>
  <c r="L4" i="13"/>
  <c r="N3" i="13"/>
  <c r="M3" i="13"/>
  <c r="L3" i="13"/>
  <c r="N2" i="13"/>
  <c r="M2" i="13"/>
  <c r="L2" i="13"/>
  <c r="N401" i="12"/>
  <c r="M401" i="12"/>
  <c r="L401" i="12"/>
  <c r="N400" i="12"/>
  <c r="M400" i="12"/>
  <c r="L400" i="12"/>
  <c r="N399" i="12"/>
  <c r="M399" i="12"/>
  <c r="L399" i="12"/>
  <c r="N398" i="12"/>
  <c r="M398" i="12"/>
  <c r="L398" i="12"/>
  <c r="N397" i="12"/>
  <c r="M397" i="12"/>
  <c r="L397" i="12"/>
  <c r="N396" i="12"/>
  <c r="M396" i="12"/>
  <c r="L396" i="12"/>
  <c r="N395" i="12"/>
  <c r="M395" i="12"/>
  <c r="L395" i="12"/>
  <c r="N394" i="12"/>
  <c r="M394" i="12"/>
  <c r="L394" i="12"/>
  <c r="N393" i="12"/>
  <c r="M393" i="12"/>
  <c r="L393" i="12"/>
  <c r="N392" i="12"/>
  <c r="M392" i="12"/>
  <c r="L392" i="12"/>
  <c r="N391" i="12"/>
  <c r="M391" i="12"/>
  <c r="L391" i="12"/>
  <c r="N390" i="12"/>
  <c r="M390" i="12"/>
  <c r="L390" i="12"/>
  <c r="N389" i="12"/>
  <c r="M389" i="12"/>
  <c r="L389" i="12"/>
  <c r="N388" i="12"/>
  <c r="M388" i="12"/>
  <c r="L388" i="12"/>
  <c r="N387" i="12"/>
  <c r="M387" i="12"/>
  <c r="L387" i="12"/>
  <c r="N386" i="12"/>
  <c r="M386" i="12"/>
  <c r="L386" i="12"/>
  <c r="N385" i="12"/>
  <c r="M385" i="12"/>
  <c r="L385" i="12"/>
  <c r="N384" i="12"/>
  <c r="M384" i="12"/>
  <c r="L384" i="12"/>
  <c r="N383" i="12"/>
  <c r="M383" i="12"/>
  <c r="L383" i="12"/>
  <c r="N382" i="12"/>
  <c r="M382" i="12"/>
  <c r="L382" i="12"/>
  <c r="N381" i="12"/>
  <c r="M381" i="12"/>
  <c r="L381" i="12"/>
  <c r="N380" i="12"/>
  <c r="M380" i="12"/>
  <c r="L380" i="12"/>
  <c r="N379" i="12"/>
  <c r="M379" i="12"/>
  <c r="L379" i="12"/>
  <c r="N378" i="12"/>
  <c r="M378" i="12"/>
  <c r="L378" i="12"/>
  <c r="N377" i="12"/>
  <c r="M377" i="12"/>
  <c r="L377" i="12"/>
  <c r="N376" i="12"/>
  <c r="M376" i="12"/>
  <c r="L376" i="12"/>
  <c r="N375" i="12"/>
  <c r="M375" i="12"/>
  <c r="L375" i="12"/>
  <c r="N374" i="12"/>
  <c r="M374" i="12"/>
  <c r="L374" i="12"/>
  <c r="N373" i="12"/>
  <c r="M373" i="12"/>
  <c r="L373" i="12"/>
  <c r="N372" i="12"/>
  <c r="M372" i="12"/>
  <c r="L372" i="12"/>
  <c r="N371" i="12"/>
  <c r="M371" i="12"/>
  <c r="L371" i="12"/>
  <c r="N370" i="12"/>
  <c r="M370" i="12"/>
  <c r="L370" i="12"/>
  <c r="N369" i="12"/>
  <c r="M369" i="12"/>
  <c r="L369" i="12"/>
  <c r="N368" i="12"/>
  <c r="M368" i="12"/>
  <c r="L368" i="12"/>
  <c r="N367" i="12"/>
  <c r="M367" i="12"/>
  <c r="L367" i="12"/>
  <c r="N366" i="12"/>
  <c r="M366" i="12"/>
  <c r="L366" i="12"/>
  <c r="N365" i="12"/>
  <c r="M365" i="12"/>
  <c r="L365" i="12"/>
  <c r="N364" i="12"/>
  <c r="M364" i="12"/>
  <c r="L364" i="12"/>
  <c r="N363" i="12"/>
  <c r="M363" i="12"/>
  <c r="L363" i="12"/>
  <c r="N362" i="12"/>
  <c r="M362" i="12"/>
  <c r="L362" i="12"/>
  <c r="N361" i="12"/>
  <c r="M361" i="12"/>
  <c r="L361" i="12"/>
  <c r="N360" i="12"/>
  <c r="M360" i="12"/>
  <c r="L360" i="12"/>
  <c r="N359" i="12"/>
  <c r="M359" i="12"/>
  <c r="L359" i="12"/>
  <c r="N358" i="12"/>
  <c r="M358" i="12"/>
  <c r="L358" i="12"/>
  <c r="N357" i="12"/>
  <c r="M357" i="12"/>
  <c r="L357" i="12"/>
  <c r="N356" i="12"/>
  <c r="M356" i="12"/>
  <c r="L356" i="12"/>
  <c r="N355" i="12"/>
  <c r="M355" i="12"/>
  <c r="L355" i="12"/>
  <c r="N354" i="12"/>
  <c r="M354" i="12"/>
  <c r="L354" i="12"/>
  <c r="N353" i="12"/>
  <c r="M353" i="12"/>
  <c r="L353" i="12"/>
  <c r="N352" i="12"/>
  <c r="M352" i="12"/>
  <c r="L352" i="12"/>
  <c r="N351" i="12"/>
  <c r="M351" i="12"/>
  <c r="L351" i="12"/>
  <c r="N350" i="12"/>
  <c r="M350" i="12"/>
  <c r="L350" i="12"/>
  <c r="N349" i="12"/>
  <c r="M349" i="12"/>
  <c r="L349" i="12"/>
  <c r="N348" i="12"/>
  <c r="M348" i="12"/>
  <c r="L348" i="12"/>
  <c r="N347" i="12"/>
  <c r="M347" i="12"/>
  <c r="L347" i="12"/>
  <c r="N346" i="12"/>
  <c r="M346" i="12"/>
  <c r="L346" i="12"/>
  <c r="N345" i="12"/>
  <c r="M345" i="12"/>
  <c r="L345" i="12"/>
  <c r="N344" i="12"/>
  <c r="M344" i="12"/>
  <c r="L344" i="12"/>
  <c r="N343" i="12"/>
  <c r="M343" i="12"/>
  <c r="L343" i="12"/>
  <c r="N342" i="12"/>
  <c r="M342" i="12"/>
  <c r="L342" i="12"/>
  <c r="N341" i="12"/>
  <c r="M341" i="12"/>
  <c r="L341" i="12"/>
  <c r="N340" i="12"/>
  <c r="M340" i="12"/>
  <c r="L340" i="12"/>
  <c r="N339" i="12"/>
  <c r="M339" i="12"/>
  <c r="L339" i="12"/>
  <c r="N338" i="12"/>
  <c r="M338" i="12"/>
  <c r="L338" i="12"/>
  <c r="N337" i="12"/>
  <c r="M337" i="12"/>
  <c r="L337" i="12"/>
  <c r="N336" i="12"/>
  <c r="M336" i="12"/>
  <c r="L336" i="12"/>
  <c r="N335" i="12"/>
  <c r="M335" i="12"/>
  <c r="L335" i="12"/>
  <c r="N334" i="12"/>
  <c r="M334" i="12"/>
  <c r="L334" i="12"/>
  <c r="N333" i="12"/>
  <c r="M333" i="12"/>
  <c r="L333" i="12"/>
  <c r="N332" i="12"/>
  <c r="M332" i="12"/>
  <c r="L332" i="12"/>
  <c r="N331" i="12"/>
  <c r="M331" i="12"/>
  <c r="L331" i="12"/>
  <c r="N330" i="12"/>
  <c r="M330" i="12"/>
  <c r="L330" i="12"/>
  <c r="N329" i="12"/>
  <c r="M329" i="12"/>
  <c r="L329" i="12"/>
  <c r="N328" i="12"/>
  <c r="M328" i="12"/>
  <c r="L328" i="12"/>
  <c r="N327" i="12"/>
  <c r="M327" i="12"/>
  <c r="L327" i="12"/>
  <c r="N326" i="12"/>
  <c r="M326" i="12"/>
  <c r="L326" i="12"/>
  <c r="N325" i="12"/>
  <c r="M325" i="12"/>
  <c r="L325" i="12"/>
  <c r="N324" i="12"/>
  <c r="M324" i="12"/>
  <c r="L324" i="12"/>
  <c r="N323" i="12"/>
  <c r="M323" i="12"/>
  <c r="L323" i="12"/>
  <c r="N322" i="12"/>
  <c r="M322" i="12"/>
  <c r="L322" i="12"/>
  <c r="N321" i="12"/>
  <c r="M321" i="12"/>
  <c r="L321" i="12"/>
  <c r="N320" i="12"/>
  <c r="M320" i="12"/>
  <c r="L320" i="12"/>
  <c r="N319" i="12"/>
  <c r="M319" i="12"/>
  <c r="L319" i="12"/>
  <c r="N318" i="12"/>
  <c r="M318" i="12"/>
  <c r="L318" i="12"/>
  <c r="N317" i="12"/>
  <c r="M317" i="12"/>
  <c r="L317" i="12"/>
  <c r="N316" i="12"/>
  <c r="M316" i="12"/>
  <c r="L316" i="12"/>
  <c r="N315" i="12"/>
  <c r="M315" i="12"/>
  <c r="L315" i="12"/>
  <c r="N314" i="12"/>
  <c r="M314" i="12"/>
  <c r="L314" i="12"/>
  <c r="N313" i="12"/>
  <c r="M313" i="12"/>
  <c r="L313" i="12"/>
  <c r="N312" i="12"/>
  <c r="M312" i="12"/>
  <c r="L312" i="12"/>
  <c r="N311" i="12"/>
  <c r="M311" i="12"/>
  <c r="L311" i="12"/>
  <c r="N310" i="12"/>
  <c r="M310" i="12"/>
  <c r="L310" i="12"/>
  <c r="N309" i="12"/>
  <c r="M309" i="12"/>
  <c r="L309" i="12"/>
  <c r="N308" i="12"/>
  <c r="M308" i="12"/>
  <c r="L308" i="12"/>
  <c r="N307" i="12"/>
  <c r="M307" i="12"/>
  <c r="L307" i="12"/>
  <c r="N306" i="12"/>
  <c r="M306" i="12"/>
  <c r="L306" i="12"/>
  <c r="N305" i="12"/>
  <c r="M305" i="12"/>
  <c r="L305" i="12"/>
  <c r="N304" i="12"/>
  <c r="M304" i="12"/>
  <c r="L304" i="12"/>
  <c r="N303" i="12"/>
  <c r="M303" i="12"/>
  <c r="L303" i="12"/>
  <c r="N302" i="12"/>
  <c r="M302" i="12"/>
  <c r="L302" i="12"/>
  <c r="N301" i="12"/>
  <c r="M301" i="12"/>
  <c r="L301" i="12"/>
  <c r="N300" i="12"/>
  <c r="M300" i="12"/>
  <c r="L300" i="12"/>
  <c r="N299" i="12"/>
  <c r="M299" i="12"/>
  <c r="L299" i="12"/>
  <c r="N298" i="12"/>
  <c r="M298" i="12"/>
  <c r="L298" i="12"/>
  <c r="N297" i="12"/>
  <c r="M297" i="12"/>
  <c r="L297" i="12"/>
  <c r="N296" i="12"/>
  <c r="M296" i="12"/>
  <c r="L296" i="12"/>
  <c r="N295" i="12"/>
  <c r="M295" i="12"/>
  <c r="L295" i="12"/>
  <c r="N294" i="12"/>
  <c r="M294" i="12"/>
  <c r="L294" i="12"/>
  <c r="N293" i="12"/>
  <c r="M293" i="12"/>
  <c r="L293" i="12"/>
  <c r="N292" i="12"/>
  <c r="M292" i="12"/>
  <c r="L292" i="12"/>
  <c r="N291" i="12"/>
  <c r="M291" i="12"/>
  <c r="L291" i="12"/>
  <c r="N290" i="12"/>
  <c r="M290" i="12"/>
  <c r="L290" i="12"/>
  <c r="N289" i="12"/>
  <c r="M289" i="12"/>
  <c r="L289" i="12"/>
  <c r="N288" i="12"/>
  <c r="M288" i="12"/>
  <c r="L288" i="12"/>
  <c r="N287" i="12"/>
  <c r="M287" i="12"/>
  <c r="L287" i="12"/>
  <c r="N286" i="12"/>
  <c r="M286" i="12"/>
  <c r="L286" i="12"/>
  <c r="N285" i="12"/>
  <c r="M285" i="12"/>
  <c r="L285" i="12"/>
  <c r="N284" i="12"/>
  <c r="M284" i="12"/>
  <c r="L284" i="12"/>
  <c r="N283" i="12"/>
  <c r="M283" i="12"/>
  <c r="L283" i="12"/>
  <c r="N282" i="12"/>
  <c r="M282" i="12"/>
  <c r="L282" i="12"/>
  <c r="N281" i="12"/>
  <c r="M281" i="12"/>
  <c r="L281" i="12"/>
  <c r="N280" i="12"/>
  <c r="M280" i="12"/>
  <c r="L280" i="12"/>
  <c r="N279" i="12"/>
  <c r="M279" i="12"/>
  <c r="L279" i="12"/>
  <c r="N278" i="12"/>
  <c r="M278" i="12"/>
  <c r="L278" i="12"/>
  <c r="N277" i="12"/>
  <c r="M277" i="12"/>
  <c r="L277" i="12"/>
  <c r="N276" i="12"/>
  <c r="M276" i="12"/>
  <c r="L276" i="12"/>
  <c r="N275" i="12"/>
  <c r="M275" i="12"/>
  <c r="L275" i="12"/>
  <c r="N274" i="12"/>
  <c r="M274" i="12"/>
  <c r="L274" i="12"/>
  <c r="N273" i="12"/>
  <c r="M273" i="12"/>
  <c r="L273" i="12"/>
  <c r="N272" i="12"/>
  <c r="M272" i="12"/>
  <c r="L272" i="12"/>
  <c r="N271" i="12"/>
  <c r="M271" i="12"/>
  <c r="L271" i="12"/>
  <c r="N270" i="12"/>
  <c r="M270" i="12"/>
  <c r="L270" i="12"/>
  <c r="N269" i="12"/>
  <c r="M269" i="12"/>
  <c r="L269" i="12"/>
  <c r="N268" i="12"/>
  <c r="M268" i="12"/>
  <c r="L268" i="12"/>
  <c r="N267" i="12"/>
  <c r="M267" i="12"/>
  <c r="L267" i="12"/>
  <c r="N266" i="12"/>
  <c r="M266" i="12"/>
  <c r="L266" i="12"/>
  <c r="N265" i="12"/>
  <c r="M265" i="12"/>
  <c r="L265" i="12"/>
  <c r="N264" i="12"/>
  <c r="M264" i="12"/>
  <c r="L264" i="12"/>
  <c r="N263" i="12"/>
  <c r="M263" i="12"/>
  <c r="L263" i="12"/>
  <c r="N262" i="12"/>
  <c r="M262" i="12"/>
  <c r="L262" i="12"/>
  <c r="N261" i="12"/>
  <c r="M261" i="12"/>
  <c r="L261" i="12"/>
  <c r="N260" i="12"/>
  <c r="M260" i="12"/>
  <c r="L260" i="12"/>
  <c r="N259" i="12"/>
  <c r="M259" i="12"/>
  <c r="L259" i="12"/>
  <c r="N258" i="12"/>
  <c r="M258" i="12"/>
  <c r="L258" i="12"/>
  <c r="N257" i="12"/>
  <c r="M257" i="12"/>
  <c r="L257" i="12"/>
  <c r="N256" i="12"/>
  <c r="M256" i="12"/>
  <c r="L256" i="12"/>
  <c r="N255" i="12"/>
  <c r="M255" i="12"/>
  <c r="L255" i="12"/>
  <c r="N254" i="12"/>
  <c r="M254" i="12"/>
  <c r="L254" i="12"/>
  <c r="N253" i="12"/>
  <c r="M253" i="12"/>
  <c r="L253" i="12"/>
  <c r="N252" i="12"/>
  <c r="M252" i="12"/>
  <c r="L252" i="12"/>
  <c r="N251" i="12"/>
  <c r="M251" i="12"/>
  <c r="L251" i="12"/>
  <c r="N250" i="12"/>
  <c r="M250" i="12"/>
  <c r="L250" i="12"/>
  <c r="N249" i="12"/>
  <c r="M249" i="12"/>
  <c r="L249" i="12"/>
  <c r="N248" i="12"/>
  <c r="M248" i="12"/>
  <c r="L248" i="12"/>
  <c r="N247" i="12"/>
  <c r="M247" i="12"/>
  <c r="L247" i="12"/>
  <c r="N246" i="12"/>
  <c r="M246" i="12"/>
  <c r="L246" i="12"/>
  <c r="N245" i="12"/>
  <c r="M245" i="12"/>
  <c r="L245" i="12"/>
  <c r="N244" i="12"/>
  <c r="M244" i="12"/>
  <c r="L244" i="12"/>
  <c r="N243" i="12"/>
  <c r="M243" i="12"/>
  <c r="L243" i="12"/>
  <c r="N242" i="12"/>
  <c r="M242" i="12"/>
  <c r="L242" i="12"/>
  <c r="N241" i="12"/>
  <c r="M241" i="12"/>
  <c r="L241" i="12"/>
  <c r="N240" i="12"/>
  <c r="M240" i="12"/>
  <c r="L240" i="12"/>
  <c r="N239" i="12"/>
  <c r="M239" i="12"/>
  <c r="L239" i="12"/>
  <c r="N238" i="12"/>
  <c r="M238" i="12"/>
  <c r="L238" i="12"/>
  <c r="N237" i="12"/>
  <c r="M237" i="12"/>
  <c r="L237" i="12"/>
  <c r="N236" i="12"/>
  <c r="M236" i="12"/>
  <c r="L236" i="12"/>
  <c r="N235" i="12"/>
  <c r="M235" i="12"/>
  <c r="L235" i="12"/>
  <c r="N234" i="12"/>
  <c r="M234" i="12"/>
  <c r="L234" i="12"/>
  <c r="N233" i="12"/>
  <c r="M233" i="12"/>
  <c r="L233" i="12"/>
  <c r="N232" i="12"/>
  <c r="M232" i="12"/>
  <c r="L232" i="12"/>
  <c r="N231" i="12"/>
  <c r="M231" i="12"/>
  <c r="L231" i="12"/>
  <c r="N230" i="12"/>
  <c r="M230" i="12"/>
  <c r="L230" i="12"/>
  <c r="N229" i="12"/>
  <c r="M229" i="12"/>
  <c r="L229" i="12"/>
  <c r="N228" i="12"/>
  <c r="M228" i="12"/>
  <c r="L228" i="12"/>
  <c r="N227" i="12"/>
  <c r="M227" i="12"/>
  <c r="L227" i="12"/>
  <c r="N226" i="12"/>
  <c r="M226" i="12"/>
  <c r="L226" i="12"/>
  <c r="N225" i="12"/>
  <c r="M225" i="12"/>
  <c r="L225" i="12"/>
  <c r="N224" i="12"/>
  <c r="M224" i="12"/>
  <c r="L224" i="12"/>
  <c r="N223" i="12"/>
  <c r="M223" i="12"/>
  <c r="L223" i="12"/>
  <c r="N222" i="12"/>
  <c r="M222" i="12"/>
  <c r="L222" i="12"/>
  <c r="N221" i="12"/>
  <c r="M221" i="12"/>
  <c r="L221" i="12"/>
  <c r="N220" i="12"/>
  <c r="M220" i="12"/>
  <c r="L220" i="12"/>
  <c r="N219" i="12"/>
  <c r="M219" i="12"/>
  <c r="L219" i="12"/>
  <c r="N218" i="12"/>
  <c r="M218" i="12"/>
  <c r="L218" i="12"/>
  <c r="N217" i="12"/>
  <c r="M217" i="12"/>
  <c r="L217" i="12"/>
  <c r="N216" i="12"/>
  <c r="M216" i="12"/>
  <c r="L216" i="12"/>
  <c r="N215" i="12"/>
  <c r="M215" i="12"/>
  <c r="L215" i="12"/>
  <c r="N214" i="12"/>
  <c r="M214" i="12"/>
  <c r="L214" i="12"/>
  <c r="N213" i="12"/>
  <c r="M213" i="12"/>
  <c r="L213" i="12"/>
  <c r="N212" i="12"/>
  <c r="M212" i="12"/>
  <c r="L212" i="12"/>
  <c r="N211" i="12"/>
  <c r="M211" i="12"/>
  <c r="L211" i="12"/>
  <c r="N210" i="12"/>
  <c r="M210" i="12"/>
  <c r="L210" i="12"/>
  <c r="N209" i="12"/>
  <c r="M209" i="12"/>
  <c r="L209" i="12"/>
  <c r="N208" i="12"/>
  <c r="M208" i="12"/>
  <c r="L208" i="12"/>
  <c r="N207" i="12"/>
  <c r="M207" i="12"/>
  <c r="L207" i="12"/>
  <c r="N206" i="12"/>
  <c r="M206" i="12"/>
  <c r="L206" i="12"/>
  <c r="N205" i="12"/>
  <c r="M205" i="12"/>
  <c r="L205" i="12"/>
  <c r="N204" i="12"/>
  <c r="M204" i="12"/>
  <c r="L204" i="12"/>
  <c r="N203" i="12"/>
  <c r="M203" i="12"/>
  <c r="L203" i="12"/>
  <c r="N202" i="12"/>
  <c r="M202" i="12"/>
  <c r="L202" i="12"/>
  <c r="N201" i="12"/>
  <c r="M201" i="12"/>
  <c r="L201" i="12"/>
  <c r="N200" i="12"/>
  <c r="M200" i="12"/>
  <c r="L200" i="12"/>
  <c r="N199" i="12"/>
  <c r="M199" i="12"/>
  <c r="L199" i="12"/>
  <c r="N198" i="12"/>
  <c r="M198" i="12"/>
  <c r="L198" i="12"/>
  <c r="N197" i="12"/>
  <c r="M197" i="12"/>
  <c r="L197" i="12"/>
  <c r="N196" i="12"/>
  <c r="M196" i="12"/>
  <c r="L196" i="12"/>
  <c r="N195" i="12"/>
  <c r="M195" i="12"/>
  <c r="L195" i="12"/>
  <c r="N194" i="12"/>
  <c r="M194" i="12"/>
  <c r="L194" i="12"/>
  <c r="N193" i="12"/>
  <c r="M193" i="12"/>
  <c r="L193" i="12"/>
  <c r="N192" i="12"/>
  <c r="M192" i="12"/>
  <c r="L192" i="12"/>
  <c r="N191" i="12"/>
  <c r="M191" i="12"/>
  <c r="L191" i="12"/>
  <c r="N190" i="12"/>
  <c r="M190" i="12"/>
  <c r="L190" i="12"/>
  <c r="N189" i="12"/>
  <c r="M189" i="12"/>
  <c r="L189" i="12"/>
  <c r="N188" i="12"/>
  <c r="M188" i="12"/>
  <c r="L188" i="12"/>
  <c r="N187" i="12"/>
  <c r="M187" i="12"/>
  <c r="L187" i="12"/>
  <c r="N186" i="12"/>
  <c r="M186" i="12"/>
  <c r="L186" i="12"/>
  <c r="N185" i="12"/>
  <c r="M185" i="12"/>
  <c r="L185" i="12"/>
  <c r="N184" i="12"/>
  <c r="M184" i="12"/>
  <c r="L184" i="12"/>
  <c r="N183" i="12"/>
  <c r="M183" i="12"/>
  <c r="L183" i="12"/>
  <c r="N182" i="12"/>
  <c r="M182" i="12"/>
  <c r="L182" i="12"/>
  <c r="N181" i="12"/>
  <c r="M181" i="12"/>
  <c r="L181" i="12"/>
  <c r="N180" i="12"/>
  <c r="M180" i="12"/>
  <c r="L180" i="12"/>
  <c r="N179" i="12"/>
  <c r="M179" i="12"/>
  <c r="L179" i="12"/>
  <c r="N178" i="12"/>
  <c r="M178" i="12"/>
  <c r="L178" i="12"/>
  <c r="N177" i="12"/>
  <c r="M177" i="12"/>
  <c r="L177" i="12"/>
  <c r="N176" i="12"/>
  <c r="M176" i="12"/>
  <c r="L176" i="12"/>
  <c r="N175" i="12"/>
  <c r="M175" i="12"/>
  <c r="L175" i="12"/>
  <c r="N174" i="12"/>
  <c r="M174" i="12"/>
  <c r="L174" i="12"/>
  <c r="N173" i="12"/>
  <c r="M173" i="12"/>
  <c r="L173" i="12"/>
  <c r="N172" i="12"/>
  <c r="M172" i="12"/>
  <c r="L172" i="12"/>
  <c r="N171" i="12"/>
  <c r="M171" i="12"/>
  <c r="L171" i="12"/>
  <c r="N170" i="12"/>
  <c r="M170" i="12"/>
  <c r="L170" i="12"/>
  <c r="N169" i="12"/>
  <c r="M169" i="12"/>
  <c r="L169" i="12"/>
  <c r="N168" i="12"/>
  <c r="M168" i="12"/>
  <c r="L168" i="12"/>
  <c r="N167" i="12"/>
  <c r="M167" i="12"/>
  <c r="L167" i="12"/>
  <c r="N166" i="12"/>
  <c r="M166" i="12"/>
  <c r="L166" i="12"/>
  <c r="N165" i="12"/>
  <c r="M165" i="12"/>
  <c r="L165" i="12"/>
  <c r="N164" i="12"/>
  <c r="M164" i="12"/>
  <c r="L164" i="12"/>
  <c r="N163" i="12"/>
  <c r="M163" i="12"/>
  <c r="L163" i="12"/>
  <c r="N162" i="12"/>
  <c r="M162" i="12"/>
  <c r="L162" i="12"/>
  <c r="N161" i="12"/>
  <c r="M161" i="12"/>
  <c r="L161" i="12"/>
  <c r="N160" i="12"/>
  <c r="M160" i="12"/>
  <c r="L160" i="12"/>
  <c r="N159" i="12"/>
  <c r="M159" i="12"/>
  <c r="L159" i="12"/>
  <c r="N158" i="12"/>
  <c r="M158" i="12"/>
  <c r="L158" i="12"/>
  <c r="N157" i="12"/>
  <c r="M157" i="12"/>
  <c r="L157" i="12"/>
  <c r="N156" i="12"/>
  <c r="M156" i="12"/>
  <c r="L156" i="12"/>
  <c r="N155" i="12"/>
  <c r="M155" i="12"/>
  <c r="L155" i="12"/>
  <c r="N154" i="12"/>
  <c r="M154" i="12"/>
  <c r="L154" i="12"/>
  <c r="N153" i="12"/>
  <c r="M153" i="12"/>
  <c r="L153" i="12"/>
  <c r="N152" i="12"/>
  <c r="M152" i="12"/>
  <c r="L152" i="12"/>
  <c r="N151" i="12"/>
  <c r="M151" i="12"/>
  <c r="L151" i="12"/>
  <c r="N150" i="12"/>
  <c r="M150" i="12"/>
  <c r="L150" i="12"/>
  <c r="N149" i="12"/>
  <c r="M149" i="12"/>
  <c r="L149" i="12"/>
  <c r="N148" i="12"/>
  <c r="M148" i="12"/>
  <c r="L148" i="12"/>
  <c r="N147" i="12"/>
  <c r="M147" i="12"/>
  <c r="L147" i="12"/>
  <c r="N146" i="12"/>
  <c r="M146" i="12"/>
  <c r="L146" i="12"/>
  <c r="N145" i="12"/>
  <c r="M145" i="12"/>
  <c r="L145" i="12"/>
  <c r="N144" i="12"/>
  <c r="M144" i="12"/>
  <c r="L144" i="12"/>
  <c r="N143" i="12"/>
  <c r="M143" i="12"/>
  <c r="L143" i="12"/>
  <c r="N142" i="12"/>
  <c r="M142" i="12"/>
  <c r="L142" i="12"/>
  <c r="N141" i="12"/>
  <c r="M141" i="12"/>
  <c r="L141" i="12"/>
  <c r="N140" i="12"/>
  <c r="M140" i="12"/>
  <c r="L140" i="12"/>
  <c r="N139" i="12"/>
  <c r="M139" i="12"/>
  <c r="L139" i="12"/>
  <c r="N138" i="12"/>
  <c r="M138" i="12"/>
  <c r="L138" i="12"/>
  <c r="N137" i="12"/>
  <c r="M137" i="12"/>
  <c r="L137" i="12"/>
  <c r="N136" i="12"/>
  <c r="M136" i="12"/>
  <c r="L136" i="12"/>
  <c r="N135" i="12"/>
  <c r="M135" i="12"/>
  <c r="L135" i="12"/>
  <c r="N134" i="12"/>
  <c r="M134" i="12"/>
  <c r="L134" i="12"/>
  <c r="N133" i="12"/>
  <c r="M133" i="12"/>
  <c r="L133" i="12"/>
  <c r="N132" i="12"/>
  <c r="M132" i="12"/>
  <c r="L132" i="12"/>
  <c r="N131" i="12"/>
  <c r="M131" i="12"/>
  <c r="L131" i="12"/>
  <c r="N130" i="12"/>
  <c r="M130" i="12"/>
  <c r="L130" i="12"/>
  <c r="N129" i="12"/>
  <c r="M129" i="12"/>
  <c r="L129" i="12"/>
  <c r="N128" i="12"/>
  <c r="M128" i="12"/>
  <c r="L128" i="12"/>
  <c r="N127" i="12"/>
  <c r="M127" i="12"/>
  <c r="L127" i="12"/>
  <c r="N126" i="12"/>
  <c r="M126" i="12"/>
  <c r="L126" i="12"/>
  <c r="N125" i="12"/>
  <c r="M125" i="12"/>
  <c r="L125" i="12"/>
  <c r="N124" i="12"/>
  <c r="M124" i="12"/>
  <c r="L124" i="12"/>
  <c r="N123" i="12"/>
  <c r="M123" i="12"/>
  <c r="L123" i="12"/>
  <c r="N122" i="12"/>
  <c r="M122" i="12"/>
  <c r="L122" i="12"/>
  <c r="N121" i="12"/>
  <c r="M121" i="12"/>
  <c r="L121" i="12"/>
  <c r="N120" i="12"/>
  <c r="M120" i="12"/>
  <c r="L120" i="12"/>
  <c r="N119" i="12"/>
  <c r="M119" i="12"/>
  <c r="L119" i="12"/>
  <c r="N118" i="12"/>
  <c r="M118" i="12"/>
  <c r="L118" i="12"/>
  <c r="N117" i="12"/>
  <c r="M117" i="12"/>
  <c r="L117" i="12"/>
  <c r="N116" i="12"/>
  <c r="M116" i="12"/>
  <c r="L116" i="12"/>
  <c r="N115" i="12"/>
  <c r="M115" i="12"/>
  <c r="L115" i="12"/>
  <c r="N114" i="12"/>
  <c r="M114" i="12"/>
  <c r="L114" i="12"/>
  <c r="N113" i="12"/>
  <c r="M113" i="12"/>
  <c r="L113" i="12"/>
  <c r="N112" i="12"/>
  <c r="M112" i="12"/>
  <c r="L112" i="12"/>
  <c r="N111" i="12"/>
  <c r="M111" i="12"/>
  <c r="L111" i="12"/>
  <c r="N110" i="12"/>
  <c r="M110" i="12"/>
  <c r="L110" i="12"/>
  <c r="N109" i="12"/>
  <c r="M109" i="12"/>
  <c r="L109" i="12"/>
  <c r="N108" i="12"/>
  <c r="M108" i="12"/>
  <c r="L108" i="12"/>
  <c r="N107" i="12"/>
  <c r="M107" i="12"/>
  <c r="L107" i="12"/>
  <c r="N106" i="12"/>
  <c r="M106" i="12"/>
  <c r="L106" i="12"/>
  <c r="N105" i="12"/>
  <c r="M105" i="12"/>
  <c r="L105" i="12"/>
  <c r="N104" i="12"/>
  <c r="M104" i="12"/>
  <c r="L104" i="12"/>
  <c r="N103" i="12"/>
  <c r="M103" i="12"/>
  <c r="L103" i="12"/>
  <c r="N102" i="12"/>
  <c r="M102" i="12"/>
  <c r="L102" i="12"/>
  <c r="N101" i="12"/>
  <c r="M101" i="12"/>
  <c r="L101" i="12"/>
  <c r="N100" i="12"/>
  <c r="M100" i="12"/>
  <c r="L100" i="12"/>
  <c r="N99" i="12"/>
  <c r="M99" i="12"/>
  <c r="L99" i="12"/>
  <c r="N98" i="12"/>
  <c r="M98" i="12"/>
  <c r="L98" i="12"/>
  <c r="N97" i="12"/>
  <c r="M97" i="12"/>
  <c r="L97" i="12"/>
  <c r="N96" i="12"/>
  <c r="M96" i="12"/>
  <c r="L96" i="12"/>
  <c r="N95" i="12"/>
  <c r="M95" i="12"/>
  <c r="L95" i="12"/>
  <c r="N94" i="12"/>
  <c r="M94" i="12"/>
  <c r="L94" i="12"/>
  <c r="N93" i="12"/>
  <c r="M93" i="12"/>
  <c r="L93" i="12"/>
  <c r="N92" i="12"/>
  <c r="M92" i="12"/>
  <c r="L92" i="12"/>
  <c r="N91" i="12"/>
  <c r="M91" i="12"/>
  <c r="L91" i="12"/>
  <c r="N90" i="12"/>
  <c r="M90" i="12"/>
  <c r="L90" i="12"/>
  <c r="N89" i="12"/>
  <c r="M89" i="12"/>
  <c r="L89" i="12"/>
  <c r="N88" i="12"/>
  <c r="M88" i="12"/>
  <c r="L88" i="12"/>
  <c r="N87" i="12"/>
  <c r="M87" i="12"/>
  <c r="L87" i="12"/>
  <c r="N86" i="12"/>
  <c r="M86" i="12"/>
  <c r="L86" i="12"/>
  <c r="N85" i="12"/>
  <c r="M85" i="12"/>
  <c r="L85" i="12"/>
  <c r="N84" i="12"/>
  <c r="M84" i="12"/>
  <c r="L84" i="12"/>
  <c r="N83" i="12"/>
  <c r="M83" i="12"/>
  <c r="L83" i="12"/>
  <c r="N82" i="12"/>
  <c r="M82" i="12"/>
  <c r="L82" i="12"/>
  <c r="N81" i="12"/>
  <c r="M81" i="12"/>
  <c r="L81" i="12"/>
  <c r="N80" i="12"/>
  <c r="M80" i="12"/>
  <c r="L80" i="12"/>
  <c r="N79" i="12"/>
  <c r="M79" i="12"/>
  <c r="L79" i="12"/>
  <c r="N78" i="12"/>
  <c r="M78" i="12"/>
  <c r="L78" i="12"/>
  <c r="N77" i="12"/>
  <c r="M77" i="12"/>
  <c r="L77" i="12"/>
  <c r="N76" i="12"/>
  <c r="M76" i="12"/>
  <c r="L76" i="12"/>
  <c r="N75" i="12"/>
  <c r="M75" i="12"/>
  <c r="L75" i="12"/>
  <c r="N74" i="12"/>
  <c r="M74" i="12"/>
  <c r="L74" i="12"/>
  <c r="N73" i="12"/>
  <c r="M73" i="12"/>
  <c r="L73" i="12"/>
  <c r="N72" i="12"/>
  <c r="M72" i="12"/>
  <c r="L72" i="12"/>
  <c r="N71" i="12"/>
  <c r="M71" i="12"/>
  <c r="L71" i="12"/>
  <c r="N70" i="12"/>
  <c r="M70" i="12"/>
  <c r="L70" i="12"/>
  <c r="N69" i="12"/>
  <c r="M69" i="12"/>
  <c r="L69" i="12"/>
  <c r="N68" i="12"/>
  <c r="M68" i="12"/>
  <c r="L68" i="12"/>
  <c r="N67" i="12"/>
  <c r="M67" i="12"/>
  <c r="L67" i="12"/>
  <c r="N66" i="12"/>
  <c r="M66" i="12"/>
  <c r="L66" i="12"/>
  <c r="N65" i="12"/>
  <c r="M65" i="12"/>
  <c r="L65" i="12"/>
  <c r="N64" i="12"/>
  <c r="M64" i="12"/>
  <c r="L64" i="12"/>
  <c r="N63" i="12"/>
  <c r="M63" i="12"/>
  <c r="L63" i="12"/>
  <c r="N62" i="12"/>
  <c r="M62" i="12"/>
  <c r="L62" i="12"/>
  <c r="N61" i="12"/>
  <c r="M61" i="12"/>
  <c r="L61" i="12"/>
  <c r="N60" i="12"/>
  <c r="M60" i="12"/>
  <c r="L60" i="12"/>
  <c r="N59" i="12"/>
  <c r="M59" i="12"/>
  <c r="L59" i="12"/>
  <c r="N58" i="12"/>
  <c r="M58" i="12"/>
  <c r="L58" i="12"/>
  <c r="N57" i="12"/>
  <c r="M57" i="12"/>
  <c r="L57" i="12"/>
  <c r="N56" i="12"/>
  <c r="M56" i="12"/>
  <c r="L56" i="12"/>
  <c r="N55" i="12"/>
  <c r="M55" i="12"/>
  <c r="L55" i="12"/>
  <c r="N54" i="12"/>
  <c r="M54" i="12"/>
  <c r="L54" i="12"/>
  <c r="N53" i="12"/>
  <c r="M53" i="12"/>
  <c r="L53" i="12"/>
  <c r="N52" i="12"/>
  <c r="M52" i="12"/>
  <c r="L52" i="12"/>
  <c r="N51" i="12"/>
  <c r="M51" i="12"/>
  <c r="L51" i="12"/>
  <c r="N50" i="12"/>
  <c r="M50" i="12"/>
  <c r="L50" i="12"/>
  <c r="N49" i="12"/>
  <c r="M49" i="12"/>
  <c r="L49" i="12"/>
  <c r="N48" i="12"/>
  <c r="M48" i="12"/>
  <c r="L48" i="12"/>
  <c r="N47" i="12"/>
  <c r="M47" i="12"/>
  <c r="L47" i="12"/>
  <c r="N46" i="12"/>
  <c r="M46" i="12"/>
  <c r="L46" i="12"/>
  <c r="N45" i="12"/>
  <c r="M45" i="12"/>
  <c r="L45" i="12"/>
  <c r="N44" i="12"/>
  <c r="M44" i="12"/>
  <c r="L44" i="12"/>
  <c r="N43" i="12"/>
  <c r="M43" i="12"/>
  <c r="L43" i="12"/>
  <c r="N42" i="12"/>
  <c r="M42" i="12"/>
  <c r="L42" i="12"/>
  <c r="N41" i="12"/>
  <c r="M41" i="12"/>
  <c r="L41" i="12"/>
  <c r="N40" i="12"/>
  <c r="M40" i="12"/>
  <c r="L40" i="12"/>
  <c r="N39" i="12"/>
  <c r="M39" i="12"/>
  <c r="L39" i="12"/>
  <c r="N38" i="12"/>
  <c r="M38" i="12"/>
  <c r="L38" i="12"/>
  <c r="N37" i="12"/>
  <c r="M37" i="12"/>
  <c r="L37" i="12"/>
  <c r="N36" i="12"/>
  <c r="M36" i="12"/>
  <c r="L36" i="12"/>
  <c r="N35" i="12"/>
  <c r="M35" i="12"/>
  <c r="L35" i="12"/>
  <c r="N34" i="12"/>
  <c r="M34" i="12"/>
  <c r="L34" i="12"/>
  <c r="N33" i="12"/>
  <c r="M33" i="12"/>
  <c r="L33" i="12"/>
  <c r="N32" i="12"/>
  <c r="M32" i="12"/>
  <c r="L32" i="12"/>
  <c r="N31" i="12"/>
  <c r="M31" i="12"/>
  <c r="L31" i="12"/>
  <c r="N30" i="12"/>
  <c r="M30" i="12"/>
  <c r="L30" i="12"/>
  <c r="N29" i="12"/>
  <c r="M29" i="12"/>
  <c r="L29" i="12"/>
  <c r="N28" i="12"/>
  <c r="M28" i="12"/>
  <c r="L28" i="12"/>
  <c r="N27" i="12"/>
  <c r="M27" i="12"/>
  <c r="L27" i="12"/>
  <c r="N26" i="12"/>
  <c r="M26" i="12"/>
  <c r="L26" i="12"/>
  <c r="N25" i="12"/>
  <c r="M25" i="12"/>
  <c r="L25" i="12"/>
  <c r="N24" i="12"/>
  <c r="M24" i="12"/>
  <c r="L24" i="12"/>
  <c r="N23" i="12"/>
  <c r="M23" i="12"/>
  <c r="L23" i="12"/>
  <c r="N22" i="12"/>
  <c r="M22" i="12"/>
  <c r="L22" i="12"/>
  <c r="N21" i="12"/>
  <c r="M21" i="12"/>
  <c r="L21" i="12"/>
  <c r="N20" i="12"/>
  <c r="M20" i="12"/>
  <c r="L20" i="12"/>
  <c r="N19" i="12"/>
  <c r="M19" i="12"/>
  <c r="L19" i="12"/>
  <c r="N18" i="12"/>
  <c r="M18" i="12"/>
  <c r="L18" i="12"/>
  <c r="N17" i="12"/>
  <c r="M17" i="12"/>
  <c r="L17" i="12"/>
  <c r="N16" i="12"/>
  <c r="M16" i="12"/>
  <c r="L16" i="12"/>
  <c r="N15" i="12"/>
  <c r="M15" i="12"/>
  <c r="L15" i="12"/>
  <c r="N14" i="12"/>
  <c r="M14" i="12"/>
  <c r="L14" i="12"/>
  <c r="N13" i="12"/>
  <c r="M13" i="12"/>
  <c r="L13" i="12"/>
  <c r="N12" i="12"/>
  <c r="M12" i="12"/>
  <c r="L12" i="12"/>
  <c r="N11" i="12"/>
  <c r="M11" i="12"/>
  <c r="L11" i="12"/>
  <c r="N10" i="12"/>
  <c r="M10" i="12"/>
  <c r="L10" i="12"/>
  <c r="N9" i="12"/>
  <c r="M9" i="12"/>
  <c r="L9" i="12"/>
  <c r="N8" i="12"/>
  <c r="M8" i="12"/>
  <c r="L8" i="12"/>
  <c r="N7" i="12"/>
  <c r="M7" i="12"/>
  <c r="L7" i="12"/>
  <c r="N6" i="12"/>
  <c r="M6" i="12"/>
  <c r="L6" i="12"/>
  <c r="N5" i="12"/>
  <c r="M5" i="12"/>
  <c r="L5" i="12"/>
  <c r="N4" i="12"/>
  <c r="M4" i="12"/>
  <c r="L4" i="12"/>
  <c r="N3" i="12"/>
  <c r="M3" i="12"/>
  <c r="L3" i="12"/>
  <c r="N2" i="12"/>
  <c r="M2" i="12"/>
  <c r="L2" i="12"/>
  <c r="L401" i="11"/>
  <c r="L400" i="11"/>
  <c r="L399" i="11"/>
  <c r="L398" i="11"/>
  <c r="L397" i="11"/>
  <c r="L396" i="11"/>
  <c r="L395" i="11"/>
  <c r="L394" i="11"/>
  <c r="L393" i="11"/>
  <c r="L392" i="11"/>
  <c r="L391" i="11"/>
  <c r="L390" i="11"/>
  <c r="L389" i="11"/>
  <c r="L388" i="11"/>
  <c r="L387" i="11"/>
  <c r="L386" i="11"/>
  <c r="L385" i="11"/>
  <c r="L384" i="11"/>
  <c r="L383" i="11"/>
  <c r="L382" i="11"/>
  <c r="L381" i="11"/>
  <c r="L380" i="11"/>
  <c r="L379" i="11"/>
  <c r="L378" i="11"/>
  <c r="L377" i="11"/>
  <c r="L376" i="11"/>
  <c r="L375" i="11"/>
  <c r="L374" i="11"/>
  <c r="L373" i="11"/>
  <c r="L372" i="11"/>
  <c r="L371" i="11"/>
  <c r="L370" i="11"/>
  <c r="L369" i="11"/>
  <c r="L368" i="11"/>
  <c r="L367" i="11"/>
  <c r="L366" i="11"/>
  <c r="L365" i="11"/>
  <c r="L364" i="11"/>
  <c r="L363" i="11"/>
  <c r="L362" i="11"/>
  <c r="L361" i="11"/>
  <c r="L360" i="11"/>
  <c r="L359" i="11"/>
  <c r="L358" i="11"/>
  <c r="L357" i="11"/>
  <c r="L356" i="11"/>
  <c r="L355" i="11"/>
  <c r="L354" i="11"/>
  <c r="L353" i="11"/>
  <c r="L352" i="11"/>
  <c r="L351" i="11"/>
  <c r="L350" i="11"/>
  <c r="L349" i="11"/>
  <c r="L348" i="11"/>
  <c r="L347" i="11"/>
  <c r="L346" i="11"/>
  <c r="L345" i="11"/>
  <c r="L344" i="11"/>
  <c r="L343" i="11"/>
  <c r="L342" i="11"/>
  <c r="L341" i="11"/>
  <c r="L340" i="11"/>
  <c r="L339" i="11"/>
  <c r="L338" i="11"/>
  <c r="L337" i="11"/>
  <c r="L336" i="11"/>
  <c r="L335" i="11"/>
  <c r="L334" i="11"/>
  <c r="L333" i="11"/>
  <c r="L332" i="11"/>
  <c r="L331" i="11"/>
  <c r="L330" i="11"/>
  <c r="L329" i="11"/>
  <c r="L328" i="11"/>
  <c r="L327" i="11"/>
  <c r="L326" i="11"/>
  <c r="L325" i="11"/>
  <c r="L324" i="11"/>
  <c r="L323" i="11"/>
  <c r="L322" i="11"/>
  <c r="L321" i="11"/>
  <c r="L320" i="11"/>
  <c r="L319" i="11"/>
  <c r="L318" i="11"/>
  <c r="L317" i="11"/>
  <c r="L316" i="11"/>
  <c r="L315" i="11"/>
  <c r="L314" i="11"/>
  <c r="L313" i="11"/>
  <c r="L312" i="11"/>
  <c r="L311" i="11"/>
  <c r="L310" i="11"/>
  <c r="L309" i="11"/>
  <c r="L308" i="11"/>
  <c r="L307" i="11"/>
  <c r="L306" i="11"/>
  <c r="L305" i="11"/>
  <c r="L304" i="11"/>
  <c r="L303" i="11"/>
  <c r="L302" i="11"/>
  <c r="L301" i="11"/>
  <c r="L300" i="11"/>
  <c r="L299" i="11"/>
  <c r="L298" i="11"/>
  <c r="L297" i="11"/>
  <c r="L296" i="11"/>
  <c r="L295" i="11"/>
  <c r="L294" i="11"/>
  <c r="L293" i="11"/>
  <c r="L292" i="11"/>
  <c r="L291" i="11"/>
  <c r="L290" i="11"/>
  <c r="L289" i="11"/>
  <c r="L288" i="11"/>
  <c r="L287" i="11"/>
  <c r="L286" i="11"/>
  <c r="L285" i="11"/>
  <c r="L284" i="11"/>
  <c r="L283" i="11"/>
  <c r="L282" i="11"/>
  <c r="L281" i="11"/>
  <c r="L280" i="11"/>
  <c r="L279" i="11"/>
  <c r="L278" i="11"/>
  <c r="L277" i="11"/>
  <c r="L276" i="11"/>
  <c r="L275" i="11"/>
  <c r="L274" i="11"/>
  <c r="L273" i="11"/>
  <c r="L272" i="11"/>
  <c r="L271" i="11"/>
  <c r="L270" i="11"/>
  <c r="L269" i="11"/>
  <c r="L268" i="11"/>
  <c r="L267" i="11"/>
  <c r="L266" i="11"/>
  <c r="L265" i="11"/>
  <c r="L264" i="11"/>
  <c r="L263" i="11"/>
  <c r="L262" i="11"/>
  <c r="L261" i="11"/>
  <c r="L260" i="11"/>
  <c r="L259" i="11"/>
  <c r="L258" i="11"/>
  <c r="L257" i="11"/>
  <c r="L256" i="11"/>
  <c r="L255" i="11"/>
  <c r="L254" i="11"/>
  <c r="L253" i="11"/>
  <c r="L252" i="11"/>
  <c r="L251" i="11"/>
  <c r="L250" i="11"/>
  <c r="L249" i="11"/>
  <c r="L248" i="11"/>
  <c r="L247" i="11"/>
  <c r="L246" i="11"/>
  <c r="L245" i="11"/>
  <c r="L244" i="11"/>
  <c r="L243" i="11"/>
  <c r="L242" i="11"/>
  <c r="L241" i="11"/>
  <c r="L240" i="11"/>
  <c r="L239" i="11"/>
  <c r="L238" i="11"/>
  <c r="L237" i="11"/>
  <c r="L236" i="11"/>
  <c r="L235" i="11"/>
  <c r="L234" i="11"/>
  <c r="L233" i="11"/>
  <c r="L232" i="11"/>
  <c r="L231" i="11"/>
  <c r="L230" i="11"/>
  <c r="L229" i="11"/>
  <c r="L228" i="11"/>
  <c r="L227" i="11"/>
  <c r="L226" i="11"/>
  <c r="L225" i="11"/>
  <c r="L224" i="11"/>
  <c r="L223" i="11"/>
  <c r="L222" i="11"/>
  <c r="L221" i="11"/>
  <c r="L220" i="11"/>
  <c r="L219" i="11"/>
  <c r="L218" i="11"/>
  <c r="L217" i="11"/>
  <c r="L216" i="11"/>
  <c r="L215" i="11"/>
  <c r="L214" i="11"/>
  <c r="L213" i="11"/>
  <c r="L212" i="11"/>
  <c r="L211" i="11"/>
  <c r="L210" i="11"/>
  <c r="L209" i="11"/>
  <c r="L208" i="11"/>
  <c r="L207" i="11"/>
  <c r="L206" i="11"/>
  <c r="L205" i="11"/>
  <c r="L204" i="11"/>
  <c r="L203" i="11"/>
  <c r="L202" i="11"/>
  <c r="L201" i="11"/>
  <c r="L200" i="11"/>
  <c r="L199" i="11"/>
  <c r="L198" i="11"/>
  <c r="L197" i="11"/>
  <c r="L196" i="11"/>
  <c r="L195" i="11"/>
  <c r="L194" i="11"/>
  <c r="L193" i="11"/>
  <c r="L192" i="11"/>
  <c r="L191" i="11"/>
  <c r="L190" i="11"/>
  <c r="L189" i="11"/>
  <c r="L188" i="11"/>
  <c r="L187" i="11"/>
  <c r="L186" i="11"/>
  <c r="L185" i="11"/>
  <c r="L184" i="11"/>
  <c r="L183" i="11"/>
  <c r="L182" i="11"/>
  <c r="L181" i="11"/>
  <c r="L180" i="11"/>
  <c r="L179" i="11"/>
  <c r="L178" i="11"/>
  <c r="L177" i="11"/>
  <c r="L176" i="11"/>
  <c r="L175" i="11"/>
  <c r="L174" i="11"/>
  <c r="L173" i="11"/>
  <c r="L172" i="11"/>
  <c r="L171" i="11"/>
  <c r="L170" i="11"/>
  <c r="L169" i="11"/>
  <c r="L168" i="11"/>
  <c r="L167" i="11"/>
  <c r="L166" i="11"/>
  <c r="L165" i="11"/>
  <c r="L164" i="11"/>
  <c r="L163" i="11"/>
  <c r="L162" i="11"/>
  <c r="L161" i="11"/>
  <c r="L160" i="11"/>
  <c r="L159" i="11"/>
  <c r="L158" i="11"/>
  <c r="L157" i="11"/>
  <c r="L156" i="11"/>
  <c r="L155" i="11"/>
  <c r="L154" i="11"/>
  <c r="L153" i="11"/>
  <c r="L152" i="11"/>
  <c r="L151" i="11"/>
  <c r="L150" i="11"/>
  <c r="L149" i="11"/>
  <c r="L148" i="11"/>
  <c r="L147" i="11"/>
  <c r="L146" i="11"/>
  <c r="L145" i="11"/>
  <c r="L144" i="11"/>
  <c r="L143" i="11"/>
  <c r="L142" i="11"/>
  <c r="L141" i="11"/>
  <c r="L140" i="11"/>
  <c r="L139" i="11"/>
  <c r="L138" i="11"/>
  <c r="L137" i="11"/>
  <c r="L136" i="11"/>
  <c r="L135" i="11"/>
  <c r="L134" i="11"/>
  <c r="L133" i="11"/>
  <c r="L132" i="11"/>
  <c r="L131" i="11"/>
  <c r="L130" i="11"/>
  <c r="L129" i="11"/>
  <c r="L128" i="11"/>
  <c r="L127" i="11"/>
  <c r="L126" i="11"/>
  <c r="L125" i="11"/>
  <c r="L124" i="11"/>
  <c r="L123" i="11"/>
  <c r="L122" i="11"/>
  <c r="L121" i="11"/>
  <c r="L120" i="11"/>
  <c r="L119" i="11"/>
  <c r="L118" i="11"/>
  <c r="L117" i="11"/>
  <c r="L116" i="11"/>
  <c r="L115" i="11"/>
  <c r="L114" i="11"/>
  <c r="L113" i="11"/>
  <c r="L112" i="11"/>
  <c r="L111" i="11"/>
  <c r="L110" i="11"/>
  <c r="L109" i="11"/>
  <c r="L108" i="11"/>
  <c r="L107" i="11"/>
  <c r="L106" i="11"/>
  <c r="L105" i="11"/>
  <c r="L104" i="11"/>
  <c r="L103" i="11"/>
  <c r="L102" i="11"/>
  <c r="L101" i="11"/>
  <c r="L100" i="11"/>
  <c r="L99" i="11"/>
  <c r="L98" i="11"/>
  <c r="L97" i="11"/>
  <c r="L96" i="11"/>
  <c r="L95" i="11"/>
  <c r="L94" i="11"/>
  <c r="L93" i="11"/>
  <c r="L92" i="11"/>
  <c r="L91" i="11"/>
  <c r="L90" i="11"/>
  <c r="L89" i="11"/>
  <c r="L88" i="11"/>
  <c r="L87" i="11"/>
  <c r="L86" i="11"/>
  <c r="L85" i="11"/>
  <c r="L84" i="11"/>
  <c r="L83" i="11"/>
  <c r="L82" i="11"/>
  <c r="L81" i="11"/>
  <c r="L80" i="11"/>
  <c r="L79" i="11"/>
  <c r="L78" i="11"/>
  <c r="L77" i="11"/>
  <c r="L76" i="11"/>
  <c r="L75" i="11"/>
  <c r="L74" i="11"/>
  <c r="L73" i="11"/>
  <c r="L72" i="11"/>
  <c r="L71" i="11"/>
  <c r="L70" i="11"/>
  <c r="L69" i="11"/>
  <c r="L68" i="11"/>
  <c r="L67" i="11"/>
  <c r="L66" i="11"/>
  <c r="L65" i="11"/>
  <c r="L64" i="11"/>
  <c r="L63" i="11"/>
  <c r="L62" i="11"/>
  <c r="L61" i="11"/>
  <c r="L60" i="11"/>
  <c r="L59" i="11"/>
  <c r="L58" i="11"/>
  <c r="L57" i="11"/>
  <c r="L56" i="11"/>
  <c r="L55" i="11"/>
  <c r="L54" i="11"/>
  <c r="L53" i="11"/>
  <c r="L52" i="11"/>
  <c r="L51" i="11"/>
  <c r="L50" i="11"/>
  <c r="L49" i="11"/>
  <c r="L48" i="11"/>
  <c r="L47" i="11"/>
  <c r="L46" i="11"/>
  <c r="L45" i="11"/>
  <c r="L44" i="11"/>
  <c r="L43" i="11"/>
  <c r="L42" i="11"/>
  <c r="L41" i="11"/>
  <c r="L40" i="11"/>
  <c r="L39" i="11"/>
  <c r="L38" i="11"/>
  <c r="L37" i="11"/>
  <c r="L36" i="11"/>
  <c r="L35" i="11"/>
  <c r="L34" i="11"/>
  <c r="L33" i="11"/>
  <c r="L32" i="11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L2" i="11"/>
  <c r="L401" i="10"/>
  <c r="M401" i="10" s="1"/>
  <c r="L400" i="10"/>
  <c r="M400" i="10" s="1"/>
  <c r="L399" i="10"/>
  <c r="M399" i="10" s="1"/>
  <c r="L398" i="10"/>
  <c r="M398" i="10" s="1"/>
  <c r="L397" i="10"/>
  <c r="M397" i="10" s="1"/>
  <c r="L396" i="10"/>
  <c r="M396" i="10" s="1"/>
  <c r="L395" i="10"/>
  <c r="M395" i="10" s="1"/>
  <c r="L394" i="10"/>
  <c r="M394" i="10" s="1"/>
  <c r="L393" i="10"/>
  <c r="M393" i="10" s="1"/>
  <c r="L392" i="10"/>
  <c r="M392" i="10" s="1"/>
  <c r="L391" i="10"/>
  <c r="M391" i="10" s="1"/>
  <c r="L390" i="10"/>
  <c r="M390" i="10" s="1"/>
  <c r="L389" i="10"/>
  <c r="M389" i="10" s="1"/>
  <c r="L388" i="10"/>
  <c r="M388" i="10" s="1"/>
  <c r="L387" i="10"/>
  <c r="M387" i="10" s="1"/>
  <c r="L386" i="10"/>
  <c r="M386" i="10" s="1"/>
  <c r="L385" i="10"/>
  <c r="M385" i="10" s="1"/>
  <c r="L384" i="10"/>
  <c r="M384" i="10" s="1"/>
  <c r="L383" i="10"/>
  <c r="M383" i="10" s="1"/>
  <c r="L382" i="10"/>
  <c r="M382" i="10" s="1"/>
  <c r="L381" i="10"/>
  <c r="M381" i="10" s="1"/>
  <c r="L380" i="10"/>
  <c r="M380" i="10" s="1"/>
  <c r="L379" i="10"/>
  <c r="M379" i="10" s="1"/>
  <c r="L378" i="10"/>
  <c r="M378" i="10" s="1"/>
  <c r="L377" i="10"/>
  <c r="M377" i="10" s="1"/>
  <c r="L376" i="10"/>
  <c r="M376" i="10" s="1"/>
  <c r="L375" i="10"/>
  <c r="M375" i="10" s="1"/>
  <c r="L374" i="10"/>
  <c r="M374" i="10" s="1"/>
  <c r="L373" i="10"/>
  <c r="M373" i="10" s="1"/>
  <c r="L372" i="10"/>
  <c r="M372" i="10" s="1"/>
  <c r="L371" i="10"/>
  <c r="M371" i="10" s="1"/>
  <c r="L370" i="10"/>
  <c r="M370" i="10" s="1"/>
  <c r="L369" i="10"/>
  <c r="M369" i="10" s="1"/>
  <c r="L368" i="10"/>
  <c r="M368" i="10" s="1"/>
  <c r="L367" i="10"/>
  <c r="M367" i="10" s="1"/>
  <c r="L366" i="10"/>
  <c r="M366" i="10" s="1"/>
  <c r="L365" i="10"/>
  <c r="M365" i="10" s="1"/>
  <c r="L364" i="10"/>
  <c r="M364" i="10" s="1"/>
  <c r="L363" i="10"/>
  <c r="M363" i="10" s="1"/>
  <c r="L362" i="10"/>
  <c r="M362" i="10" s="1"/>
  <c r="L361" i="10"/>
  <c r="M361" i="10" s="1"/>
  <c r="L360" i="10"/>
  <c r="M360" i="10" s="1"/>
  <c r="L359" i="10"/>
  <c r="M359" i="10" s="1"/>
  <c r="L358" i="10"/>
  <c r="M358" i="10" s="1"/>
  <c r="L357" i="10"/>
  <c r="M357" i="10" s="1"/>
  <c r="L356" i="10"/>
  <c r="M356" i="10" s="1"/>
  <c r="L355" i="10"/>
  <c r="M355" i="10" s="1"/>
  <c r="L354" i="10"/>
  <c r="M354" i="10" s="1"/>
  <c r="L353" i="10"/>
  <c r="M353" i="10" s="1"/>
  <c r="L352" i="10"/>
  <c r="M352" i="10" s="1"/>
  <c r="L351" i="10"/>
  <c r="M351" i="10" s="1"/>
  <c r="L350" i="10"/>
  <c r="M350" i="10" s="1"/>
  <c r="L349" i="10"/>
  <c r="M349" i="10" s="1"/>
  <c r="L348" i="10"/>
  <c r="M348" i="10" s="1"/>
  <c r="L347" i="10"/>
  <c r="M347" i="10" s="1"/>
  <c r="L346" i="10"/>
  <c r="M346" i="10" s="1"/>
  <c r="L345" i="10"/>
  <c r="M345" i="10" s="1"/>
  <c r="L344" i="10"/>
  <c r="M344" i="10" s="1"/>
  <c r="L343" i="10"/>
  <c r="M343" i="10" s="1"/>
  <c r="L342" i="10"/>
  <c r="M342" i="10" s="1"/>
  <c r="L341" i="10"/>
  <c r="M341" i="10" s="1"/>
  <c r="L340" i="10"/>
  <c r="M340" i="10" s="1"/>
  <c r="L339" i="10"/>
  <c r="M339" i="10" s="1"/>
  <c r="L338" i="10"/>
  <c r="M338" i="10" s="1"/>
  <c r="L337" i="10"/>
  <c r="M337" i="10" s="1"/>
  <c r="L336" i="10"/>
  <c r="M336" i="10" s="1"/>
  <c r="L335" i="10"/>
  <c r="M335" i="10" s="1"/>
  <c r="L334" i="10"/>
  <c r="M334" i="10" s="1"/>
  <c r="L333" i="10"/>
  <c r="M333" i="10" s="1"/>
  <c r="L332" i="10"/>
  <c r="M332" i="10" s="1"/>
  <c r="L331" i="10"/>
  <c r="M331" i="10" s="1"/>
  <c r="L330" i="10"/>
  <c r="M330" i="10" s="1"/>
  <c r="L329" i="10"/>
  <c r="M329" i="10" s="1"/>
  <c r="L328" i="10"/>
  <c r="M328" i="10" s="1"/>
  <c r="L327" i="10"/>
  <c r="M327" i="10" s="1"/>
  <c r="L326" i="10"/>
  <c r="M326" i="10" s="1"/>
  <c r="L325" i="10"/>
  <c r="M325" i="10" s="1"/>
  <c r="L324" i="10"/>
  <c r="M324" i="10" s="1"/>
  <c r="L323" i="10"/>
  <c r="M323" i="10" s="1"/>
  <c r="L322" i="10"/>
  <c r="M322" i="10" s="1"/>
  <c r="L321" i="10"/>
  <c r="M321" i="10" s="1"/>
  <c r="L320" i="10"/>
  <c r="M320" i="10" s="1"/>
  <c r="L319" i="10"/>
  <c r="M319" i="10" s="1"/>
  <c r="L318" i="10"/>
  <c r="M318" i="10" s="1"/>
  <c r="L317" i="10"/>
  <c r="M317" i="10" s="1"/>
  <c r="L316" i="10"/>
  <c r="M316" i="10" s="1"/>
  <c r="L315" i="10"/>
  <c r="M315" i="10" s="1"/>
  <c r="L314" i="10"/>
  <c r="M314" i="10" s="1"/>
  <c r="L313" i="10"/>
  <c r="M313" i="10" s="1"/>
  <c r="L312" i="10"/>
  <c r="M312" i="10" s="1"/>
  <c r="L311" i="10"/>
  <c r="M311" i="10" s="1"/>
  <c r="L310" i="10"/>
  <c r="M310" i="10" s="1"/>
  <c r="L309" i="10"/>
  <c r="M309" i="10" s="1"/>
  <c r="L308" i="10"/>
  <c r="M308" i="10" s="1"/>
  <c r="L307" i="10"/>
  <c r="M307" i="10" s="1"/>
  <c r="L306" i="10"/>
  <c r="M306" i="10" s="1"/>
  <c r="L305" i="10"/>
  <c r="M305" i="10" s="1"/>
  <c r="L304" i="10"/>
  <c r="M304" i="10" s="1"/>
  <c r="L303" i="10"/>
  <c r="M303" i="10" s="1"/>
  <c r="L302" i="10"/>
  <c r="M302" i="10" s="1"/>
  <c r="L301" i="10"/>
  <c r="M301" i="10" s="1"/>
  <c r="L300" i="10"/>
  <c r="M300" i="10" s="1"/>
  <c r="L299" i="10"/>
  <c r="M299" i="10" s="1"/>
  <c r="L298" i="10"/>
  <c r="M298" i="10" s="1"/>
  <c r="L297" i="10"/>
  <c r="M297" i="10" s="1"/>
  <c r="L296" i="10"/>
  <c r="M296" i="10" s="1"/>
  <c r="L295" i="10"/>
  <c r="M295" i="10" s="1"/>
  <c r="L294" i="10"/>
  <c r="M294" i="10" s="1"/>
  <c r="L293" i="10"/>
  <c r="M293" i="10" s="1"/>
  <c r="L292" i="10"/>
  <c r="M292" i="10" s="1"/>
  <c r="L291" i="10"/>
  <c r="M291" i="10" s="1"/>
  <c r="L290" i="10"/>
  <c r="M290" i="10" s="1"/>
  <c r="L289" i="10"/>
  <c r="M289" i="10" s="1"/>
  <c r="L288" i="10"/>
  <c r="M288" i="10" s="1"/>
  <c r="L287" i="10"/>
  <c r="M287" i="10" s="1"/>
  <c r="L286" i="10"/>
  <c r="M286" i="10" s="1"/>
  <c r="L285" i="10"/>
  <c r="M285" i="10" s="1"/>
  <c r="L284" i="10"/>
  <c r="M284" i="10" s="1"/>
  <c r="L283" i="10"/>
  <c r="M283" i="10" s="1"/>
  <c r="L282" i="10"/>
  <c r="M282" i="10" s="1"/>
  <c r="L281" i="10"/>
  <c r="M281" i="10" s="1"/>
  <c r="L280" i="10"/>
  <c r="M280" i="10" s="1"/>
  <c r="L279" i="10"/>
  <c r="M279" i="10" s="1"/>
  <c r="L278" i="10"/>
  <c r="M278" i="10" s="1"/>
  <c r="L277" i="10"/>
  <c r="M277" i="10" s="1"/>
  <c r="L276" i="10"/>
  <c r="M276" i="10" s="1"/>
  <c r="L275" i="10"/>
  <c r="M275" i="10" s="1"/>
  <c r="L274" i="10"/>
  <c r="M274" i="10" s="1"/>
  <c r="L273" i="10"/>
  <c r="M273" i="10" s="1"/>
  <c r="L272" i="10"/>
  <c r="M272" i="10" s="1"/>
  <c r="L271" i="10"/>
  <c r="M271" i="10" s="1"/>
  <c r="L270" i="10"/>
  <c r="M270" i="10" s="1"/>
  <c r="L269" i="10"/>
  <c r="M269" i="10" s="1"/>
  <c r="L268" i="10"/>
  <c r="M268" i="10" s="1"/>
  <c r="L267" i="10"/>
  <c r="M267" i="10" s="1"/>
  <c r="L266" i="10"/>
  <c r="M266" i="10" s="1"/>
  <c r="L265" i="10"/>
  <c r="M265" i="10" s="1"/>
  <c r="L264" i="10"/>
  <c r="M264" i="10" s="1"/>
  <c r="L263" i="10"/>
  <c r="M263" i="10" s="1"/>
  <c r="L262" i="10"/>
  <c r="M262" i="10" s="1"/>
  <c r="L261" i="10"/>
  <c r="M261" i="10" s="1"/>
  <c r="L260" i="10"/>
  <c r="M260" i="10" s="1"/>
  <c r="L259" i="10"/>
  <c r="M259" i="10" s="1"/>
  <c r="L258" i="10"/>
  <c r="M258" i="10" s="1"/>
  <c r="L257" i="10"/>
  <c r="M257" i="10" s="1"/>
  <c r="L256" i="10"/>
  <c r="M256" i="10" s="1"/>
  <c r="L255" i="10"/>
  <c r="M255" i="10" s="1"/>
  <c r="L254" i="10"/>
  <c r="M254" i="10" s="1"/>
  <c r="L253" i="10"/>
  <c r="M253" i="10" s="1"/>
  <c r="L252" i="10"/>
  <c r="M252" i="10" s="1"/>
  <c r="L251" i="10"/>
  <c r="M251" i="10" s="1"/>
  <c r="L250" i="10"/>
  <c r="M250" i="10" s="1"/>
  <c r="L249" i="10"/>
  <c r="M249" i="10" s="1"/>
  <c r="L248" i="10"/>
  <c r="M248" i="10" s="1"/>
  <c r="L247" i="10"/>
  <c r="M247" i="10" s="1"/>
  <c r="L246" i="10"/>
  <c r="M246" i="10" s="1"/>
  <c r="L245" i="10"/>
  <c r="M245" i="10" s="1"/>
  <c r="L244" i="10"/>
  <c r="M244" i="10" s="1"/>
  <c r="L243" i="10"/>
  <c r="M243" i="10" s="1"/>
  <c r="L242" i="10"/>
  <c r="M242" i="10" s="1"/>
  <c r="L241" i="10"/>
  <c r="M241" i="10" s="1"/>
  <c r="L240" i="10"/>
  <c r="M240" i="10" s="1"/>
  <c r="L239" i="10"/>
  <c r="M239" i="10" s="1"/>
  <c r="L238" i="10"/>
  <c r="M238" i="10" s="1"/>
  <c r="L237" i="10"/>
  <c r="M237" i="10" s="1"/>
  <c r="L236" i="10"/>
  <c r="M236" i="10" s="1"/>
  <c r="L235" i="10"/>
  <c r="M235" i="10" s="1"/>
  <c r="L234" i="10"/>
  <c r="M234" i="10" s="1"/>
  <c r="L233" i="10"/>
  <c r="M233" i="10" s="1"/>
  <c r="L232" i="10"/>
  <c r="M232" i="10" s="1"/>
  <c r="L231" i="10"/>
  <c r="M231" i="10" s="1"/>
  <c r="L230" i="10"/>
  <c r="M230" i="10" s="1"/>
  <c r="L229" i="10"/>
  <c r="M229" i="10" s="1"/>
  <c r="L228" i="10"/>
  <c r="M228" i="10" s="1"/>
  <c r="L227" i="10"/>
  <c r="M227" i="10" s="1"/>
  <c r="L226" i="10"/>
  <c r="M226" i="10" s="1"/>
  <c r="L225" i="10"/>
  <c r="M225" i="10" s="1"/>
  <c r="L224" i="10"/>
  <c r="M224" i="10" s="1"/>
  <c r="L223" i="10"/>
  <c r="M223" i="10" s="1"/>
  <c r="L222" i="10"/>
  <c r="M222" i="10" s="1"/>
  <c r="L221" i="10"/>
  <c r="M221" i="10" s="1"/>
  <c r="L220" i="10"/>
  <c r="M220" i="10" s="1"/>
  <c r="L219" i="10"/>
  <c r="M219" i="10" s="1"/>
  <c r="L218" i="10"/>
  <c r="M218" i="10" s="1"/>
  <c r="L217" i="10"/>
  <c r="M217" i="10" s="1"/>
  <c r="L216" i="10"/>
  <c r="M216" i="10" s="1"/>
  <c r="L215" i="10"/>
  <c r="M215" i="10" s="1"/>
  <c r="L214" i="10"/>
  <c r="M214" i="10" s="1"/>
  <c r="L213" i="10"/>
  <c r="M213" i="10" s="1"/>
  <c r="L212" i="10"/>
  <c r="M212" i="10" s="1"/>
  <c r="L211" i="10"/>
  <c r="M211" i="10" s="1"/>
  <c r="L210" i="10"/>
  <c r="M210" i="10" s="1"/>
  <c r="L209" i="10"/>
  <c r="M209" i="10" s="1"/>
  <c r="L208" i="10"/>
  <c r="M208" i="10" s="1"/>
  <c r="L207" i="10"/>
  <c r="M207" i="10" s="1"/>
  <c r="L206" i="10"/>
  <c r="M206" i="10" s="1"/>
  <c r="L205" i="10"/>
  <c r="M205" i="10" s="1"/>
  <c r="L204" i="10"/>
  <c r="M204" i="10" s="1"/>
  <c r="L203" i="10"/>
  <c r="M203" i="10" s="1"/>
  <c r="L202" i="10"/>
  <c r="M202" i="10" s="1"/>
  <c r="L201" i="10"/>
  <c r="M201" i="10" s="1"/>
  <c r="L200" i="10"/>
  <c r="M200" i="10" s="1"/>
  <c r="L199" i="10"/>
  <c r="M199" i="10" s="1"/>
  <c r="L198" i="10"/>
  <c r="M198" i="10" s="1"/>
  <c r="L197" i="10"/>
  <c r="M197" i="10" s="1"/>
  <c r="L196" i="10"/>
  <c r="M196" i="10" s="1"/>
  <c r="L195" i="10"/>
  <c r="M195" i="10" s="1"/>
  <c r="L194" i="10"/>
  <c r="M194" i="10" s="1"/>
  <c r="L193" i="10"/>
  <c r="M193" i="10" s="1"/>
  <c r="L192" i="10"/>
  <c r="M192" i="10" s="1"/>
  <c r="L191" i="10"/>
  <c r="M191" i="10" s="1"/>
  <c r="L190" i="10"/>
  <c r="M190" i="10" s="1"/>
  <c r="L189" i="10"/>
  <c r="M189" i="10" s="1"/>
  <c r="L188" i="10"/>
  <c r="M188" i="10" s="1"/>
  <c r="L187" i="10"/>
  <c r="M187" i="10" s="1"/>
  <c r="L186" i="10"/>
  <c r="M186" i="10" s="1"/>
  <c r="L185" i="10"/>
  <c r="M185" i="10" s="1"/>
  <c r="L184" i="10"/>
  <c r="M184" i="10" s="1"/>
  <c r="L183" i="10"/>
  <c r="M183" i="10" s="1"/>
  <c r="L182" i="10"/>
  <c r="M182" i="10" s="1"/>
  <c r="L181" i="10"/>
  <c r="M181" i="10" s="1"/>
  <c r="L180" i="10"/>
  <c r="M180" i="10" s="1"/>
  <c r="L179" i="10"/>
  <c r="M179" i="10" s="1"/>
  <c r="L178" i="10"/>
  <c r="M178" i="10" s="1"/>
  <c r="L177" i="10"/>
  <c r="M177" i="10" s="1"/>
  <c r="L176" i="10"/>
  <c r="M176" i="10" s="1"/>
  <c r="L175" i="10"/>
  <c r="M175" i="10" s="1"/>
  <c r="L174" i="10"/>
  <c r="M174" i="10" s="1"/>
  <c r="L173" i="10"/>
  <c r="M173" i="10" s="1"/>
  <c r="L172" i="10"/>
  <c r="M172" i="10" s="1"/>
  <c r="L171" i="10"/>
  <c r="M171" i="10" s="1"/>
  <c r="L170" i="10"/>
  <c r="M170" i="10" s="1"/>
  <c r="L169" i="10"/>
  <c r="M169" i="10" s="1"/>
  <c r="L168" i="10"/>
  <c r="M168" i="10" s="1"/>
  <c r="L167" i="10"/>
  <c r="M167" i="10" s="1"/>
  <c r="L166" i="10"/>
  <c r="M166" i="10" s="1"/>
  <c r="L165" i="10"/>
  <c r="M165" i="10" s="1"/>
  <c r="L164" i="10"/>
  <c r="M164" i="10" s="1"/>
  <c r="L163" i="10"/>
  <c r="M163" i="10" s="1"/>
  <c r="L162" i="10"/>
  <c r="M162" i="10" s="1"/>
  <c r="L161" i="10"/>
  <c r="M161" i="10" s="1"/>
  <c r="L160" i="10"/>
  <c r="M160" i="10" s="1"/>
  <c r="L159" i="10"/>
  <c r="M159" i="10" s="1"/>
  <c r="L158" i="10"/>
  <c r="M158" i="10" s="1"/>
  <c r="L157" i="10"/>
  <c r="M157" i="10" s="1"/>
  <c r="L156" i="10"/>
  <c r="M156" i="10" s="1"/>
  <c r="L155" i="10"/>
  <c r="M155" i="10" s="1"/>
  <c r="L154" i="10"/>
  <c r="M154" i="10" s="1"/>
  <c r="L153" i="10"/>
  <c r="M153" i="10" s="1"/>
  <c r="L152" i="10"/>
  <c r="M152" i="10" s="1"/>
  <c r="L151" i="10"/>
  <c r="M151" i="10" s="1"/>
  <c r="L150" i="10"/>
  <c r="M150" i="10" s="1"/>
  <c r="L149" i="10"/>
  <c r="M149" i="10" s="1"/>
  <c r="L148" i="10"/>
  <c r="M148" i="10" s="1"/>
  <c r="L147" i="10"/>
  <c r="M147" i="10" s="1"/>
  <c r="L146" i="10"/>
  <c r="M146" i="10" s="1"/>
  <c r="L145" i="10"/>
  <c r="M145" i="10" s="1"/>
  <c r="L144" i="10"/>
  <c r="M144" i="10" s="1"/>
  <c r="L143" i="10"/>
  <c r="M143" i="10" s="1"/>
  <c r="L142" i="10"/>
  <c r="M142" i="10" s="1"/>
  <c r="L141" i="10"/>
  <c r="M141" i="10" s="1"/>
  <c r="L140" i="10"/>
  <c r="M140" i="10" s="1"/>
  <c r="L139" i="10"/>
  <c r="M139" i="10" s="1"/>
  <c r="L138" i="10"/>
  <c r="M138" i="10" s="1"/>
  <c r="L137" i="10"/>
  <c r="M137" i="10" s="1"/>
  <c r="L136" i="10"/>
  <c r="M136" i="10" s="1"/>
  <c r="L135" i="10"/>
  <c r="M135" i="10" s="1"/>
  <c r="L134" i="10"/>
  <c r="M134" i="10" s="1"/>
  <c r="L133" i="10"/>
  <c r="M133" i="10" s="1"/>
  <c r="L132" i="10"/>
  <c r="M132" i="10" s="1"/>
  <c r="L131" i="10"/>
  <c r="M131" i="10" s="1"/>
  <c r="L130" i="10"/>
  <c r="M130" i="10" s="1"/>
  <c r="L129" i="10"/>
  <c r="M129" i="10" s="1"/>
  <c r="L128" i="10"/>
  <c r="M128" i="10" s="1"/>
  <c r="L127" i="10"/>
  <c r="M127" i="10" s="1"/>
  <c r="L126" i="10"/>
  <c r="M126" i="10" s="1"/>
  <c r="L125" i="10"/>
  <c r="M125" i="10" s="1"/>
  <c r="L124" i="10"/>
  <c r="M124" i="10" s="1"/>
  <c r="L123" i="10"/>
  <c r="M123" i="10" s="1"/>
  <c r="L122" i="10"/>
  <c r="M122" i="10" s="1"/>
  <c r="L121" i="10"/>
  <c r="M121" i="10" s="1"/>
  <c r="L120" i="10"/>
  <c r="M120" i="10" s="1"/>
  <c r="L119" i="10"/>
  <c r="M119" i="10" s="1"/>
  <c r="L118" i="10"/>
  <c r="M118" i="10" s="1"/>
  <c r="L117" i="10"/>
  <c r="M117" i="10" s="1"/>
  <c r="L116" i="10"/>
  <c r="M116" i="10" s="1"/>
  <c r="L115" i="10"/>
  <c r="M115" i="10" s="1"/>
  <c r="L114" i="10"/>
  <c r="M114" i="10" s="1"/>
  <c r="L113" i="10"/>
  <c r="M113" i="10" s="1"/>
  <c r="L112" i="10"/>
  <c r="M112" i="10" s="1"/>
  <c r="L111" i="10"/>
  <c r="M111" i="10" s="1"/>
  <c r="L110" i="10"/>
  <c r="M110" i="10" s="1"/>
  <c r="L109" i="10"/>
  <c r="M109" i="10" s="1"/>
  <c r="L108" i="10"/>
  <c r="M108" i="10" s="1"/>
  <c r="L107" i="10"/>
  <c r="M107" i="10" s="1"/>
  <c r="L106" i="10"/>
  <c r="M106" i="10" s="1"/>
  <c r="L105" i="10"/>
  <c r="M105" i="10" s="1"/>
  <c r="L104" i="10"/>
  <c r="M104" i="10" s="1"/>
  <c r="L103" i="10"/>
  <c r="M103" i="10" s="1"/>
  <c r="L102" i="10"/>
  <c r="M102" i="10" s="1"/>
  <c r="L101" i="10"/>
  <c r="M101" i="10" s="1"/>
  <c r="L100" i="10"/>
  <c r="M100" i="10" s="1"/>
  <c r="L99" i="10"/>
  <c r="M99" i="10" s="1"/>
  <c r="L98" i="10"/>
  <c r="M98" i="10" s="1"/>
  <c r="L97" i="10"/>
  <c r="M97" i="10" s="1"/>
  <c r="L96" i="10"/>
  <c r="M96" i="10" s="1"/>
  <c r="L95" i="10"/>
  <c r="M95" i="10" s="1"/>
  <c r="L94" i="10"/>
  <c r="M94" i="10" s="1"/>
  <c r="L93" i="10"/>
  <c r="M93" i="10" s="1"/>
  <c r="L92" i="10"/>
  <c r="M92" i="10" s="1"/>
  <c r="L91" i="10"/>
  <c r="M91" i="10" s="1"/>
  <c r="L90" i="10"/>
  <c r="M90" i="10" s="1"/>
  <c r="L89" i="10"/>
  <c r="M89" i="10" s="1"/>
  <c r="L88" i="10"/>
  <c r="M88" i="10" s="1"/>
  <c r="L87" i="10"/>
  <c r="M87" i="10" s="1"/>
  <c r="L86" i="10"/>
  <c r="M86" i="10" s="1"/>
  <c r="L85" i="10"/>
  <c r="M85" i="10" s="1"/>
  <c r="L84" i="10"/>
  <c r="M84" i="10" s="1"/>
  <c r="L83" i="10"/>
  <c r="M83" i="10" s="1"/>
  <c r="L82" i="10"/>
  <c r="M82" i="10" s="1"/>
  <c r="L81" i="10"/>
  <c r="M81" i="10" s="1"/>
  <c r="L80" i="10"/>
  <c r="M80" i="10" s="1"/>
  <c r="L79" i="10"/>
  <c r="M79" i="10" s="1"/>
  <c r="L78" i="10"/>
  <c r="M78" i="10" s="1"/>
  <c r="L77" i="10"/>
  <c r="M77" i="10" s="1"/>
  <c r="L76" i="10"/>
  <c r="M76" i="10" s="1"/>
  <c r="L75" i="10"/>
  <c r="M75" i="10" s="1"/>
  <c r="L74" i="10"/>
  <c r="M74" i="10" s="1"/>
  <c r="L73" i="10"/>
  <c r="M73" i="10" s="1"/>
  <c r="L72" i="10"/>
  <c r="M72" i="10" s="1"/>
  <c r="L71" i="10"/>
  <c r="M71" i="10" s="1"/>
  <c r="L70" i="10"/>
  <c r="M70" i="10" s="1"/>
  <c r="L69" i="10"/>
  <c r="M69" i="10" s="1"/>
  <c r="L68" i="10"/>
  <c r="M68" i="10" s="1"/>
  <c r="L67" i="10"/>
  <c r="M67" i="10" s="1"/>
  <c r="L66" i="10"/>
  <c r="M66" i="10" s="1"/>
  <c r="L65" i="10"/>
  <c r="M65" i="10" s="1"/>
  <c r="L64" i="10"/>
  <c r="M64" i="10" s="1"/>
  <c r="L63" i="10"/>
  <c r="M63" i="10" s="1"/>
  <c r="L62" i="10"/>
  <c r="M62" i="10" s="1"/>
  <c r="L61" i="10"/>
  <c r="M61" i="10" s="1"/>
  <c r="L60" i="10"/>
  <c r="M60" i="10" s="1"/>
  <c r="L59" i="10"/>
  <c r="M59" i="10" s="1"/>
  <c r="L58" i="10"/>
  <c r="M58" i="10" s="1"/>
  <c r="L57" i="10"/>
  <c r="M57" i="10" s="1"/>
  <c r="L56" i="10"/>
  <c r="M56" i="10" s="1"/>
  <c r="L55" i="10"/>
  <c r="M55" i="10" s="1"/>
  <c r="L54" i="10"/>
  <c r="M54" i="10" s="1"/>
  <c r="L53" i="10"/>
  <c r="M53" i="10" s="1"/>
  <c r="L52" i="10"/>
  <c r="M52" i="10" s="1"/>
  <c r="L51" i="10"/>
  <c r="M51" i="10" s="1"/>
  <c r="L50" i="10"/>
  <c r="M50" i="10" s="1"/>
  <c r="L49" i="10"/>
  <c r="M49" i="10" s="1"/>
  <c r="L48" i="10"/>
  <c r="M48" i="10" s="1"/>
  <c r="L47" i="10"/>
  <c r="M47" i="10" s="1"/>
  <c r="L46" i="10"/>
  <c r="M46" i="10" s="1"/>
  <c r="L45" i="10"/>
  <c r="M45" i="10" s="1"/>
  <c r="L44" i="10"/>
  <c r="M44" i="10" s="1"/>
  <c r="L43" i="10"/>
  <c r="M43" i="10" s="1"/>
  <c r="L42" i="10"/>
  <c r="M42" i="10" s="1"/>
  <c r="L41" i="10"/>
  <c r="M41" i="10" s="1"/>
  <c r="L40" i="10"/>
  <c r="M40" i="10" s="1"/>
  <c r="L39" i="10"/>
  <c r="M39" i="10" s="1"/>
  <c r="L38" i="10"/>
  <c r="M38" i="10" s="1"/>
  <c r="L37" i="10"/>
  <c r="M37" i="10" s="1"/>
  <c r="L36" i="10"/>
  <c r="M36" i="10" s="1"/>
  <c r="L35" i="10"/>
  <c r="M35" i="10" s="1"/>
  <c r="L34" i="10"/>
  <c r="M34" i="10" s="1"/>
  <c r="L33" i="10"/>
  <c r="M33" i="10" s="1"/>
  <c r="L32" i="10"/>
  <c r="M32" i="10" s="1"/>
  <c r="L31" i="10"/>
  <c r="M31" i="10" s="1"/>
  <c r="L30" i="10"/>
  <c r="M30" i="10" s="1"/>
  <c r="L29" i="10"/>
  <c r="M29" i="10" s="1"/>
  <c r="L28" i="10"/>
  <c r="M28" i="10" s="1"/>
  <c r="L27" i="10"/>
  <c r="M27" i="10" s="1"/>
  <c r="L26" i="10"/>
  <c r="M26" i="10" s="1"/>
  <c r="L25" i="10"/>
  <c r="M25" i="10" s="1"/>
  <c r="L24" i="10"/>
  <c r="M24" i="10" s="1"/>
  <c r="L23" i="10"/>
  <c r="M23" i="10" s="1"/>
  <c r="L22" i="10"/>
  <c r="M22" i="10" s="1"/>
  <c r="L21" i="10"/>
  <c r="M21" i="10" s="1"/>
  <c r="L20" i="10"/>
  <c r="M20" i="10" s="1"/>
  <c r="L19" i="10"/>
  <c r="M19" i="10" s="1"/>
  <c r="L18" i="10"/>
  <c r="M18" i="10" s="1"/>
  <c r="L17" i="10"/>
  <c r="M17" i="10" s="1"/>
  <c r="L16" i="10"/>
  <c r="M16" i="10" s="1"/>
  <c r="L15" i="10"/>
  <c r="M15" i="10" s="1"/>
  <c r="L14" i="10"/>
  <c r="M14" i="10" s="1"/>
  <c r="L13" i="10"/>
  <c r="M13" i="10" s="1"/>
  <c r="L12" i="10"/>
  <c r="M12" i="10" s="1"/>
  <c r="L11" i="10"/>
  <c r="M11" i="10" s="1"/>
  <c r="L10" i="10"/>
  <c r="M10" i="10" s="1"/>
  <c r="L9" i="10"/>
  <c r="M9" i="10" s="1"/>
  <c r="L8" i="10"/>
  <c r="M8" i="10" s="1"/>
  <c r="L7" i="10"/>
  <c r="M7" i="10" s="1"/>
  <c r="L6" i="10"/>
  <c r="M6" i="10" s="1"/>
  <c r="L5" i="10"/>
  <c r="M5" i="10" s="1"/>
  <c r="L4" i="10"/>
  <c r="M4" i="10" s="1"/>
  <c r="L3" i="10"/>
  <c r="M3" i="10" s="1"/>
  <c r="L2" i="10"/>
  <c r="M2" i="10" s="1"/>
  <c r="L401" i="9"/>
  <c r="L400" i="9"/>
  <c r="L399" i="9"/>
  <c r="L398" i="9"/>
  <c r="L397" i="9"/>
  <c r="L396" i="9"/>
  <c r="L395" i="9"/>
  <c r="L394" i="9"/>
  <c r="L393" i="9"/>
  <c r="L392" i="9"/>
  <c r="L391" i="9"/>
  <c r="L390" i="9"/>
  <c r="L389" i="9"/>
  <c r="L388" i="9"/>
  <c r="L387" i="9"/>
  <c r="L386" i="9"/>
  <c r="L385" i="9"/>
  <c r="L384" i="9"/>
  <c r="L383" i="9"/>
  <c r="L382" i="9"/>
  <c r="L381" i="9"/>
  <c r="L380" i="9"/>
  <c r="L379" i="9"/>
  <c r="L378" i="9"/>
  <c r="L377" i="9"/>
  <c r="L376" i="9"/>
  <c r="L375" i="9"/>
  <c r="L374" i="9"/>
  <c r="L373" i="9"/>
  <c r="L372" i="9"/>
  <c r="L371" i="9"/>
  <c r="L370" i="9"/>
  <c r="L369" i="9"/>
  <c r="L368" i="9"/>
  <c r="L367" i="9"/>
  <c r="L366" i="9"/>
  <c r="L365" i="9"/>
  <c r="L364" i="9"/>
  <c r="L363" i="9"/>
  <c r="L362" i="9"/>
  <c r="L361" i="9"/>
  <c r="L360" i="9"/>
  <c r="L359" i="9"/>
  <c r="L358" i="9"/>
  <c r="L357" i="9"/>
  <c r="L356" i="9"/>
  <c r="L355" i="9"/>
  <c r="L354" i="9"/>
  <c r="L353" i="9"/>
  <c r="L352" i="9"/>
  <c r="L351" i="9"/>
  <c r="L350" i="9"/>
  <c r="L349" i="9"/>
  <c r="L348" i="9"/>
  <c r="L347" i="9"/>
  <c r="L346" i="9"/>
  <c r="L345" i="9"/>
  <c r="L344" i="9"/>
  <c r="L343" i="9"/>
  <c r="L342" i="9"/>
  <c r="L341" i="9"/>
  <c r="L340" i="9"/>
  <c r="L339" i="9"/>
  <c r="L338" i="9"/>
  <c r="L337" i="9"/>
  <c r="L336" i="9"/>
  <c r="L335" i="9"/>
  <c r="L334" i="9"/>
  <c r="L333" i="9"/>
  <c r="L332" i="9"/>
  <c r="L331" i="9"/>
  <c r="L330" i="9"/>
  <c r="L329" i="9"/>
  <c r="L328" i="9"/>
  <c r="L327" i="9"/>
  <c r="L326" i="9"/>
  <c r="L325" i="9"/>
  <c r="L324" i="9"/>
  <c r="L323" i="9"/>
  <c r="L322" i="9"/>
  <c r="L321" i="9"/>
  <c r="L320" i="9"/>
  <c r="L319" i="9"/>
  <c r="L318" i="9"/>
  <c r="L317" i="9"/>
  <c r="L316" i="9"/>
  <c r="L315" i="9"/>
  <c r="L314" i="9"/>
  <c r="L313" i="9"/>
  <c r="L312" i="9"/>
  <c r="L311" i="9"/>
  <c r="L310" i="9"/>
  <c r="L309" i="9"/>
  <c r="L308" i="9"/>
  <c r="L307" i="9"/>
  <c r="L306" i="9"/>
  <c r="L305" i="9"/>
  <c r="L304" i="9"/>
  <c r="L303" i="9"/>
  <c r="L302" i="9"/>
  <c r="L301" i="9"/>
  <c r="L300" i="9"/>
  <c r="L299" i="9"/>
  <c r="L298" i="9"/>
  <c r="L297" i="9"/>
  <c r="L296" i="9"/>
  <c r="L295" i="9"/>
  <c r="L294" i="9"/>
  <c r="L293" i="9"/>
  <c r="L292" i="9"/>
  <c r="L291" i="9"/>
  <c r="L290" i="9"/>
  <c r="L289" i="9"/>
  <c r="L288" i="9"/>
  <c r="L287" i="9"/>
  <c r="L286" i="9"/>
  <c r="L285" i="9"/>
  <c r="L284" i="9"/>
  <c r="L283" i="9"/>
  <c r="L282" i="9"/>
  <c r="L281" i="9"/>
  <c r="L280" i="9"/>
  <c r="L279" i="9"/>
  <c r="L278" i="9"/>
  <c r="L277" i="9"/>
  <c r="L276" i="9"/>
  <c r="L275" i="9"/>
  <c r="L274" i="9"/>
  <c r="L273" i="9"/>
  <c r="L272" i="9"/>
  <c r="L271" i="9"/>
  <c r="L270" i="9"/>
  <c r="L269" i="9"/>
  <c r="L268" i="9"/>
  <c r="L267" i="9"/>
  <c r="L266" i="9"/>
  <c r="L265" i="9"/>
  <c r="L264" i="9"/>
  <c r="L263" i="9"/>
  <c r="L262" i="9"/>
  <c r="L261" i="9"/>
  <c r="L260" i="9"/>
  <c r="L259" i="9"/>
  <c r="L258" i="9"/>
  <c r="L257" i="9"/>
  <c r="L256" i="9"/>
  <c r="L255" i="9"/>
  <c r="L254" i="9"/>
  <c r="L253" i="9"/>
  <c r="L252" i="9"/>
  <c r="L251" i="9"/>
  <c r="L250" i="9"/>
  <c r="L249" i="9"/>
  <c r="L248" i="9"/>
  <c r="L247" i="9"/>
  <c r="L246" i="9"/>
  <c r="L245" i="9"/>
  <c r="L244" i="9"/>
  <c r="L243" i="9"/>
  <c r="L242" i="9"/>
  <c r="L241" i="9"/>
  <c r="L240" i="9"/>
  <c r="L239" i="9"/>
  <c r="L238" i="9"/>
  <c r="L237" i="9"/>
  <c r="L236" i="9"/>
  <c r="L235" i="9"/>
  <c r="L234" i="9"/>
  <c r="L233" i="9"/>
  <c r="L232" i="9"/>
  <c r="L231" i="9"/>
  <c r="L230" i="9"/>
  <c r="L229" i="9"/>
  <c r="L228" i="9"/>
  <c r="L227" i="9"/>
  <c r="L226" i="9"/>
  <c r="L225" i="9"/>
  <c r="L224" i="9"/>
  <c r="L223" i="9"/>
  <c r="L222" i="9"/>
  <c r="L221" i="9"/>
  <c r="L220" i="9"/>
  <c r="L219" i="9"/>
  <c r="L218" i="9"/>
  <c r="L217" i="9"/>
  <c r="L216" i="9"/>
  <c r="L215" i="9"/>
  <c r="L214" i="9"/>
  <c r="L213" i="9"/>
  <c r="L212" i="9"/>
  <c r="L211" i="9"/>
  <c r="L210" i="9"/>
  <c r="L209" i="9"/>
  <c r="L208" i="9"/>
  <c r="L207" i="9"/>
  <c r="L206" i="9"/>
  <c r="L205" i="9"/>
  <c r="L204" i="9"/>
  <c r="L203" i="9"/>
  <c r="L202" i="9"/>
  <c r="L201" i="9"/>
  <c r="L200" i="9"/>
  <c r="L199" i="9"/>
  <c r="L198" i="9"/>
  <c r="L197" i="9"/>
  <c r="L196" i="9"/>
  <c r="L195" i="9"/>
  <c r="L194" i="9"/>
  <c r="L193" i="9"/>
  <c r="L192" i="9"/>
  <c r="L191" i="9"/>
  <c r="L190" i="9"/>
  <c r="L189" i="9"/>
  <c r="L188" i="9"/>
  <c r="L187" i="9"/>
  <c r="L186" i="9"/>
  <c r="L185" i="9"/>
  <c r="L184" i="9"/>
  <c r="L183" i="9"/>
  <c r="L182" i="9"/>
  <c r="L181" i="9"/>
  <c r="L180" i="9"/>
  <c r="L179" i="9"/>
  <c r="L178" i="9"/>
  <c r="L177" i="9"/>
  <c r="L176" i="9"/>
  <c r="L175" i="9"/>
  <c r="L174" i="9"/>
  <c r="L173" i="9"/>
  <c r="L172" i="9"/>
  <c r="L171" i="9"/>
  <c r="L170" i="9"/>
  <c r="L169" i="9"/>
  <c r="L168" i="9"/>
  <c r="L167" i="9"/>
  <c r="L166" i="9"/>
  <c r="L165" i="9"/>
  <c r="L164" i="9"/>
  <c r="L163" i="9"/>
  <c r="L162" i="9"/>
  <c r="L161" i="9"/>
  <c r="L160" i="9"/>
  <c r="L159" i="9"/>
  <c r="L158" i="9"/>
  <c r="L157" i="9"/>
  <c r="L156" i="9"/>
  <c r="L155" i="9"/>
  <c r="L154" i="9"/>
  <c r="L153" i="9"/>
  <c r="L152" i="9"/>
  <c r="L151" i="9"/>
  <c r="L150" i="9"/>
  <c r="L149" i="9"/>
  <c r="L148" i="9"/>
  <c r="L147" i="9"/>
  <c r="L146" i="9"/>
  <c r="L145" i="9"/>
  <c r="L144" i="9"/>
  <c r="L143" i="9"/>
  <c r="L142" i="9"/>
  <c r="L141" i="9"/>
  <c r="L140" i="9"/>
  <c r="L139" i="9"/>
  <c r="L138" i="9"/>
  <c r="L137" i="9"/>
  <c r="L136" i="9"/>
  <c r="L135" i="9"/>
  <c r="L134" i="9"/>
  <c r="L133" i="9"/>
  <c r="L132" i="9"/>
  <c r="L131" i="9"/>
  <c r="L130" i="9"/>
  <c r="L129" i="9"/>
  <c r="L128" i="9"/>
  <c r="L127" i="9"/>
  <c r="L126" i="9"/>
  <c r="L125" i="9"/>
  <c r="L124" i="9"/>
  <c r="L123" i="9"/>
  <c r="L122" i="9"/>
  <c r="L121" i="9"/>
  <c r="L120" i="9"/>
  <c r="L119" i="9"/>
  <c r="L118" i="9"/>
  <c r="L117" i="9"/>
  <c r="L116" i="9"/>
  <c r="L115" i="9"/>
  <c r="L114" i="9"/>
  <c r="L113" i="9"/>
  <c r="L112" i="9"/>
  <c r="L111" i="9"/>
  <c r="L110" i="9"/>
  <c r="L109" i="9"/>
  <c r="L108" i="9"/>
  <c r="L107" i="9"/>
  <c r="L106" i="9"/>
  <c r="L105" i="9"/>
  <c r="L104" i="9"/>
  <c r="L103" i="9"/>
  <c r="L102" i="9"/>
  <c r="L101" i="9"/>
  <c r="L100" i="9"/>
  <c r="L99" i="9"/>
  <c r="L98" i="9"/>
  <c r="L97" i="9"/>
  <c r="L96" i="9"/>
  <c r="L95" i="9"/>
  <c r="L94" i="9"/>
  <c r="L93" i="9"/>
  <c r="L92" i="9"/>
  <c r="L91" i="9"/>
  <c r="L90" i="9"/>
  <c r="L89" i="9"/>
  <c r="L88" i="9"/>
  <c r="L87" i="9"/>
  <c r="L86" i="9"/>
  <c r="L85" i="9"/>
  <c r="L84" i="9"/>
  <c r="L83" i="9"/>
  <c r="L82" i="9"/>
  <c r="L81" i="9"/>
  <c r="L80" i="9"/>
  <c r="L79" i="9"/>
  <c r="L78" i="9"/>
  <c r="L77" i="9"/>
  <c r="L76" i="9"/>
  <c r="L75" i="9"/>
  <c r="L74" i="9"/>
  <c r="L73" i="9"/>
  <c r="L72" i="9"/>
  <c r="L71" i="9"/>
  <c r="L70" i="9"/>
  <c r="L69" i="9"/>
  <c r="L68" i="9"/>
  <c r="L67" i="9"/>
  <c r="L66" i="9"/>
  <c r="L65" i="9"/>
  <c r="L64" i="9"/>
  <c r="L63" i="9"/>
  <c r="L62" i="9"/>
  <c r="L61" i="9"/>
  <c r="L60" i="9"/>
  <c r="L59" i="9"/>
  <c r="L58" i="9"/>
  <c r="L57" i="9"/>
  <c r="L56" i="9"/>
  <c r="L55" i="9"/>
  <c r="L54" i="9"/>
  <c r="L53" i="9"/>
  <c r="L52" i="9"/>
  <c r="L51" i="9"/>
  <c r="L50" i="9"/>
  <c r="L49" i="9"/>
  <c r="L48" i="9"/>
  <c r="L47" i="9"/>
  <c r="L46" i="9"/>
  <c r="L45" i="9"/>
  <c r="L44" i="9"/>
  <c r="L43" i="9"/>
  <c r="L42" i="9"/>
  <c r="L41" i="9"/>
  <c r="L40" i="9"/>
  <c r="L39" i="9"/>
  <c r="L38" i="9"/>
  <c r="L37" i="9"/>
  <c r="L36" i="9"/>
  <c r="L35" i="9"/>
  <c r="L34" i="9"/>
  <c r="L33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L4" i="9"/>
  <c r="L3" i="9"/>
  <c r="L2" i="9"/>
  <c r="L401" i="8"/>
  <c r="L400" i="8"/>
  <c r="L399" i="8"/>
  <c r="L398" i="8"/>
  <c r="L397" i="8"/>
  <c r="L396" i="8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1" i="8"/>
  <c r="L380" i="8"/>
  <c r="L379" i="8"/>
  <c r="L378" i="8"/>
  <c r="L377" i="8"/>
  <c r="L376" i="8"/>
  <c r="L375" i="8"/>
  <c r="L374" i="8"/>
  <c r="L373" i="8"/>
  <c r="L372" i="8"/>
  <c r="L371" i="8"/>
  <c r="L370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57" i="8"/>
  <c r="L356" i="8"/>
  <c r="L355" i="8"/>
  <c r="L354" i="8"/>
  <c r="L353" i="8"/>
  <c r="L352" i="8"/>
  <c r="L351" i="8"/>
  <c r="L350" i="8"/>
  <c r="L349" i="8"/>
  <c r="L348" i="8"/>
  <c r="L347" i="8"/>
  <c r="L346" i="8"/>
  <c r="L345" i="8"/>
  <c r="L344" i="8"/>
  <c r="L343" i="8"/>
  <c r="L342" i="8"/>
  <c r="L341" i="8"/>
  <c r="L340" i="8"/>
  <c r="L339" i="8"/>
  <c r="L338" i="8"/>
  <c r="L337" i="8"/>
  <c r="L336" i="8"/>
  <c r="L335" i="8"/>
  <c r="L334" i="8"/>
  <c r="L333" i="8"/>
  <c r="L332" i="8"/>
  <c r="L331" i="8"/>
  <c r="L330" i="8"/>
  <c r="L329" i="8"/>
  <c r="L328" i="8"/>
  <c r="L327" i="8"/>
  <c r="L326" i="8"/>
  <c r="L325" i="8"/>
  <c r="L324" i="8"/>
  <c r="L323" i="8"/>
  <c r="L322" i="8"/>
  <c r="L321" i="8"/>
  <c r="L320" i="8"/>
  <c r="L319" i="8"/>
  <c r="L318" i="8"/>
  <c r="L317" i="8"/>
  <c r="L316" i="8"/>
  <c r="L315" i="8"/>
  <c r="L314" i="8"/>
  <c r="L313" i="8"/>
  <c r="L312" i="8"/>
  <c r="L311" i="8"/>
  <c r="L310" i="8"/>
  <c r="L309" i="8"/>
  <c r="L308" i="8"/>
  <c r="L307" i="8"/>
  <c r="L306" i="8"/>
  <c r="L305" i="8"/>
  <c r="L304" i="8"/>
  <c r="L303" i="8"/>
  <c r="L302" i="8"/>
  <c r="L301" i="8"/>
  <c r="L300" i="8"/>
  <c r="L299" i="8"/>
  <c r="L298" i="8"/>
  <c r="L297" i="8"/>
  <c r="L296" i="8"/>
  <c r="L295" i="8"/>
  <c r="L294" i="8"/>
  <c r="L293" i="8"/>
  <c r="L292" i="8"/>
  <c r="L291" i="8"/>
  <c r="L290" i="8"/>
  <c r="L289" i="8"/>
  <c r="L288" i="8"/>
  <c r="L287" i="8"/>
  <c r="L286" i="8"/>
  <c r="L285" i="8"/>
  <c r="L284" i="8"/>
  <c r="L283" i="8"/>
  <c r="L282" i="8"/>
  <c r="L281" i="8"/>
  <c r="L280" i="8"/>
  <c r="L279" i="8"/>
  <c r="L278" i="8"/>
  <c r="L277" i="8"/>
  <c r="L276" i="8"/>
  <c r="L275" i="8"/>
  <c r="L274" i="8"/>
  <c r="L273" i="8"/>
  <c r="L272" i="8"/>
  <c r="L271" i="8"/>
  <c r="L270" i="8"/>
  <c r="L269" i="8"/>
  <c r="L268" i="8"/>
  <c r="L267" i="8"/>
  <c r="L266" i="8"/>
  <c r="L265" i="8"/>
  <c r="L264" i="8"/>
  <c r="L263" i="8"/>
  <c r="L262" i="8"/>
  <c r="L261" i="8"/>
  <c r="L260" i="8"/>
  <c r="L259" i="8"/>
  <c r="L258" i="8"/>
  <c r="L257" i="8"/>
  <c r="L256" i="8"/>
  <c r="L255" i="8"/>
  <c r="L254" i="8"/>
  <c r="L253" i="8"/>
  <c r="L252" i="8"/>
  <c r="L251" i="8"/>
  <c r="L250" i="8"/>
  <c r="L249" i="8"/>
  <c r="L248" i="8"/>
  <c r="L247" i="8"/>
  <c r="L246" i="8"/>
  <c r="L245" i="8"/>
  <c r="L244" i="8"/>
  <c r="L243" i="8"/>
  <c r="L242" i="8"/>
  <c r="L241" i="8"/>
  <c r="L240" i="8"/>
  <c r="L239" i="8"/>
  <c r="L238" i="8"/>
  <c r="L237" i="8"/>
  <c r="L236" i="8"/>
  <c r="L235" i="8"/>
  <c r="L234" i="8"/>
  <c r="L233" i="8"/>
  <c r="L232" i="8"/>
  <c r="L231" i="8"/>
  <c r="L230" i="8"/>
  <c r="L229" i="8"/>
  <c r="L228" i="8"/>
  <c r="L227" i="8"/>
  <c r="L226" i="8"/>
  <c r="L225" i="8"/>
  <c r="L224" i="8"/>
  <c r="L223" i="8"/>
  <c r="L222" i="8"/>
  <c r="L221" i="8"/>
  <c r="L220" i="8"/>
  <c r="L219" i="8"/>
  <c r="L218" i="8"/>
  <c r="L217" i="8"/>
  <c r="L216" i="8"/>
  <c r="L215" i="8"/>
  <c r="L214" i="8"/>
  <c r="L213" i="8"/>
  <c r="L212" i="8"/>
  <c r="L211" i="8"/>
  <c r="L210" i="8"/>
  <c r="L209" i="8"/>
  <c r="L208" i="8"/>
  <c r="L207" i="8"/>
  <c r="L206" i="8"/>
  <c r="L205" i="8"/>
  <c r="L204" i="8"/>
  <c r="L203" i="8"/>
  <c r="L202" i="8"/>
  <c r="L201" i="8"/>
  <c r="L200" i="8"/>
  <c r="L199" i="8"/>
  <c r="L198" i="8"/>
  <c r="L197" i="8"/>
  <c r="L196" i="8"/>
  <c r="L195" i="8"/>
  <c r="L194" i="8"/>
  <c r="L193" i="8"/>
  <c r="L192" i="8"/>
  <c r="L191" i="8"/>
  <c r="L190" i="8"/>
  <c r="L189" i="8"/>
  <c r="L188" i="8"/>
  <c r="L187" i="8"/>
  <c r="L186" i="8"/>
  <c r="L185" i="8"/>
  <c r="L184" i="8"/>
  <c r="L183" i="8"/>
  <c r="L182" i="8"/>
  <c r="L181" i="8"/>
  <c r="L180" i="8"/>
  <c r="L179" i="8"/>
  <c r="L178" i="8"/>
  <c r="L177" i="8"/>
  <c r="L176" i="8"/>
  <c r="L175" i="8"/>
  <c r="L174" i="8"/>
  <c r="L173" i="8"/>
  <c r="L172" i="8"/>
  <c r="L171" i="8"/>
  <c r="L170" i="8"/>
  <c r="L169" i="8"/>
  <c r="L168" i="8"/>
  <c r="L167" i="8"/>
  <c r="L166" i="8"/>
  <c r="L165" i="8"/>
  <c r="L164" i="8"/>
  <c r="L163" i="8"/>
  <c r="L162" i="8"/>
  <c r="L161" i="8"/>
  <c r="L160" i="8"/>
  <c r="L159" i="8"/>
  <c r="L158" i="8"/>
  <c r="L157" i="8"/>
  <c r="L156" i="8"/>
  <c r="L155" i="8"/>
  <c r="L154" i="8"/>
  <c r="L153" i="8"/>
  <c r="L152" i="8"/>
  <c r="L151" i="8"/>
  <c r="L150" i="8"/>
  <c r="L149" i="8"/>
  <c r="L148" i="8"/>
  <c r="L147" i="8"/>
  <c r="L146" i="8"/>
  <c r="L145" i="8"/>
  <c r="L144" i="8"/>
  <c r="L143" i="8"/>
  <c r="L142" i="8"/>
  <c r="L141" i="8"/>
  <c r="L140" i="8"/>
  <c r="L139" i="8"/>
  <c r="L138" i="8"/>
  <c r="L137" i="8"/>
  <c r="L136" i="8"/>
  <c r="L135" i="8"/>
  <c r="L134" i="8"/>
  <c r="L133" i="8"/>
  <c r="L132" i="8"/>
  <c r="L131" i="8"/>
  <c r="L130" i="8"/>
  <c r="L129" i="8"/>
  <c r="L128" i="8"/>
  <c r="L127" i="8"/>
  <c r="L126" i="8"/>
  <c r="L125" i="8"/>
  <c r="L124" i="8"/>
  <c r="L123" i="8"/>
  <c r="L122" i="8"/>
  <c r="L121" i="8"/>
  <c r="L120" i="8"/>
  <c r="L119" i="8"/>
  <c r="L118" i="8"/>
  <c r="L117" i="8"/>
  <c r="L116" i="8"/>
  <c r="L115" i="8"/>
  <c r="L114" i="8"/>
  <c r="L113" i="8"/>
  <c r="L112" i="8"/>
  <c r="L111" i="8"/>
  <c r="L110" i="8"/>
  <c r="L109" i="8"/>
  <c r="L108" i="8"/>
  <c r="L107" i="8"/>
  <c r="L106" i="8"/>
  <c r="L105" i="8"/>
  <c r="L104" i="8"/>
  <c r="L103" i="8"/>
  <c r="L102" i="8"/>
  <c r="L101" i="8"/>
  <c r="L100" i="8"/>
  <c r="L99" i="8"/>
  <c r="L98" i="8"/>
  <c r="L97" i="8"/>
  <c r="L96" i="8"/>
  <c r="L95" i="8"/>
  <c r="L94" i="8"/>
  <c r="L93" i="8"/>
  <c r="L92" i="8"/>
  <c r="L91" i="8"/>
  <c r="L90" i="8"/>
  <c r="L89" i="8"/>
  <c r="L88" i="8"/>
  <c r="L87" i="8"/>
  <c r="L86" i="8"/>
  <c r="L85" i="8"/>
  <c r="L84" i="8"/>
  <c r="L83" i="8"/>
  <c r="L82" i="8"/>
  <c r="L81" i="8"/>
  <c r="L80" i="8"/>
  <c r="L79" i="8"/>
  <c r="L78" i="8"/>
  <c r="L77" i="8"/>
  <c r="L76" i="8"/>
  <c r="L75" i="8"/>
  <c r="L74" i="8"/>
  <c r="L73" i="8"/>
  <c r="L72" i="8"/>
  <c r="L71" i="8"/>
  <c r="L70" i="8"/>
  <c r="L69" i="8"/>
  <c r="L68" i="8"/>
  <c r="L67" i="8"/>
  <c r="L66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2" i="8"/>
  <c r="L401" i="7"/>
  <c r="L400" i="7"/>
  <c r="L399" i="7"/>
  <c r="L398" i="7"/>
  <c r="L397" i="7"/>
  <c r="L396" i="7"/>
  <c r="L395" i="7"/>
  <c r="L394" i="7"/>
  <c r="L393" i="7"/>
  <c r="L392" i="7"/>
  <c r="L391" i="7"/>
  <c r="L390" i="7"/>
  <c r="L389" i="7"/>
  <c r="L388" i="7"/>
  <c r="L387" i="7"/>
  <c r="L386" i="7"/>
  <c r="L385" i="7"/>
  <c r="L384" i="7"/>
  <c r="L383" i="7"/>
  <c r="L382" i="7"/>
  <c r="L381" i="7"/>
  <c r="L380" i="7"/>
  <c r="L379" i="7"/>
  <c r="L378" i="7"/>
  <c r="L377" i="7"/>
  <c r="L376" i="7"/>
  <c r="L375" i="7"/>
  <c r="L374" i="7"/>
  <c r="L373" i="7"/>
  <c r="L372" i="7"/>
  <c r="L371" i="7"/>
  <c r="L370" i="7"/>
  <c r="L369" i="7"/>
  <c r="L368" i="7"/>
  <c r="L367" i="7"/>
  <c r="L366" i="7"/>
  <c r="L365" i="7"/>
  <c r="L364" i="7"/>
  <c r="L363" i="7"/>
  <c r="L362" i="7"/>
  <c r="L361" i="7"/>
  <c r="L360" i="7"/>
  <c r="L359" i="7"/>
  <c r="L358" i="7"/>
  <c r="L357" i="7"/>
  <c r="L356" i="7"/>
  <c r="L355" i="7"/>
  <c r="L354" i="7"/>
  <c r="L353" i="7"/>
  <c r="L352" i="7"/>
  <c r="L351" i="7"/>
  <c r="L350" i="7"/>
  <c r="L349" i="7"/>
  <c r="L348" i="7"/>
  <c r="L347" i="7"/>
  <c r="L346" i="7"/>
  <c r="L345" i="7"/>
  <c r="L344" i="7"/>
  <c r="L343" i="7"/>
  <c r="L342" i="7"/>
  <c r="L341" i="7"/>
  <c r="L340" i="7"/>
  <c r="L339" i="7"/>
  <c r="L338" i="7"/>
  <c r="L337" i="7"/>
  <c r="L336" i="7"/>
  <c r="L335" i="7"/>
  <c r="L334" i="7"/>
  <c r="L333" i="7"/>
  <c r="L332" i="7"/>
  <c r="L331" i="7"/>
  <c r="L330" i="7"/>
  <c r="L329" i="7"/>
  <c r="L328" i="7"/>
  <c r="L327" i="7"/>
  <c r="L326" i="7"/>
  <c r="L325" i="7"/>
  <c r="L324" i="7"/>
  <c r="L323" i="7"/>
  <c r="L322" i="7"/>
  <c r="L321" i="7"/>
  <c r="L320" i="7"/>
  <c r="L319" i="7"/>
  <c r="L318" i="7"/>
  <c r="L317" i="7"/>
  <c r="L316" i="7"/>
  <c r="L315" i="7"/>
  <c r="L314" i="7"/>
  <c r="L313" i="7"/>
  <c r="L312" i="7"/>
  <c r="L311" i="7"/>
  <c r="L310" i="7"/>
  <c r="L309" i="7"/>
  <c r="L308" i="7"/>
  <c r="L307" i="7"/>
  <c r="L306" i="7"/>
  <c r="L305" i="7"/>
  <c r="L304" i="7"/>
  <c r="L303" i="7"/>
  <c r="L302" i="7"/>
  <c r="L301" i="7"/>
  <c r="L300" i="7"/>
  <c r="L299" i="7"/>
  <c r="L298" i="7"/>
  <c r="L297" i="7"/>
  <c r="L296" i="7"/>
  <c r="L295" i="7"/>
  <c r="L294" i="7"/>
  <c r="L293" i="7"/>
  <c r="L292" i="7"/>
  <c r="L291" i="7"/>
  <c r="L290" i="7"/>
  <c r="L289" i="7"/>
  <c r="L288" i="7"/>
  <c r="L287" i="7"/>
  <c r="L286" i="7"/>
  <c r="L285" i="7"/>
  <c r="L284" i="7"/>
  <c r="L283" i="7"/>
  <c r="L282" i="7"/>
  <c r="L281" i="7"/>
  <c r="L280" i="7"/>
  <c r="L279" i="7"/>
  <c r="L278" i="7"/>
  <c r="L277" i="7"/>
  <c r="L276" i="7"/>
  <c r="L275" i="7"/>
  <c r="L274" i="7"/>
  <c r="L273" i="7"/>
  <c r="L272" i="7"/>
  <c r="L271" i="7"/>
  <c r="L270" i="7"/>
  <c r="L269" i="7"/>
  <c r="L268" i="7"/>
  <c r="L267" i="7"/>
  <c r="L266" i="7"/>
  <c r="L265" i="7"/>
  <c r="L264" i="7"/>
  <c r="L263" i="7"/>
  <c r="L262" i="7"/>
  <c r="L261" i="7"/>
  <c r="L260" i="7"/>
  <c r="L259" i="7"/>
  <c r="L258" i="7"/>
  <c r="L257" i="7"/>
  <c r="L256" i="7"/>
  <c r="L255" i="7"/>
  <c r="L254" i="7"/>
  <c r="L253" i="7"/>
  <c r="L252" i="7"/>
  <c r="L251" i="7"/>
  <c r="L250" i="7"/>
  <c r="L249" i="7"/>
  <c r="L248" i="7"/>
  <c r="L247" i="7"/>
  <c r="L246" i="7"/>
  <c r="L245" i="7"/>
  <c r="L244" i="7"/>
  <c r="L243" i="7"/>
  <c r="L242" i="7"/>
  <c r="L241" i="7"/>
  <c r="L240" i="7"/>
  <c r="L239" i="7"/>
  <c r="L238" i="7"/>
  <c r="L237" i="7"/>
  <c r="L236" i="7"/>
  <c r="L235" i="7"/>
  <c r="L234" i="7"/>
  <c r="L233" i="7"/>
  <c r="L232" i="7"/>
  <c r="L231" i="7"/>
  <c r="L230" i="7"/>
  <c r="L229" i="7"/>
  <c r="L228" i="7"/>
  <c r="L227" i="7"/>
  <c r="L226" i="7"/>
  <c r="L225" i="7"/>
  <c r="L224" i="7"/>
  <c r="L223" i="7"/>
  <c r="L222" i="7"/>
  <c r="L221" i="7"/>
  <c r="L220" i="7"/>
  <c r="L219" i="7"/>
  <c r="L218" i="7"/>
  <c r="L217" i="7"/>
  <c r="L216" i="7"/>
  <c r="L215" i="7"/>
  <c r="L214" i="7"/>
  <c r="L213" i="7"/>
  <c r="L212" i="7"/>
  <c r="L211" i="7"/>
  <c r="L210" i="7"/>
  <c r="L209" i="7"/>
  <c r="L208" i="7"/>
  <c r="L207" i="7"/>
  <c r="L206" i="7"/>
  <c r="L205" i="7"/>
  <c r="L204" i="7"/>
  <c r="L203" i="7"/>
  <c r="L202" i="7"/>
  <c r="L201" i="7"/>
  <c r="L200" i="7"/>
  <c r="L199" i="7"/>
  <c r="L198" i="7"/>
  <c r="L197" i="7"/>
  <c r="L196" i="7"/>
  <c r="L195" i="7"/>
  <c r="L194" i="7"/>
  <c r="L193" i="7"/>
  <c r="L192" i="7"/>
  <c r="L191" i="7"/>
  <c r="L190" i="7"/>
  <c r="L189" i="7"/>
  <c r="L188" i="7"/>
  <c r="L187" i="7"/>
  <c r="L186" i="7"/>
  <c r="L185" i="7"/>
  <c r="L184" i="7"/>
  <c r="L183" i="7"/>
  <c r="L182" i="7"/>
  <c r="L181" i="7"/>
  <c r="L180" i="7"/>
  <c r="L179" i="7"/>
  <c r="L178" i="7"/>
  <c r="L177" i="7"/>
  <c r="L176" i="7"/>
  <c r="L175" i="7"/>
  <c r="L174" i="7"/>
  <c r="L173" i="7"/>
  <c r="L172" i="7"/>
  <c r="L171" i="7"/>
  <c r="L170" i="7"/>
  <c r="L169" i="7"/>
  <c r="L168" i="7"/>
  <c r="L167" i="7"/>
  <c r="L166" i="7"/>
  <c r="L165" i="7"/>
  <c r="L164" i="7"/>
  <c r="L163" i="7"/>
  <c r="L162" i="7"/>
  <c r="L161" i="7"/>
  <c r="L160" i="7"/>
  <c r="L159" i="7"/>
  <c r="L158" i="7"/>
  <c r="L157" i="7"/>
  <c r="L156" i="7"/>
  <c r="L155" i="7"/>
  <c r="L154" i="7"/>
  <c r="L153" i="7"/>
  <c r="L152" i="7"/>
  <c r="L151" i="7"/>
  <c r="L150" i="7"/>
  <c r="L149" i="7"/>
  <c r="L148" i="7"/>
  <c r="L147" i="7"/>
  <c r="L146" i="7"/>
  <c r="L145" i="7"/>
  <c r="L144" i="7"/>
  <c r="L143" i="7"/>
  <c r="L142" i="7"/>
  <c r="L141" i="7"/>
  <c r="L140" i="7"/>
  <c r="L139" i="7"/>
  <c r="L138" i="7"/>
  <c r="L137" i="7"/>
  <c r="L136" i="7"/>
  <c r="L135" i="7"/>
  <c r="L134" i="7"/>
  <c r="L133" i="7"/>
  <c r="L132" i="7"/>
  <c r="L131" i="7"/>
  <c r="L130" i="7"/>
  <c r="L129" i="7"/>
  <c r="L128" i="7"/>
  <c r="L127" i="7"/>
  <c r="L126" i="7"/>
  <c r="L125" i="7"/>
  <c r="L124" i="7"/>
  <c r="L123" i="7"/>
  <c r="L122" i="7"/>
  <c r="L121" i="7"/>
  <c r="L120" i="7"/>
  <c r="L119" i="7"/>
  <c r="L118" i="7"/>
  <c r="L117" i="7"/>
  <c r="L116" i="7"/>
  <c r="L115" i="7"/>
  <c r="L114" i="7"/>
  <c r="L113" i="7"/>
  <c r="L112" i="7"/>
  <c r="L111" i="7"/>
  <c r="L110" i="7"/>
  <c r="L109" i="7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2" i="7"/>
  <c r="N5" i="6"/>
  <c r="N4" i="6"/>
  <c r="N3" i="6"/>
  <c r="N2" i="6"/>
  <c r="N1" i="6"/>
</calcChain>
</file>

<file path=xl/sharedStrings.xml><?xml version="1.0" encoding="utf-8"?>
<sst xmlns="http://schemas.openxmlformats.org/spreadsheetml/2006/main" count="32217" uniqueCount="92">
  <si>
    <t>Order_ID</t>
  </si>
  <si>
    <t>Customer</t>
  </si>
  <si>
    <t>City</t>
  </si>
  <si>
    <t>Category</t>
  </si>
  <si>
    <t>Product</t>
  </si>
  <si>
    <t>Quantity</t>
  </si>
  <si>
    <t>Unit_Price</t>
  </si>
  <si>
    <t>Discount_%</t>
  </si>
  <si>
    <t>Order_Date</t>
  </si>
  <si>
    <t>Delivery_Date</t>
  </si>
  <si>
    <t>Salesperson</t>
  </si>
  <si>
    <t>Ritesh</t>
  </si>
  <si>
    <t>Nashik</t>
  </si>
  <si>
    <t>Stationery</t>
  </si>
  <si>
    <t>Notebook</t>
  </si>
  <si>
    <t>Kavya</t>
  </si>
  <si>
    <t>Pooja</t>
  </si>
  <si>
    <t>Solapur</t>
  </si>
  <si>
    <t>Furniture</t>
  </si>
  <si>
    <t>Desk</t>
  </si>
  <si>
    <t>Amit</t>
  </si>
  <si>
    <t>Meera</t>
  </si>
  <si>
    <t>Satara</t>
  </si>
  <si>
    <t>Table</t>
  </si>
  <si>
    <t>Rahul</t>
  </si>
  <si>
    <t>Aurangabad</t>
  </si>
  <si>
    <t>Vikram</t>
  </si>
  <si>
    <t>Arjun</t>
  </si>
  <si>
    <t>Chair</t>
  </si>
  <si>
    <t>Priya</t>
  </si>
  <si>
    <t>Neha</t>
  </si>
  <si>
    <t>Kolhapur</t>
  </si>
  <si>
    <t>Asha</t>
  </si>
  <si>
    <t>Nagpur</t>
  </si>
  <si>
    <t>Electronics</t>
  </si>
  <si>
    <t>Printer</t>
  </si>
  <si>
    <t>Stapler</t>
  </si>
  <si>
    <t>Pen Pack</t>
  </si>
  <si>
    <t>Mumbai</t>
  </si>
  <si>
    <t>Keyboard</t>
  </si>
  <si>
    <t>Deepak</t>
  </si>
  <si>
    <t>Headset</t>
  </si>
  <si>
    <t>Nisha</t>
  </si>
  <si>
    <t>Pune</t>
  </si>
  <si>
    <t>Bookshelf</t>
  </si>
  <si>
    <t>Monitor</t>
  </si>
  <si>
    <t>Kiran</t>
  </si>
  <si>
    <t>Yash</t>
  </si>
  <si>
    <t>Nitin</t>
  </si>
  <si>
    <t>Ajay</t>
  </si>
  <si>
    <t>Marker</t>
  </si>
  <si>
    <t>Suresh</t>
  </si>
  <si>
    <t>Komal</t>
  </si>
  <si>
    <t>Diary</t>
  </si>
  <si>
    <t>Manoj</t>
  </si>
  <si>
    <t>Sneha</t>
  </si>
  <si>
    <t>Cabinet</t>
  </si>
  <si>
    <t>Sara</t>
  </si>
  <si>
    <t>Rohan</t>
  </si>
  <si>
    <t>Anita</t>
  </si>
  <si>
    <t>Laptop</t>
  </si>
  <si>
    <t>Mouse</t>
  </si>
  <si>
    <t>Total Quantity</t>
  </si>
  <si>
    <t>Average Unit Price</t>
  </si>
  <si>
    <t>Minimum Unit Price</t>
  </si>
  <si>
    <t>Maximum Unit Price</t>
  </si>
  <si>
    <t>Total Orders</t>
  </si>
  <si>
    <t>Order Type</t>
  </si>
  <si>
    <t>Discount Eligibility</t>
  </si>
  <si>
    <t>Priority Order</t>
  </si>
  <si>
    <t>Final Amount</t>
  </si>
  <si>
    <t>Sales Grade</t>
  </si>
  <si>
    <t>Customer_Product</t>
  </si>
  <si>
    <t>Customer Code</t>
  </si>
  <si>
    <t>Product Code</t>
  </si>
  <si>
    <t>Short Product Name</t>
  </si>
  <si>
    <t>Customer Upper</t>
  </si>
  <si>
    <t>Product Lower</t>
  </si>
  <si>
    <t>Product Length</t>
  </si>
  <si>
    <t>Current Date</t>
  </si>
  <si>
    <t>Current Date &amp; Time</t>
  </si>
  <si>
    <t>Delivery Days</t>
  </si>
  <si>
    <t>Order Age</t>
  </si>
  <si>
    <t>Financial Year Start</t>
  </si>
  <si>
    <t>Total Sales</t>
  </si>
  <si>
    <t>Highest Final Amount</t>
  </si>
  <si>
    <t>Highest Amount Customer</t>
  </si>
  <si>
    <t>COUNT of Order_ID</t>
  </si>
  <si>
    <t>Grand Total</t>
  </si>
  <si>
    <t>Rank</t>
  </si>
  <si>
    <t xml:space="preserve"> Order_ID</t>
  </si>
  <si>
    <t xml:space="preserve"> Final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</si>
</sst>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/d/yyyy\ h:mm:ss"/>
  </numFmts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3" fillId="2" borderId="0" xfId="0" applyFont="1" applyFill="1" applyAlignment="1">
      <alignment horizontal="center"/>
    </xf>
    <xf numFmtId="14" fontId="1" fillId="0" borderId="0" xfId="0" applyNumberFormat="1" applyFont="1"/>
    <xf numFmtId="165" fontId="1" fillId="0" borderId="0" xfId="0" applyNumberFormat="1" applyFont="1"/>
    <xf numFmtId="0" fontId="0" fillId="0" borderId="1" xfId="0" pivotButton="1" applyBorder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2" xfId="0" applyNumberFormat="1" applyBorder="1"/>
    <xf numFmtId="0" fontId="0" fillId="0" borderId="4" xfId="0" applyNumberFormat="1" applyBorder="1"/>
    <xf numFmtId="0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r User" refreshedDate="46261.501276157411" refreshedVersion="8" recordCount="400" xr:uid="{00000000-000A-0000-FFFF-FFFF00000000}">
  <cacheSource type="worksheet">
    <worksheetSource ref="A1:K401" sheet="Q14"/>
  </cacheSource>
  <cacheFields count="11">
    <cacheField name="Customer" numFmtId="0">
      <sharedItems/>
    </cacheField>
    <cacheField name="City" numFmtId="0">
      <sharedItems count="8">
        <s v="Nashik"/>
        <s v="Solapur"/>
        <s v="Satara"/>
        <s v="Aurangabad"/>
        <s v="Kolhapur"/>
        <s v="Nagpur"/>
        <s v="Mumbai"/>
        <s v="Pune"/>
      </sharedItems>
    </cacheField>
    <cacheField name="Category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20"/>
    </cacheField>
    <cacheField name="Unit_Price" numFmtId="0">
      <sharedItems containsSemiMixedTypes="0" containsString="0" containsNumber="1" containsInteger="1" minValue="30" maxValue="69793"/>
    </cacheField>
    <cacheField name="Discount_%" numFmtId="0">
      <sharedItems containsSemiMixedTypes="0" containsString="0" containsNumber="1" containsInteger="1" minValue="0" maxValue="15"/>
    </cacheField>
    <cacheField name="Order_Date" numFmtId="164">
      <sharedItems containsSemiMixedTypes="0" containsNonDate="0" containsDate="1" containsString="0" minDate="2026-01-01T00:00:00" maxDate="2026-06-30T00:00:00"/>
    </cacheField>
    <cacheField name="Delivery_Date" numFmtId="164">
      <sharedItems containsSemiMixedTypes="0" containsNonDate="0" containsDate="1" containsString="0" minDate="2026-01-07T00:00:00" maxDate="2026-07-07T00:00:00"/>
    </cacheField>
    <cacheField name="Salesperson" numFmtId="0">
      <sharedItems/>
    </cacheField>
    <cacheField name="Order_ID" numFmtId="0">
      <sharedItems containsSemiMixedTypes="0" containsString="0" containsNumber="1" containsInteger="1" minValue="1001" maxValue="1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s v="Ritesh"/>
    <x v="0"/>
    <s v="Stationery"/>
    <s v="Notebook"/>
    <n v="3"/>
    <n v="222"/>
    <n v="15"/>
    <d v="2026-02-28T00:00:00"/>
    <d v="2026-03-02T00:00:00"/>
    <s v="Kavya"/>
    <n v="1001"/>
  </r>
  <r>
    <s v="Pooja"/>
    <x v="1"/>
    <s v="Furniture"/>
    <s v="Desk"/>
    <n v="7"/>
    <n v="8448"/>
    <n v="12"/>
    <d v="2026-06-01T00:00:00"/>
    <d v="2026-06-06T00:00:00"/>
    <s v="Amit"/>
    <n v="1002"/>
  </r>
  <r>
    <s v="Meera"/>
    <x v="2"/>
    <s v="Furniture"/>
    <s v="Table"/>
    <n v="20"/>
    <n v="2123"/>
    <n v="15"/>
    <d v="2026-06-10T00:00:00"/>
    <d v="2026-06-19T00:00:00"/>
    <s v="Rahul"/>
    <n v="1003"/>
  </r>
  <r>
    <s v="Pooja"/>
    <x v="3"/>
    <s v="Furniture"/>
    <s v="Table"/>
    <n v="16"/>
    <n v="11739"/>
    <n v="12"/>
    <d v="2026-01-12T00:00:00"/>
    <d v="2026-01-18T00:00:00"/>
    <s v="Amit"/>
    <n v="1004"/>
  </r>
  <r>
    <s v="Vikram"/>
    <x v="1"/>
    <s v="Stationery"/>
    <s v="Notebook"/>
    <n v="18"/>
    <n v="70"/>
    <n v="0"/>
    <d v="2026-05-29T00:00:00"/>
    <d v="2026-06-06T00:00:00"/>
    <s v="Rahul"/>
    <n v="1005"/>
  </r>
  <r>
    <s v="Arjun"/>
    <x v="3"/>
    <s v="Furniture"/>
    <s v="Chair"/>
    <n v="3"/>
    <n v="2714"/>
    <n v="5"/>
    <d v="2026-02-02T00:00:00"/>
    <d v="2026-02-09T00:00:00"/>
    <s v="Priya"/>
    <n v="1006"/>
  </r>
  <r>
    <s v="Meera"/>
    <x v="2"/>
    <s v="Stationery"/>
    <s v="Notebook"/>
    <n v="19"/>
    <n v="149"/>
    <n v="7"/>
    <d v="2026-05-20T00:00:00"/>
    <d v="2026-05-26T00:00:00"/>
    <s v="Rahul"/>
    <n v="1007"/>
  </r>
  <r>
    <s v="Neha"/>
    <x v="4"/>
    <s v="Furniture"/>
    <s v="Chair"/>
    <n v="1"/>
    <n v="1134"/>
    <n v="0"/>
    <d v="2026-01-11T00:00:00"/>
    <d v="2026-01-19T00:00:00"/>
    <s v="Rahul"/>
    <n v="1008"/>
  </r>
  <r>
    <s v="Asha"/>
    <x v="5"/>
    <s v="Electronics"/>
    <s v="Printer"/>
    <n v="10"/>
    <n v="40671"/>
    <n v="12"/>
    <d v="2026-06-10T00:00:00"/>
    <d v="2026-06-20T00:00:00"/>
    <s v="Rahul"/>
    <n v="1009"/>
  </r>
  <r>
    <s v="Ritesh"/>
    <x v="1"/>
    <s v="Stationery"/>
    <s v="Stapler"/>
    <n v="14"/>
    <n v="470"/>
    <n v="5"/>
    <d v="2026-02-09T00:00:00"/>
    <d v="2026-02-15T00:00:00"/>
    <s v="Kavya"/>
    <n v="1010"/>
  </r>
  <r>
    <s v="Ritesh"/>
    <x v="1"/>
    <s v="Stationery"/>
    <s v="Pen Pack"/>
    <n v="14"/>
    <n v="88"/>
    <n v="12"/>
    <d v="2026-05-19T00:00:00"/>
    <d v="2026-05-21T00:00:00"/>
    <s v="Kavya"/>
    <n v="1011"/>
  </r>
  <r>
    <s v="Vikram"/>
    <x v="6"/>
    <s v="Electronics"/>
    <s v="Keyboard"/>
    <n v="3"/>
    <n v="64615"/>
    <n v="10"/>
    <d v="2026-03-05T00:00:00"/>
    <d v="2026-03-14T00:00:00"/>
    <s v="Priya"/>
    <n v="1012"/>
  </r>
  <r>
    <s v="Pooja"/>
    <x v="4"/>
    <s v="Stationery"/>
    <s v="Stapler"/>
    <n v="17"/>
    <n v="459"/>
    <n v="12"/>
    <d v="2026-03-14T00:00:00"/>
    <d v="2026-03-24T00:00:00"/>
    <s v="Priya"/>
    <n v="1013"/>
  </r>
  <r>
    <s v="Deepak"/>
    <x v="1"/>
    <s v="Electronics"/>
    <s v="Headset"/>
    <n v="19"/>
    <n v="53683"/>
    <n v="12"/>
    <d v="2026-04-17T00:00:00"/>
    <d v="2026-04-22T00:00:00"/>
    <s v="Priya"/>
    <n v="1014"/>
  </r>
  <r>
    <s v="Nisha"/>
    <x v="7"/>
    <s v="Furniture"/>
    <s v="Bookshelf"/>
    <n v="11"/>
    <n v="14511"/>
    <n v="2"/>
    <d v="2026-06-02T00:00:00"/>
    <d v="2026-06-12T00:00:00"/>
    <s v="Amit"/>
    <n v="1015"/>
  </r>
  <r>
    <s v="Asha"/>
    <x v="5"/>
    <s v="Electronics"/>
    <s v="Monitor"/>
    <n v="16"/>
    <n v="30234"/>
    <n v="15"/>
    <d v="2026-04-25T00:00:00"/>
    <d v="2026-04-28T00:00:00"/>
    <s v="Rahul"/>
    <n v="1016"/>
  </r>
  <r>
    <s v="Kiran"/>
    <x v="6"/>
    <s v="Stationery"/>
    <s v="Stapler"/>
    <n v="8"/>
    <n v="179"/>
    <n v="15"/>
    <d v="2026-03-01T00:00:00"/>
    <d v="2026-03-03T00:00:00"/>
    <s v="Kavya"/>
    <n v="1017"/>
  </r>
  <r>
    <s v="Yash"/>
    <x v="3"/>
    <s v="Stationery"/>
    <s v="Notebook"/>
    <n v="20"/>
    <n v="301"/>
    <n v="0"/>
    <d v="2026-03-08T00:00:00"/>
    <d v="2026-03-13T00:00:00"/>
    <s v="Priya"/>
    <n v="1018"/>
  </r>
  <r>
    <s v="Ritesh"/>
    <x v="7"/>
    <s v="Electronics"/>
    <s v="Headset"/>
    <n v="18"/>
    <n v="45652"/>
    <n v="10"/>
    <d v="2026-01-01T00:00:00"/>
    <d v="2026-01-08T00:00:00"/>
    <s v="Amit"/>
    <n v="1019"/>
  </r>
  <r>
    <s v="Kiran"/>
    <x v="0"/>
    <s v="Furniture"/>
    <s v="Desk"/>
    <n v="5"/>
    <n v="4582"/>
    <n v="5"/>
    <d v="2026-02-25T00:00:00"/>
    <d v="2026-03-02T00:00:00"/>
    <s v="Kavya"/>
    <n v="1020"/>
  </r>
  <r>
    <s v="Nitin"/>
    <x v="7"/>
    <s v="Stationery"/>
    <s v="Notebook"/>
    <n v="3"/>
    <n v="484"/>
    <n v="2"/>
    <d v="2026-05-02T00:00:00"/>
    <d v="2026-05-06T00:00:00"/>
    <s v="Rahul"/>
    <n v="1021"/>
  </r>
  <r>
    <s v="Vikram"/>
    <x v="1"/>
    <s v="Electronics"/>
    <s v="Monitor"/>
    <n v="15"/>
    <n v="11596"/>
    <n v="0"/>
    <d v="2026-04-05T00:00:00"/>
    <d v="2026-04-09T00:00:00"/>
    <s v="Priya"/>
    <n v="1022"/>
  </r>
  <r>
    <s v="Deepak"/>
    <x v="0"/>
    <s v="Furniture"/>
    <s v="Bookshelf"/>
    <n v="15"/>
    <n v="3506"/>
    <n v="2"/>
    <d v="2026-06-20T00:00:00"/>
    <d v="2026-06-21T00:00:00"/>
    <s v="Priya"/>
    <n v="1023"/>
  </r>
  <r>
    <s v="Asha"/>
    <x v="6"/>
    <s v="Electronics"/>
    <s v="Headset"/>
    <n v="12"/>
    <n v="1682"/>
    <n v="5"/>
    <d v="2026-05-19T00:00:00"/>
    <d v="2026-05-23T00:00:00"/>
    <s v="Kavya"/>
    <n v="1024"/>
  </r>
  <r>
    <s v="Meera"/>
    <x v="0"/>
    <s v="Furniture"/>
    <s v="Desk"/>
    <n v="18"/>
    <n v="7924"/>
    <n v="0"/>
    <d v="2026-06-02T00:00:00"/>
    <d v="2026-06-08T00:00:00"/>
    <s v="Kavya"/>
    <n v="1025"/>
  </r>
  <r>
    <s v="Ajay"/>
    <x v="4"/>
    <s v="Stationery"/>
    <s v="Marker"/>
    <n v="17"/>
    <n v="323"/>
    <n v="10"/>
    <d v="2026-01-17T00:00:00"/>
    <d v="2026-01-18T00:00:00"/>
    <s v="Priya"/>
    <n v="1026"/>
  </r>
  <r>
    <s v="Priya"/>
    <x v="7"/>
    <s v="Stationery"/>
    <s v="Marker"/>
    <n v="4"/>
    <n v="264"/>
    <n v="0"/>
    <d v="2026-05-13T00:00:00"/>
    <d v="2026-05-19T00:00:00"/>
    <s v="Suresh"/>
    <n v="1027"/>
  </r>
  <r>
    <s v="Yash"/>
    <x v="2"/>
    <s v="Stationery"/>
    <s v="Stapler"/>
    <n v="13"/>
    <n v="433"/>
    <n v="2"/>
    <d v="2026-04-04T00:00:00"/>
    <d v="2026-04-09T00:00:00"/>
    <s v="Rahul"/>
    <n v="1028"/>
  </r>
  <r>
    <s v="Neha"/>
    <x v="3"/>
    <s v="Stationery"/>
    <s v="Stapler"/>
    <n v="18"/>
    <n v="443"/>
    <n v="5"/>
    <d v="2026-01-24T00:00:00"/>
    <d v="2026-02-01T00:00:00"/>
    <s v="Rahul"/>
    <n v="1029"/>
  </r>
  <r>
    <s v="Komal"/>
    <x v="0"/>
    <s v="Stationery"/>
    <s v="Diary"/>
    <n v="13"/>
    <n v="336"/>
    <n v="10"/>
    <d v="2026-03-17T00:00:00"/>
    <d v="2026-03-27T00:00:00"/>
    <s v="Kavya"/>
    <n v="1030"/>
  </r>
  <r>
    <s v="Manoj"/>
    <x v="4"/>
    <s v="Stationery"/>
    <s v="Diary"/>
    <n v="2"/>
    <n v="184"/>
    <n v="5"/>
    <d v="2026-03-08T00:00:00"/>
    <d v="2026-03-12T00:00:00"/>
    <s v="Amit"/>
    <n v="1031"/>
  </r>
  <r>
    <s v="Manoj"/>
    <x v="7"/>
    <s v="Electronics"/>
    <s v="Keyboard"/>
    <n v="20"/>
    <n v="11305"/>
    <n v="2"/>
    <d v="2026-05-21T00:00:00"/>
    <d v="2026-05-23T00:00:00"/>
    <s v="Priya"/>
    <n v="1032"/>
  </r>
  <r>
    <s v="Ritesh"/>
    <x v="7"/>
    <s v="Furniture"/>
    <s v="Desk"/>
    <n v="9"/>
    <n v="4895"/>
    <n v="2"/>
    <d v="2026-03-01T00:00:00"/>
    <d v="2026-03-03T00:00:00"/>
    <s v="Priya"/>
    <n v="1033"/>
  </r>
  <r>
    <s v="Sneha"/>
    <x v="5"/>
    <s v="Furniture"/>
    <s v="Chair"/>
    <n v="17"/>
    <n v="5104"/>
    <n v="12"/>
    <d v="2026-01-30T00:00:00"/>
    <d v="2026-02-08T00:00:00"/>
    <s v="Suresh"/>
    <n v="1034"/>
  </r>
  <r>
    <s v="Ajay"/>
    <x v="7"/>
    <s v="Furniture"/>
    <s v="Cabinet"/>
    <n v="3"/>
    <n v="9149"/>
    <n v="0"/>
    <d v="2026-01-09T00:00:00"/>
    <d v="2026-01-12T00:00:00"/>
    <s v="Rahul"/>
    <n v="1035"/>
  </r>
  <r>
    <s v="Ritesh"/>
    <x v="3"/>
    <s v="Stationery"/>
    <s v="Stapler"/>
    <n v="20"/>
    <n v="161"/>
    <n v="7"/>
    <d v="2026-02-18T00:00:00"/>
    <d v="2026-02-24T00:00:00"/>
    <s v="Rahul"/>
    <n v="1036"/>
  </r>
  <r>
    <s v="Kiran"/>
    <x v="7"/>
    <s v="Furniture"/>
    <s v="Cabinet"/>
    <n v="6"/>
    <n v="14385"/>
    <n v="12"/>
    <d v="2026-01-11T00:00:00"/>
    <d v="2026-01-21T00:00:00"/>
    <s v="Rahul"/>
    <n v="1037"/>
  </r>
  <r>
    <s v="Sneha"/>
    <x v="1"/>
    <s v="Stationery"/>
    <s v="Stapler"/>
    <n v="17"/>
    <n v="223"/>
    <n v="7"/>
    <d v="2026-01-08T00:00:00"/>
    <d v="2026-01-09T00:00:00"/>
    <s v="Suresh"/>
    <n v="1038"/>
  </r>
  <r>
    <s v="Nitin"/>
    <x v="6"/>
    <s v="Electronics"/>
    <s v="Monitor"/>
    <n v="5"/>
    <n v="60236"/>
    <n v="10"/>
    <d v="2026-03-26T00:00:00"/>
    <d v="2026-03-29T00:00:00"/>
    <s v="Amit"/>
    <n v="1039"/>
  </r>
  <r>
    <s v="Ajay"/>
    <x v="6"/>
    <s v="Furniture"/>
    <s v="Chair"/>
    <n v="10"/>
    <n v="7531"/>
    <n v="2"/>
    <d v="2026-05-29T00:00:00"/>
    <d v="2026-06-05T00:00:00"/>
    <s v="Rahul"/>
    <n v="1040"/>
  </r>
  <r>
    <s v="Manoj"/>
    <x v="6"/>
    <s v="Stationery"/>
    <s v="Marker"/>
    <n v="9"/>
    <n v="71"/>
    <n v="7"/>
    <d v="2026-06-12T00:00:00"/>
    <d v="2026-06-15T00:00:00"/>
    <s v="Kavya"/>
    <n v="1041"/>
  </r>
  <r>
    <s v="Kiran"/>
    <x v="5"/>
    <s v="Stationery"/>
    <s v="Diary"/>
    <n v="16"/>
    <n v="232"/>
    <n v="0"/>
    <d v="2026-02-28T00:00:00"/>
    <d v="2026-03-07T00:00:00"/>
    <s v="Priya"/>
    <n v="1042"/>
  </r>
  <r>
    <s v="Ajay"/>
    <x v="6"/>
    <s v="Electronics"/>
    <s v="Printer"/>
    <n v="20"/>
    <n v="46093"/>
    <n v="5"/>
    <d v="2026-03-10T00:00:00"/>
    <d v="2026-03-17T00:00:00"/>
    <s v="Priya"/>
    <n v="1043"/>
  </r>
  <r>
    <s v="Nitin"/>
    <x v="6"/>
    <s v="Furniture"/>
    <s v="Desk"/>
    <n v="4"/>
    <n v="14731"/>
    <n v="2"/>
    <d v="2026-05-31T00:00:00"/>
    <d v="2026-06-03T00:00:00"/>
    <s v="Amit"/>
    <n v="1044"/>
  </r>
  <r>
    <s v="Asha"/>
    <x v="6"/>
    <s v="Electronics"/>
    <s v="Printer"/>
    <n v="3"/>
    <n v="62762"/>
    <n v="7"/>
    <d v="2026-01-16T00:00:00"/>
    <d v="2026-01-17T00:00:00"/>
    <s v="Priya"/>
    <n v="1045"/>
  </r>
  <r>
    <s v="Sara"/>
    <x v="6"/>
    <s v="Electronics"/>
    <s v="Monitor"/>
    <n v="3"/>
    <n v="19443"/>
    <n v="10"/>
    <d v="2026-05-11T00:00:00"/>
    <d v="2026-05-16T00:00:00"/>
    <s v="Priya"/>
    <n v="1046"/>
  </r>
  <r>
    <s v="Rohan"/>
    <x v="6"/>
    <s v="Furniture"/>
    <s v="Cabinet"/>
    <n v="11"/>
    <n v="9976"/>
    <n v="12"/>
    <d v="2026-06-27T00:00:00"/>
    <d v="2026-07-06T00:00:00"/>
    <s v="Kavya"/>
    <n v="1047"/>
  </r>
  <r>
    <s v="Anita"/>
    <x v="3"/>
    <s v="Electronics"/>
    <s v="Laptop"/>
    <n v="14"/>
    <n v="11762"/>
    <n v="7"/>
    <d v="2026-06-07T00:00:00"/>
    <d v="2026-06-13T00:00:00"/>
    <s v="Rahul"/>
    <n v="1048"/>
  </r>
  <r>
    <s v="Komal"/>
    <x v="3"/>
    <s v="Electronics"/>
    <s v="Monitor"/>
    <n v="2"/>
    <n v="40789"/>
    <n v="0"/>
    <d v="2026-03-21T00:00:00"/>
    <d v="2026-03-27T00:00:00"/>
    <s v="Rahul"/>
    <n v="1049"/>
  </r>
  <r>
    <s v="Asha"/>
    <x v="3"/>
    <s v="Stationery"/>
    <s v="Diary"/>
    <n v="12"/>
    <n v="360"/>
    <n v="5"/>
    <d v="2026-04-15T00:00:00"/>
    <d v="2026-04-25T00:00:00"/>
    <s v="Priya"/>
    <n v="1050"/>
  </r>
  <r>
    <s v="Rohan"/>
    <x v="1"/>
    <s v="Stationery"/>
    <s v="Stapler"/>
    <n v="12"/>
    <n v="47"/>
    <n v="2"/>
    <d v="2026-01-15T00:00:00"/>
    <d v="2026-01-23T00:00:00"/>
    <s v="Kavya"/>
    <n v="1051"/>
  </r>
  <r>
    <s v="Sneha"/>
    <x v="0"/>
    <s v="Stationery"/>
    <s v="Notebook"/>
    <n v="17"/>
    <n v="172"/>
    <n v="10"/>
    <d v="2026-05-17T00:00:00"/>
    <d v="2026-05-23T00:00:00"/>
    <s v="Amit"/>
    <n v="1052"/>
  </r>
  <r>
    <s v="Pooja"/>
    <x v="5"/>
    <s v="Furniture"/>
    <s v="Chair"/>
    <n v="1"/>
    <n v="9749"/>
    <n v="15"/>
    <d v="2026-02-11T00:00:00"/>
    <d v="2026-02-17T00:00:00"/>
    <s v="Rahul"/>
    <n v="1053"/>
  </r>
  <r>
    <s v="Vikram"/>
    <x v="3"/>
    <s v="Furniture"/>
    <s v="Table"/>
    <n v="8"/>
    <n v="9798"/>
    <n v="12"/>
    <d v="2026-06-27T00:00:00"/>
    <d v="2026-06-28T00:00:00"/>
    <s v="Suresh"/>
    <n v="1054"/>
  </r>
  <r>
    <s v="Nitin"/>
    <x v="0"/>
    <s v="Stationery"/>
    <s v="Pen Pack"/>
    <n v="18"/>
    <n v="185"/>
    <n v="15"/>
    <d v="2026-02-24T00:00:00"/>
    <d v="2026-02-25T00:00:00"/>
    <s v="Kavya"/>
    <n v="1055"/>
  </r>
  <r>
    <s v="Ritesh"/>
    <x v="2"/>
    <s v="Furniture"/>
    <s v="Desk"/>
    <n v="3"/>
    <n v="9771"/>
    <n v="5"/>
    <d v="2026-04-21T00:00:00"/>
    <d v="2026-04-27T00:00:00"/>
    <s v="Rahul"/>
    <n v="1056"/>
  </r>
  <r>
    <s v="Anita"/>
    <x v="2"/>
    <s v="Furniture"/>
    <s v="Chair"/>
    <n v="2"/>
    <n v="9531"/>
    <n v="15"/>
    <d v="2026-02-14T00:00:00"/>
    <d v="2026-02-23T00:00:00"/>
    <s v="Suresh"/>
    <n v="1057"/>
  </r>
  <r>
    <s v="Komal"/>
    <x v="6"/>
    <s v="Furniture"/>
    <s v="Chair"/>
    <n v="10"/>
    <n v="5532"/>
    <n v="7"/>
    <d v="2026-02-21T00:00:00"/>
    <d v="2026-03-03T00:00:00"/>
    <s v="Rahul"/>
    <n v="1058"/>
  </r>
  <r>
    <s v="Manoj"/>
    <x v="3"/>
    <s v="Stationery"/>
    <s v="Marker"/>
    <n v="20"/>
    <n v="112"/>
    <n v="10"/>
    <d v="2026-04-01T00:00:00"/>
    <d v="2026-04-10T00:00:00"/>
    <s v="Suresh"/>
    <n v="1059"/>
  </r>
  <r>
    <s v="Ajay"/>
    <x v="0"/>
    <s v="Furniture"/>
    <s v="Bookshelf"/>
    <n v="9"/>
    <n v="9727"/>
    <n v="2"/>
    <d v="2026-01-02T00:00:00"/>
    <d v="2026-01-08T00:00:00"/>
    <s v="Amit"/>
    <n v="1060"/>
  </r>
  <r>
    <s v="Sara"/>
    <x v="0"/>
    <s v="Electronics"/>
    <s v="Headset"/>
    <n v="16"/>
    <n v="59084"/>
    <n v="0"/>
    <d v="2026-02-07T00:00:00"/>
    <d v="2026-02-16T00:00:00"/>
    <s v="Amit"/>
    <n v="1061"/>
  </r>
  <r>
    <s v="Deepak"/>
    <x v="7"/>
    <s v="Furniture"/>
    <s v="Table"/>
    <n v="8"/>
    <n v="8360"/>
    <n v="2"/>
    <d v="2026-06-17T00:00:00"/>
    <d v="2026-06-27T00:00:00"/>
    <s v="Suresh"/>
    <n v="1062"/>
  </r>
  <r>
    <s v="Manoj"/>
    <x v="2"/>
    <s v="Electronics"/>
    <s v="Monitor"/>
    <n v="7"/>
    <n v="66744"/>
    <n v="7"/>
    <d v="2026-05-06T00:00:00"/>
    <d v="2026-05-13T00:00:00"/>
    <s v="Kavya"/>
    <n v="1063"/>
  </r>
  <r>
    <s v="Vikram"/>
    <x v="1"/>
    <s v="Stationery"/>
    <s v="Marker"/>
    <n v="20"/>
    <n v="191"/>
    <n v="7"/>
    <d v="2026-06-12T00:00:00"/>
    <d v="2026-06-22T00:00:00"/>
    <s v="Priya"/>
    <n v="1064"/>
  </r>
  <r>
    <s v="Nisha"/>
    <x v="7"/>
    <s v="Furniture"/>
    <s v="Bookshelf"/>
    <n v="1"/>
    <n v="7730"/>
    <n v="5"/>
    <d v="2026-06-19T00:00:00"/>
    <d v="2026-06-22T00:00:00"/>
    <s v="Suresh"/>
    <n v="1065"/>
  </r>
  <r>
    <s v="Yash"/>
    <x v="3"/>
    <s v="Furniture"/>
    <s v="Bookshelf"/>
    <n v="15"/>
    <n v="11987"/>
    <n v="5"/>
    <d v="2026-03-01T00:00:00"/>
    <d v="2026-03-02T00:00:00"/>
    <s v="Kavya"/>
    <n v="1066"/>
  </r>
  <r>
    <s v="Asha"/>
    <x v="7"/>
    <s v="Furniture"/>
    <s v="Cabinet"/>
    <n v="14"/>
    <n v="10869"/>
    <n v="0"/>
    <d v="2026-02-05T00:00:00"/>
    <d v="2026-02-09T00:00:00"/>
    <s v="Priya"/>
    <n v="1067"/>
  </r>
  <r>
    <s v="Komal"/>
    <x v="7"/>
    <s v="Electronics"/>
    <s v="Laptop"/>
    <n v="15"/>
    <n v="14534"/>
    <n v="5"/>
    <d v="2026-06-23T00:00:00"/>
    <d v="2026-06-26T00:00:00"/>
    <s v="Priya"/>
    <n v="1068"/>
  </r>
  <r>
    <s v="Komal"/>
    <x v="4"/>
    <s v="Furniture"/>
    <s v="Chair"/>
    <n v="9"/>
    <n v="4415"/>
    <n v="5"/>
    <d v="2026-01-17T00:00:00"/>
    <d v="2026-01-24T00:00:00"/>
    <s v="Kavya"/>
    <n v="1069"/>
  </r>
  <r>
    <s v="Komal"/>
    <x v="7"/>
    <s v="Stationery"/>
    <s v="Stapler"/>
    <n v="10"/>
    <n v="233"/>
    <n v="7"/>
    <d v="2026-02-23T00:00:00"/>
    <d v="2026-02-24T00:00:00"/>
    <s v="Priya"/>
    <n v="1070"/>
  </r>
  <r>
    <s v="Anita"/>
    <x v="2"/>
    <s v="Electronics"/>
    <s v="Mouse"/>
    <n v="18"/>
    <n v="32197"/>
    <n v="5"/>
    <d v="2026-04-17T00:00:00"/>
    <d v="2026-04-25T00:00:00"/>
    <s v="Amit"/>
    <n v="1071"/>
  </r>
  <r>
    <s v="Pooja"/>
    <x v="3"/>
    <s v="Electronics"/>
    <s v="Mouse"/>
    <n v="20"/>
    <n v="58779"/>
    <n v="0"/>
    <d v="2026-01-13T00:00:00"/>
    <d v="2026-01-14T00:00:00"/>
    <s v="Rahul"/>
    <n v="1072"/>
  </r>
  <r>
    <s v="Rohan"/>
    <x v="1"/>
    <s v="Furniture"/>
    <s v="Cabinet"/>
    <n v="4"/>
    <n v="2453"/>
    <n v="7"/>
    <d v="2026-04-14T00:00:00"/>
    <d v="2026-04-17T00:00:00"/>
    <s v="Suresh"/>
    <n v="1073"/>
  </r>
  <r>
    <s v="Vikram"/>
    <x v="4"/>
    <s v="Stationery"/>
    <s v="Marker"/>
    <n v="11"/>
    <n v="390"/>
    <n v="15"/>
    <d v="2026-04-02T00:00:00"/>
    <d v="2026-04-11T00:00:00"/>
    <s v="Priya"/>
    <n v="1074"/>
  </r>
  <r>
    <s v="Nisha"/>
    <x v="7"/>
    <s v="Electronics"/>
    <s v="Mouse"/>
    <n v="4"/>
    <n v="64773"/>
    <n v="10"/>
    <d v="2026-06-12T00:00:00"/>
    <d v="2026-06-13T00:00:00"/>
    <s v="Suresh"/>
    <n v="1075"/>
  </r>
  <r>
    <s v="Priya"/>
    <x v="1"/>
    <s v="Electronics"/>
    <s v="Printer"/>
    <n v="19"/>
    <n v="26714"/>
    <n v="5"/>
    <d v="2026-01-23T00:00:00"/>
    <d v="2026-02-02T00:00:00"/>
    <s v="Priya"/>
    <n v="1076"/>
  </r>
  <r>
    <s v="Sneha"/>
    <x v="3"/>
    <s v="Stationery"/>
    <s v="Notebook"/>
    <n v="1"/>
    <n v="123"/>
    <n v="10"/>
    <d v="2026-04-01T00:00:00"/>
    <d v="2026-04-09T00:00:00"/>
    <s v="Suresh"/>
    <n v="1077"/>
  </r>
  <r>
    <s v="Komal"/>
    <x v="1"/>
    <s v="Electronics"/>
    <s v="Keyboard"/>
    <n v="11"/>
    <n v="24278"/>
    <n v="12"/>
    <d v="2026-03-03T00:00:00"/>
    <d v="2026-03-09T00:00:00"/>
    <s v="Priya"/>
    <n v="1078"/>
  </r>
  <r>
    <s v="Vikram"/>
    <x v="6"/>
    <s v="Electronics"/>
    <s v="Headset"/>
    <n v="19"/>
    <n v="48956"/>
    <n v="12"/>
    <d v="2026-05-28T00:00:00"/>
    <d v="2026-06-04T00:00:00"/>
    <s v="Suresh"/>
    <n v="1079"/>
  </r>
  <r>
    <s v="Meera"/>
    <x v="2"/>
    <s v="Electronics"/>
    <s v="Headset"/>
    <n v="12"/>
    <n v="54161"/>
    <n v="15"/>
    <d v="2026-04-21T00:00:00"/>
    <d v="2026-05-01T00:00:00"/>
    <s v="Rahul"/>
    <n v="1080"/>
  </r>
  <r>
    <s v="Yash"/>
    <x v="0"/>
    <s v="Electronics"/>
    <s v="Printer"/>
    <n v="15"/>
    <n v="59912"/>
    <n v="7"/>
    <d v="2026-02-05T00:00:00"/>
    <d v="2026-02-07T00:00:00"/>
    <s v="Suresh"/>
    <n v="1081"/>
  </r>
  <r>
    <s v="Meera"/>
    <x v="0"/>
    <s v="Stationery"/>
    <s v="Notebook"/>
    <n v="7"/>
    <n v="133"/>
    <n v="10"/>
    <d v="2026-02-22T00:00:00"/>
    <d v="2026-03-04T00:00:00"/>
    <s v="Suresh"/>
    <n v="1082"/>
  </r>
  <r>
    <s v="Sneha"/>
    <x v="5"/>
    <s v="Stationery"/>
    <s v="Diary"/>
    <n v="4"/>
    <n v="397"/>
    <n v="7"/>
    <d v="2026-06-12T00:00:00"/>
    <d v="2026-06-20T00:00:00"/>
    <s v="Kavya"/>
    <n v="1083"/>
  </r>
  <r>
    <s v="Ajay"/>
    <x v="4"/>
    <s v="Furniture"/>
    <s v="Chair"/>
    <n v="4"/>
    <n v="6901"/>
    <n v="10"/>
    <d v="2026-01-25T00:00:00"/>
    <d v="2026-02-04T00:00:00"/>
    <s v="Amit"/>
    <n v="1084"/>
  </r>
  <r>
    <s v="Asha"/>
    <x v="6"/>
    <s v="Electronics"/>
    <s v="Laptop"/>
    <n v="19"/>
    <n v="45307"/>
    <n v="12"/>
    <d v="2026-05-04T00:00:00"/>
    <d v="2026-05-08T00:00:00"/>
    <s v="Rahul"/>
    <n v="1085"/>
  </r>
  <r>
    <s v="Asha"/>
    <x v="0"/>
    <s v="Stationery"/>
    <s v="Diary"/>
    <n v="15"/>
    <n v="40"/>
    <n v="10"/>
    <d v="2026-01-23T00:00:00"/>
    <d v="2026-01-27T00:00:00"/>
    <s v="Rahul"/>
    <n v="1086"/>
  </r>
  <r>
    <s v="Ritesh"/>
    <x v="4"/>
    <s v="Stationery"/>
    <s v="Pen Pack"/>
    <n v="13"/>
    <n v="387"/>
    <n v="7"/>
    <d v="2026-05-29T00:00:00"/>
    <d v="2026-06-03T00:00:00"/>
    <s v="Rahul"/>
    <n v="1087"/>
  </r>
  <r>
    <s v="Deepak"/>
    <x v="5"/>
    <s v="Electronics"/>
    <s v="Headset"/>
    <n v="20"/>
    <n v="41165"/>
    <n v="0"/>
    <d v="2026-02-15T00:00:00"/>
    <d v="2026-02-16T00:00:00"/>
    <s v="Amit"/>
    <n v="1088"/>
  </r>
  <r>
    <s v="Kiran"/>
    <x v="0"/>
    <s v="Electronics"/>
    <s v="Printer"/>
    <n v="10"/>
    <n v="17041"/>
    <n v="2"/>
    <d v="2026-02-13T00:00:00"/>
    <d v="2026-02-18T00:00:00"/>
    <s v="Rahul"/>
    <n v="1089"/>
  </r>
  <r>
    <s v="Ajay"/>
    <x v="4"/>
    <s v="Electronics"/>
    <s v="Monitor"/>
    <n v="19"/>
    <n v="66139"/>
    <n v="5"/>
    <d v="2026-03-07T00:00:00"/>
    <d v="2026-03-14T00:00:00"/>
    <s v="Rahul"/>
    <n v="1090"/>
  </r>
  <r>
    <s v="Sneha"/>
    <x v="1"/>
    <s v="Stationery"/>
    <s v="Diary"/>
    <n v="2"/>
    <n v="305"/>
    <n v="0"/>
    <d v="2026-04-24T00:00:00"/>
    <d v="2026-05-02T00:00:00"/>
    <s v="Kavya"/>
    <n v="1091"/>
  </r>
  <r>
    <s v="Meera"/>
    <x v="2"/>
    <s v="Electronics"/>
    <s v="Headset"/>
    <n v="9"/>
    <n v="23438"/>
    <n v="2"/>
    <d v="2026-01-27T00:00:00"/>
    <d v="2026-02-02T00:00:00"/>
    <s v="Priya"/>
    <n v="1092"/>
  </r>
  <r>
    <s v="Yash"/>
    <x v="3"/>
    <s v="Furniture"/>
    <s v="Table"/>
    <n v="6"/>
    <n v="8224"/>
    <n v="15"/>
    <d v="2026-06-02T00:00:00"/>
    <d v="2026-06-12T00:00:00"/>
    <s v="Suresh"/>
    <n v="1093"/>
  </r>
  <r>
    <s v="Yash"/>
    <x v="7"/>
    <s v="Electronics"/>
    <s v="Mouse"/>
    <n v="4"/>
    <n v="7073"/>
    <n v="0"/>
    <d v="2026-03-20T00:00:00"/>
    <d v="2026-03-24T00:00:00"/>
    <s v="Priya"/>
    <n v="1094"/>
  </r>
  <r>
    <s v="Yash"/>
    <x v="3"/>
    <s v="Electronics"/>
    <s v="Headset"/>
    <n v="18"/>
    <n v="587"/>
    <n v="2"/>
    <d v="2026-05-25T00:00:00"/>
    <d v="2026-05-29T00:00:00"/>
    <s v="Amit"/>
    <n v="1095"/>
  </r>
  <r>
    <s v="Ajay"/>
    <x v="1"/>
    <s v="Furniture"/>
    <s v="Table"/>
    <n v="15"/>
    <n v="14724"/>
    <n v="15"/>
    <d v="2026-02-01T00:00:00"/>
    <d v="2026-02-08T00:00:00"/>
    <s v="Amit"/>
    <n v="1096"/>
  </r>
  <r>
    <s v="Komal"/>
    <x v="2"/>
    <s v="Electronics"/>
    <s v="Mouse"/>
    <n v="10"/>
    <n v="28980"/>
    <n v="10"/>
    <d v="2026-03-08T00:00:00"/>
    <d v="2026-03-13T00:00:00"/>
    <s v="Rahul"/>
    <n v="1097"/>
  </r>
  <r>
    <s v="Vikram"/>
    <x v="3"/>
    <s v="Stationery"/>
    <s v="Diary"/>
    <n v="17"/>
    <n v="345"/>
    <n v="2"/>
    <d v="2026-04-14T00:00:00"/>
    <d v="2026-04-15T00:00:00"/>
    <s v="Suresh"/>
    <n v="1098"/>
  </r>
  <r>
    <s v="Vikram"/>
    <x v="4"/>
    <s v="Furniture"/>
    <s v="Desk"/>
    <n v="1"/>
    <n v="5165"/>
    <n v="2"/>
    <d v="2026-02-05T00:00:00"/>
    <d v="2026-02-07T00:00:00"/>
    <s v="Kavya"/>
    <n v="1099"/>
  </r>
  <r>
    <s v="Ritesh"/>
    <x v="4"/>
    <s v="Stationery"/>
    <s v="Notebook"/>
    <n v="11"/>
    <n v="296"/>
    <n v="10"/>
    <d v="2026-01-05T00:00:00"/>
    <d v="2026-01-09T00:00:00"/>
    <s v="Suresh"/>
    <n v="1100"/>
  </r>
  <r>
    <s v="Arjun"/>
    <x v="2"/>
    <s v="Electronics"/>
    <s v="Mouse"/>
    <n v="9"/>
    <n v="37361"/>
    <n v="10"/>
    <d v="2026-04-29T00:00:00"/>
    <d v="2026-04-30T00:00:00"/>
    <s v="Rahul"/>
    <n v="1101"/>
  </r>
  <r>
    <s v="Manoj"/>
    <x v="3"/>
    <s v="Electronics"/>
    <s v="Monitor"/>
    <n v="12"/>
    <n v="63402"/>
    <n v="7"/>
    <d v="2026-03-25T00:00:00"/>
    <d v="2026-04-01T00:00:00"/>
    <s v="Suresh"/>
    <n v="1102"/>
  </r>
  <r>
    <s v="Pooja"/>
    <x v="0"/>
    <s v="Furniture"/>
    <s v="Table"/>
    <n v="7"/>
    <n v="11925"/>
    <n v="5"/>
    <d v="2026-01-18T00:00:00"/>
    <d v="2026-01-19T00:00:00"/>
    <s v="Priya"/>
    <n v="1103"/>
  </r>
  <r>
    <s v="Pooja"/>
    <x v="7"/>
    <s v="Furniture"/>
    <s v="Desk"/>
    <n v="10"/>
    <n v="12848"/>
    <n v="15"/>
    <d v="2026-02-07T00:00:00"/>
    <d v="2026-02-11T00:00:00"/>
    <s v="Priya"/>
    <n v="1104"/>
  </r>
  <r>
    <s v="Anita"/>
    <x v="3"/>
    <s v="Stationery"/>
    <s v="Marker"/>
    <n v="2"/>
    <n v="493"/>
    <n v="12"/>
    <d v="2026-02-04T00:00:00"/>
    <d v="2026-02-13T00:00:00"/>
    <s v="Suresh"/>
    <n v="1105"/>
  </r>
  <r>
    <s v="Arjun"/>
    <x v="7"/>
    <s v="Furniture"/>
    <s v="Table"/>
    <n v="20"/>
    <n v="2141"/>
    <n v="2"/>
    <d v="2026-03-10T00:00:00"/>
    <d v="2026-03-16T00:00:00"/>
    <s v="Priya"/>
    <n v="1106"/>
  </r>
  <r>
    <s v="Komal"/>
    <x v="1"/>
    <s v="Electronics"/>
    <s v="Laptop"/>
    <n v="4"/>
    <n v="14291"/>
    <n v="2"/>
    <d v="2026-02-23T00:00:00"/>
    <d v="2026-02-25T00:00:00"/>
    <s v="Kavya"/>
    <n v="1107"/>
  </r>
  <r>
    <s v="Nisha"/>
    <x v="5"/>
    <s v="Furniture"/>
    <s v="Chair"/>
    <n v="15"/>
    <n v="13843"/>
    <n v="7"/>
    <d v="2026-04-07T00:00:00"/>
    <d v="2026-04-15T00:00:00"/>
    <s v="Amit"/>
    <n v="1108"/>
  </r>
  <r>
    <s v="Meera"/>
    <x v="4"/>
    <s v="Furniture"/>
    <s v="Bookshelf"/>
    <n v="19"/>
    <n v="6512"/>
    <n v="10"/>
    <d v="2026-01-11T00:00:00"/>
    <d v="2026-01-15T00:00:00"/>
    <s v="Amit"/>
    <n v="1109"/>
  </r>
  <r>
    <s v="Ajay"/>
    <x v="6"/>
    <s v="Furniture"/>
    <s v="Table"/>
    <n v="14"/>
    <n v="6793"/>
    <n v="7"/>
    <d v="2026-02-24T00:00:00"/>
    <d v="2026-03-01T00:00:00"/>
    <s v="Priya"/>
    <n v="1110"/>
  </r>
  <r>
    <s v="Yash"/>
    <x v="1"/>
    <s v="Electronics"/>
    <s v="Printer"/>
    <n v="5"/>
    <n v="49945"/>
    <n v="12"/>
    <d v="2026-04-21T00:00:00"/>
    <d v="2026-04-29T00:00:00"/>
    <s v="Priya"/>
    <n v="1111"/>
  </r>
  <r>
    <s v="Meera"/>
    <x v="7"/>
    <s v="Furniture"/>
    <s v="Bookshelf"/>
    <n v="7"/>
    <n v="1959"/>
    <n v="15"/>
    <d v="2026-03-09T00:00:00"/>
    <d v="2026-03-19T00:00:00"/>
    <s v="Kavya"/>
    <n v="1112"/>
  </r>
  <r>
    <s v="Vikram"/>
    <x v="7"/>
    <s v="Furniture"/>
    <s v="Cabinet"/>
    <n v="13"/>
    <n v="6719"/>
    <n v="15"/>
    <d v="2026-02-23T00:00:00"/>
    <d v="2026-02-28T00:00:00"/>
    <s v="Rahul"/>
    <n v="1113"/>
  </r>
  <r>
    <s v="Pooja"/>
    <x v="3"/>
    <s v="Stationery"/>
    <s v="Marker"/>
    <n v="13"/>
    <n v="32"/>
    <n v="15"/>
    <d v="2026-02-13T00:00:00"/>
    <d v="2026-02-16T00:00:00"/>
    <s v="Kavya"/>
    <n v="1114"/>
  </r>
  <r>
    <s v="Anita"/>
    <x v="7"/>
    <s v="Stationery"/>
    <s v="Marker"/>
    <n v="9"/>
    <n v="303"/>
    <n v="10"/>
    <d v="2026-05-07T00:00:00"/>
    <d v="2026-05-15T00:00:00"/>
    <s v="Priya"/>
    <n v="1115"/>
  </r>
  <r>
    <s v="Pooja"/>
    <x v="3"/>
    <s v="Furniture"/>
    <s v="Cabinet"/>
    <n v="2"/>
    <n v="12692"/>
    <n v="15"/>
    <d v="2026-01-27T00:00:00"/>
    <d v="2026-01-29T00:00:00"/>
    <s v="Kavya"/>
    <n v="1116"/>
  </r>
  <r>
    <s v="Sneha"/>
    <x v="7"/>
    <s v="Electronics"/>
    <s v="Keyboard"/>
    <n v="16"/>
    <n v="33162"/>
    <n v="7"/>
    <d v="2026-05-05T00:00:00"/>
    <d v="2026-05-13T00:00:00"/>
    <s v="Priya"/>
    <n v="1117"/>
  </r>
  <r>
    <s v="Meera"/>
    <x v="2"/>
    <s v="Furniture"/>
    <s v="Table"/>
    <n v="18"/>
    <n v="9118"/>
    <n v="5"/>
    <d v="2026-06-05T00:00:00"/>
    <d v="2026-06-14T00:00:00"/>
    <s v="Priya"/>
    <n v="1118"/>
  </r>
  <r>
    <s v="Neha"/>
    <x v="7"/>
    <s v="Furniture"/>
    <s v="Chair"/>
    <n v="2"/>
    <n v="3706"/>
    <n v="5"/>
    <d v="2026-06-11T00:00:00"/>
    <d v="2026-06-19T00:00:00"/>
    <s v="Suresh"/>
    <n v="1119"/>
  </r>
  <r>
    <s v="Asha"/>
    <x v="6"/>
    <s v="Stationery"/>
    <s v="Stapler"/>
    <n v="10"/>
    <n v="438"/>
    <n v="10"/>
    <d v="2026-02-08T00:00:00"/>
    <d v="2026-02-12T00:00:00"/>
    <s v="Suresh"/>
    <n v="1120"/>
  </r>
  <r>
    <s v="Priya"/>
    <x v="0"/>
    <s v="Electronics"/>
    <s v="Keyboard"/>
    <n v="4"/>
    <n v="55809"/>
    <n v="2"/>
    <d v="2026-03-22T00:00:00"/>
    <d v="2026-03-27T00:00:00"/>
    <s v="Priya"/>
    <n v="1121"/>
  </r>
  <r>
    <s v="Deepak"/>
    <x v="2"/>
    <s v="Electronics"/>
    <s v="Keyboard"/>
    <n v="14"/>
    <n v="49990"/>
    <n v="10"/>
    <d v="2026-04-20T00:00:00"/>
    <d v="2026-04-23T00:00:00"/>
    <s v="Priya"/>
    <n v="1122"/>
  </r>
  <r>
    <s v="Asha"/>
    <x v="4"/>
    <s v="Electronics"/>
    <s v="Monitor"/>
    <n v="16"/>
    <n v="1332"/>
    <n v="7"/>
    <d v="2026-03-26T00:00:00"/>
    <d v="2026-03-28T00:00:00"/>
    <s v="Priya"/>
    <n v="1123"/>
  </r>
  <r>
    <s v="Arjun"/>
    <x v="6"/>
    <s v="Furniture"/>
    <s v="Cabinet"/>
    <n v="4"/>
    <n v="14195"/>
    <n v="15"/>
    <d v="2026-06-09T00:00:00"/>
    <d v="2026-06-16T00:00:00"/>
    <s v="Suresh"/>
    <n v="1124"/>
  </r>
  <r>
    <s v="Ajay"/>
    <x v="5"/>
    <s v="Stationery"/>
    <s v="Notebook"/>
    <n v="6"/>
    <n v="30"/>
    <n v="2"/>
    <d v="2026-04-21T00:00:00"/>
    <d v="2026-04-26T00:00:00"/>
    <s v="Rahul"/>
    <n v="1125"/>
  </r>
  <r>
    <s v="Kiran"/>
    <x v="2"/>
    <s v="Electronics"/>
    <s v="Keyboard"/>
    <n v="17"/>
    <n v="19390"/>
    <n v="12"/>
    <d v="2026-06-28T00:00:00"/>
    <d v="2026-07-03T00:00:00"/>
    <s v="Priya"/>
    <n v="1126"/>
  </r>
  <r>
    <s v="Vikram"/>
    <x v="5"/>
    <s v="Furniture"/>
    <s v="Chair"/>
    <n v="15"/>
    <n v="11694"/>
    <n v="12"/>
    <d v="2026-05-28T00:00:00"/>
    <d v="2026-06-06T00:00:00"/>
    <s v="Priya"/>
    <n v="1127"/>
  </r>
  <r>
    <s v="Neha"/>
    <x v="2"/>
    <s v="Electronics"/>
    <s v="Mouse"/>
    <n v="6"/>
    <n v="5001"/>
    <n v="7"/>
    <d v="2026-01-22T00:00:00"/>
    <d v="2026-01-28T00:00:00"/>
    <s v="Priya"/>
    <n v="1128"/>
  </r>
  <r>
    <s v="Rohan"/>
    <x v="1"/>
    <s v="Stationery"/>
    <s v="Marker"/>
    <n v="15"/>
    <n v="75"/>
    <n v="7"/>
    <d v="2026-05-18T00:00:00"/>
    <d v="2026-05-22T00:00:00"/>
    <s v="Priya"/>
    <n v="1129"/>
  </r>
  <r>
    <s v="Nitin"/>
    <x v="5"/>
    <s v="Stationery"/>
    <s v="Notebook"/>
    <n v="12"/>
    <n v="50"/>
    <n v="2"/>
    <d v="2026-04-13T00:00:00"/>
    <d v="2026-04-19T00:00:00"/>
    <s v="Rahul"/>
    <n v="1130"/>
  </r>
  <r>
    <s v="Meera"/>
    <x v="4"/>
    <s v="Furniture"/>
    <s v="Table"/>
    <n v="13"/>
    <n v="3083"/>
    <n v="7"/>
    <d v="2026-05-26T00:00:00"/>
    <d v="2026-05-31T00:00:00"/>
    <s v="Suresh"/>
    <n v="1131"/>
  </r>
  <r>
    <s v="Ritesh"/>
    <x v="4"/>
    <s v="Stationery"/>
    <s v="Marker"/>
    <n v="10"/>
    <n v="270"/>
    <n v="7"/>
    <d v="2026-01-02T00:00:00"/>
    <d v="2026-01-12T00:00:00"/>
    <s v="Rahul"/>
    <n v="1132"/>
  </r>
  <r>
    <s v="Ritesh"/>
    <x v="0"/>
    <s v="Furniture"/>
    <s v="Cabinet"/>
    <n v="6"/>
    <n v="9037"/>
    <n v="2"/>
    <d v="2026-03-31T00:00:00"/>
    <d v="2026-04-09T00:00:00"/>
    <s v="Suresh"/>
    <n v="1133"/>
  </r>
  <r>
    <s v="Sara"/>
    <x v="4"/>
    <s v="Electronics"/>
    <s v="Mouse"/>
    <n v="10"/>
    <n v="29217"/>
    <n v="15"/>
    <d v="2026-05-06T00:00:00"/>
    <d v="2026-05-08T00:00:00"/>
    <s v="Rahul"/>
    <n v="1134"/>
  </r>
  <r>
    <s v="Ajay"/>
    <x v="7"/>
    <s v="Electronics"/>
    <s v="Keyboard"/>
    <n v="14"/>
    <n v="68534"/>
    <n v="0"/>
    <d v="2026-01-19T00:00:00"/>
    <d v="2026-01-20T00:00:00"/>
    <s v="Kavya"/>
    <n v="1135"/>
  </r>
  <r>
    <s v="Arjun"/>
    <x v="7"/>
    <s v="Furniture"/>
    <s v="Cabinet"/>
    <n v="19"/>
    <n v="14528"/>
    <n v="12"/>
    <d v="2026-02-03T00:00:00"/>
    <d v="2026-02-09T00:00:00"/>
    <s v="Rahul"/>
    <n v="1136"/>
  </r>
  <r>
    <s v="Komal"/>
    <x v="0"/>
    <s v="Stationery"/>
    <s v="Pen Pack"/>
    <n v="16"/>
    <n v="270"/>
    <n v="10"/>
    <d v="2026-06-11T00:00:00"/>
    <d v="2026-06-17T00:00:00"/>
    <s v="Priya"/>
    <n v="1137"/>
  </r>
  <r>
    <s v="Sneha"/>
    <x v="7"/>
    <s v="Furniture"/>
    <s v="Desk"/>
    <n v="5"/>
    <n v="14466"/>
    <n v="2"/>
    <d v="2026-03-03T00:00:00"/>
    <d v="2026-03-11T00:00:00"/>
    <s v="Suresh"/>
    <n v="1138"/>
  </r>
  <r>
    <s v="Sneha"/>
    <x v="5"/>
    <s v="Electronics"/>
    <s v="Mouse"/>
    <n v="17"/>
    <n v="28839"/>
    <n v="10"/>
    <d v="2026-03-12T00:00:00"/>
    <d v="2026-03-18T00:00:00"/>
    <s v="Kavya"/>
    <n v="1139"/>
  </r>
  <r>
    <s v="Sara"/>
    <x v="6"/>
    <s v="Electronics"/>
    <s v="Headset"/>
    <n v="5"/>
    <n v="68012"/>
    <n v="5"/>
    <d v="2026-02-08T00:00:00"/>
    <d v="2026-02-12T00:00:00"/>
    <s v="Kavya"/>
    <n v="1140"/>
  </r>
  <r>
    <s v="Ritesh"/>
    <x v="1"/>
    <s v="Furniture"/>
    <s v="Bookshelf"/>
    <n v="20"/>
    <n v="6835"/>
    <n v="2"/>
    <d v="2026-01-21T00:00:00"/>
    <d v="2026-01-31T00:00:00"/>
    <s v="Kavya"/>
    <n v="1141"/>
  </r>
  <r>
    <s v="Deepak"/>
    <x v="3"/>
    <s v="Electronics"/>
    <s v="Laptop"/>
    <n v="9"/>
    <n v="59788"/>
    <n v="7"/>
    <d v="2026-02-11T00:00:00"/>
    <d v="2026-02-18T00:00:00"/>
    <s v="Priya"/>
    <n v="1142"/>
  </r>
  <r>
    <s v="Priya"/>
    <x v="1"/>
    <s v="Stationery"/>
    <s v="Pen Pack"/>
    <n v="13"/>
    <n v="456"/>
    <n v="2"/>
    <d v="2026-05-18T00:00:00"/>
    <d v="2026-05-25T00:00:00"/>
    <s v="Rahul"/>
    <n v="1143"/>
  </r>
  <r>
    <s v="Nisha"/>
    <x v="3"/>
    <s v="Stationery"/>
    <s v="Notebook"/>
    <n v="16"/>
    <n v="219"/>
    <n v="7"/>
    <d v="2026-04-26T00:00:00"/>
    <d v="2026-04-28T00:00:00"/>
    <s v="Amit"/>
    <n v="1144"/>
  </r>
  <r>
    <s v="Nisha"/>
    <x v="5"/>
    <s v="Electronics"/>
    <s v="Keyboard"/>
    <n v="2"/>
    <n v="34429"/>
    <n v="12"/>
    <d v="2026-03-21T00:00:00"/>
    <d v="2026-03-31T00:00:00"/>
    <s v="Rahul"/>
    <n v="1145"/>
  </r>
  <r>
    <s v="Pooja"/>
    <x v="7"/>
    <s v="Electronics"/>
    <s v="Monitor"/>
    <n v="7"/>
    <n v="68217"/>
    <n v="0"/>
    <d v="2026-06-17T00:00:00"/>
    <d v="2026-06-24T00:00:00"/>
    <s v="Priya"/>
    <n v="1146"/>
  </r>
  <r>
    <s v="Ritesh"/>
    <x v="2"/>
    <s v="Furniture"/>
    <s v="Chair"/>
    <n v="7"/>
    <n v="9581"/>
    <n v="5"/>
    <d v="2026-05-12T00:00:00"/>
    <d v="2026-05-13T00:00:00"/>
    <s v="Amit"/>
    <n v="1147"/>
  </r>
  <r>
    <s v="Anita"/>
    <x v="5"/>
    <s v="Furniture"/>
    <s v="Chair"/>
    <n v="11"/>
    <n v="3023"/>
    <n v="7"/>
    <d v="2026-01-08T00:00:00"/>
    <d v="2026-01-10T00:00:00"/>
    <s v="Rahul"/>
    <n v="1148"/>
  </r>
  <r>
    <s v="Vikram"/>
    <x v="6"/>
    <s v="Electronics"/>
    <s v="Printer"/>
    <n v="10"/>
    <n v="22853"/>
    <n v="7"/>
    <d v="2026-01-31T00:00:00"/>
    <d v="2026-02-01T00:00:00"/>
    <s v="Priya"/>
    <n v="1149"/>
  </r>
  <r>
    <s v="Nisha"/>
    <x v="0"/>
    <s v="Furniture"/>
    <s v="Cabinet"/>
    <n v="10"/>
    <n v="5323"/>
    <n v="7"/>
    <d v="2026-05-01T00:00:00"/>
    <d v="2026-05-11T00:00:00"/>
    <s v="Rahul"/>
    <n v="1150"/>
  </r>
  <r>
    <s v="Kiran"/>
    <x v="7"/>
    <s v="Stationery"/>
    <s v="Marker"/>
    <n v="20"/>
    <n v="272"/>
    <n v="15"/>
    <d v="2026-01-02T00:00:00"/>
    <d v="2026-01-07T00:00:00"/>
    <s v="Suresh"/>
    <n v="1151"/>
  </r>
  <r>
    <s v="Arjun"/>
    <x v="4"/>
    <s v="Electronics"/>
    <s v="Mouse"/>
    <n v="14"/>
    <n v="8150"/>
    <n v="10"/>
    <d v="2026-02-09T00:00:00"/>
    <d v="2026-02-17T00:00:00"/>
    <s v="Kavya"/>
    <n v="1152"/>
  </r>
  <r>
    <s v="Nisha"/>
    <x v="3"/>
    <s v="Furniture"/>
    <s v="Table"/>
    <n v="19"/>
    <n v="10273"/>
    <n v="12"/>
    <d v="2026-02-16T00:00:00"/>
    <d v="2026-02-19T00:00:00"/>
    <s v="Priya"/>
    <n v="1153"/>
  </r>
  <r>
    <s v="Asha"/>
    <x v="1"/>
    <s v="Furniture"/>
    <s v="Cabinet"/>
    <n v="15"/>
    <n v="6101"/>
    <n v="0"/>
    <d v="2026-06-05T00:00:00"/>
    <d v="2026-06-10T00:00:00"/>
    <s v="Suresh"/>
    <n v="1154"/>
  </r>
  <r>
    <s v="Ritesh"/>
    <x v="4"/>
    <s v="Furniture"/>
    <s v="Chair"/>
    <n v="13"/>
    <n v="4341"/>
    <n v="15"/>
    <d v="2026-03-12T00:00:00"/>
    <d v="2026-03-15T00:00:00"/>
    <s v="Rahul"/>
    <n v="1155"/>
  </r>
  <r>
    <s v="Manoj"/>
    <x v="6"/>
    <s v="Stationery"/>
    <s v="Stapler"/>
    <n v="5"/>
    <n v="466"/>
    <n v="15"/>
    <d v="2026-01-03T00:00:00"/>
    <d v="2026-01-07T00:00:00"/>
    <s v="Kavya"/>
    <n v="1156"/>
  </r>
  <r>
    <s v="Komal"/>
    <x v="5"/>
    <s v="Stationery"/>
    <s v="Marker"/>
    <n v="3"/>
    <n v="203"/>
    <n v="15"/>
    <d v="2026-02-23T00:00:00"/>
    <d v="2026-02-27T00:00:00"/>
    <s v="Priya"/>
    <n v="1157"/>
  </r>
  <r>
    <s v="Vikram"/>
    <x v="6"/>
    <s v="Electronics"/>
    <s v="Headset"/>
    <n v="13"/>
    <n v="12518"/>
    <n v="2"/>
    <d v="2026-02-26T00:00:00"/>
    <d v="2026-03-01T00:00:00"/>
    <s v="Suresh"/>
    <n v="1158"/>
  </r>
  <r>
    <s v="Asha"/>
    <x v="7"/>
    <s v="Furniture"/>
    <s v="Chair"/>
    <n v="20"/>
    <n v="14000"/>
    <n v="15"/>
    <d v="2026-06-11T00:00:00"/>
    <d v="2026-06-14T00:00:00"/>
    <s v="Kavya"/>
    <n v="1159"/>
  </r>
  <r>
    <s v="Anita"/>
    <x v="2"/>
    <s v="Electronics"/>
    <s v="Keyboard"/>
    <n v="7"/>
    <n v="53986"/>
    <n v="10"/>
    <d v="2026-04-30T00:00:00"/>
    <d v="2026-05-05T00:00:00"/>
    <s v="Suresh"/>
    <n v="1160"/>
  </r>
  <r>
    <s v="Arjun"/>
    <x v="3"/>
    <s v="Electronics"/>
    <s v="Keyboard"/>
    <n v="4"/>
    <n v="54659"/>
    <n v="7"/>
    <d v="2026-03-24T00:00:00"/>
    <d v="2026-03-28T00:00:00"/>
    <s v="Amit"/>
    <n v="1161"/>
  </r>
  <r>
    <s v="Sara"/>
    <x v="4"/>
    <s v="Electronics"/>
    <s v="Monitor"/>
    <n v="2"/>
    <n v="28176"/>
    <n v="10"/>
    <d v="2026-03-19T00:00:00"/>
    <d v="2026-03-20T00:00:00"/>
    <s v="Amit"/>
    <n v="1162"/>
  </r>
  <r>
    <s v="Priya"/>
    <x v="6"/>
    <s v="Electronics"/>
    <s v="Keyboard"/>
    <n v="9"/>
    <n v="62440"/>
    <n v="2"/>
    <d v="2026-02-28T00:00:00"/>
    <d v="2026-03-05T00:00:00"/>
    <s v="Priya"/>
    <n v="1163"/>
  </r>
  <r>
    <s v="Deepak"/>
    <x v="7"/>
    <s v="Electronics"/>
    <s v="Mouse"/>
    <n v="7"/>
    <n v="24615"/>
    <n v="12"/>
    <d v="2026-06-23T00:00:00"/>
    <d v="2026-06-30T00:00:00"/>
    <s v="Suresh"/>
    <n v="1164"/>
  </r>
  <r>
    <s v="Nitin"/>
    <x v="3"/>
    <s v="Stationery"/>
    <s v="Pen Pack"/>
    <n v="1"/>
    <n v="427"/>
    <n v="0"/>
    <d v="2026-01-20T00:00:00"/>
    <d v="2026-01-28T00:00:00"/>
    <s v="Suresh"/>
    <n v="1165"/>
  </r>
  <r>
    <s v="Asha"/>
    <x v="4"/>
    <s v="Stationery"/>
    <s v="Pen Pack"/>
    <n v="1"/>
    <n v="396"/>
    <n v="5"/>
    <d v="2026-03-11T00:00:00"/>
    <d v="2026-03-12T00:00:00"/>
    <s v="Amit"/>
    <n v="1166"/>
  </r>
  <r>
    <s v="Nitin"/>
    <x v="1"/>
    <s v="Stationery"/>
    <s v="Pen Pack"/>
    <n v="20"/>
    <n v="251"/>
    <n v="5"/>
    <d v="2026-05-18T00:00:00"/>
    <d v="2026-05-28T00:00:00"/>
    <s v="Priya"/>
    <n v="1167"/>
  </r>
  <r>
    <s v="Manoj"/>
    <x v="0"/>
    <s v="Stationery"/>
    <s v="Pen Pack"/>
    <n v="18"/>
    <n v="335"/>
    <n v="15"/>
    <d v="2026-04-18T00:00:00"/>
    <d v="2026-04-28T00:00:00"/>
    <s v="Priya"/>
    <n v="1168"/>
  </r>
  <r>
    <s v="Yash"/>
    <x v="0"/>
    <s v="Furniture"/>
    <s v="Cabinet"/>
    <n v="12"/>
    <n v="12104"/>
    <n v="7"/>
    <d v="2026-04-09T00:00:00"/>
    <d v="2026-04-18T00:00:00"/>
    <s v="Rahul"/>
    <n v="1169"/>
  </r>
  <r>
    <s v="Ajay"/>
    <x v="6"/>
    <s v="Stationery"/>
    <s v="Notebook"/>
    <n v="6"/>
    <n v="339"/>
    <n v="12"/>
    <d v="2026-03-24T00:00:00"/>
    <d v="2026-03-25T00:00:00"/>
    <s v="Rahul"/>
    <n v="1170"/>
  </r>
  <r>
    <s v="Sara"/>
    <x v="3"/>
    <s v="Stationery"/>
    <s v="Marker"/>
    <n v="17"/>
    <n v="147"/>
    <n v="12"/>
    <d v="2026-05-13T00:00:00"/>
    <d v="2026-05-18T00:00:00"/>
    <s v="Amit"/>
    <n v="1171"/>
  </r>
  <r>
    <s v="Pooja"/>
    <x v="0"/>
    <s v="Electronics"/>
    <s v="Monitor"/>
    <n v="13"/>
    <n v="43163"/>
    <n v="12"/>
    <d v="2026-04-08T00:00:00"/>
    <d v="2026-04-17T00:00:00"/>
    <s v="Rahul"/>
    <n v="1172"/>
  </r>
  <r>
    <s v="Deepak"/>
    <x v="1"/>
    <s v="Stationery"/>
    <s v="Pen Pack"/>
    <n v="15"/>
    <n v="214"/>
    <n v="10"/>
    <d v="2026-01-28T00:00:00"/>
    <d v="2026-02-07T00:00:00"/>
    <s v="Suresh"/>
    <n v="1173"/>
  </r>
  <r>
    <s v="Rohan"/>
    <x v="6"/>
    <s v="Stationery"/>
    <s v="Notebook"/>
    <n v="13"/>
    <n v="155"/>
    <n v="2"/>
    <d v="2026-02-13T00:00:00"/>
    <d v="2026-02-16T00:00:00"/>
    <s v="Rahul"/>
    <n v="1174"/>
  </r>
  <r>
    <s v="Vikram"/>
    <x v="1"/>
    <s v="Electronics"/>
    <s v="Headset"/>
    <n v="10"/>
    <n v="20339"/>
    <n v="2"/>
    <d v="2026-03-07T00:00:00"/>
    <d v="2026-03-13T00:00:00"/>
    <s v="Amit"/>
    <n v="1175"/>
  </r>
  <r>
    <s v="Rohan"/>
    <x v="6"/>
    <s v="Electronics"/>
    <s v="Headset"/>
    <n v="17"/>
    <n v="46937"/>
    <n v="12"/>
    <d v="2026-01-26T00:00:00"/>
    <d v="2026-02-03T00:00:00"/>
    <s v="Priya"/>
    <n v="1176"/>
  </r>
  <r>
    <s v="Priya"/>
    <x v="2"/>
    <s v="Furniture"/>
    <s v="Desk"/>
    <n v="14"/>
    <n v="7501"/>
    <n v="7"/>
    <d v="2026-05-27T00:00:00"/>
    <d v="2026-06-06T00:00:00"/>
    <s v="Amit"/>
    <n v="1177"/>
  </r>
  <r>
    <s v="Sara"/>
    <x v="1"/>
    <s v="Stationery"/>
    <s v="Marker"/>
    <n v="5"/>
    <n v="50"/>
    <n v="0"/>
    <d v="2026-03-30T00:00:00"/>
    <d v="2026-04-05T00:00:00"/>
    <s v="Amit"/>
    <n v="1178"/>
  </r>
  <r>
    <s v="Yash"/>
    <x v="1"/>
    <s v="Electronics"/>
    <s v="Keyboard"/>
    <n v="6"/>
    <n v="10400"/>
    <n v="2"/>
    <d v="2026-05-13T00:00:00"/>
    <d v="2026-05-16T00:00:00"/>
    <s v="Kavya"/>
    <n v="1179"/>
  </r>
  <r>
    <s v="Deepak"/>
    <x v="4"/>
    <s v="Furniture"/>
    <s v="Chair"/>
    <n v="2"/>
    <n v="2076"/>
    <n v="2"/>
    <d v="2026-03-30T00:00:00"/>
    <d v="2026-04-09T00:00:00"/>
    <s v="Priya"/>
    <n v="1180"/>
  </r>
  <r>
    <s v="Rohan"/>
    <x v="5"/>
    <s v="Stationery"/>
    <s v="Stapler"/>
    <n v="4"/>
    <n v="357"/>
    <n v="2"/>
    <d v="2026-01-11T00:00:00"/>
    <d v="2026-01-13T00:00:00"/>
    <s v="Kavya"/>
    <n v="1181"/>
  </r>
  <r>
    <s v="Nisha"/>
    <x v="0"/>
    <s v="Electronics"/>
    <s v="Keyboard"/>
    <n v="8"/>
    <n v="66022"/>
    <n v="12"/>
    <d v="2026-03-27T00:00:00"/>
    <d v="2026-04-02T00:00:00"/>
    <s v="Rahul"/>
    <n v="1182"/>
  </r>
  <r>
    <s v="Komal"/>
    <x v="7"/>
    <s v="Stationery"/>
    <s v="Notebook"/>
    <n v="2"/>
    <n v="309"/>
    <n v="2"/>
    <d v="2026-03-28T00:00:00"/>
    <d v="2026-03-30T00:00:00"/>
    <s v="Amit"/>
    <n v="1183"/>
  </r>
  <r>
    <s v="Deepak"/>
    <x v="4"/>
    <s v="Electronics"/>
    <s v="Keyboard"/>
    <n v="12"/>
    <n v="50517"/>
    <n v="15"/>
    <d v="2026-05-03T00:00:00"/>
    <d v="2026-05-11T00:00:00"/>
    <s v="Priya"/>
    <n v="1184"/>
  </r>
  <r>
    <s v="Rohan"/>
    <x v="2"/>
    <s v="Electronics"/>
    <s v="Laptop"/>
    <n v="16"/>
    <n v="15536"/>
    <n v="2"/>
    <d v="2026-05-11T00:00:00"/>
    <d v="2026-05-14T00:00:00"/>
    <s v="Kavya"/>
    <n v="1185"/>
  </r>
  <r>
    <s v="Pooja"/>
    <x v="3"/>
    <s v="Furniture"/>
    <s v="Bookshelf"/>
    <n v="10"/>
    <n v="14951"/>
    <n v="2"/>
    <d v="2026-06-15T00:00:00"/>
    <d v="2026-06-23T00:00:00"/>
    <s v="Rahul"/>
    <n v="1186"/>
  </r>
  <r>
    <s v="Manoj"/>
    <x v="2"/>
    <s v="Electronics"/>
    <s v="Monitor"/>
    <n v="18"/>
    <n v="68527"/>
    <n v="12"/>
    <d v="2026-06-05T00:00:00"/>
    <d v="2026-06-11T00:00:00"/>
    <s v="Suresh"/>
    <n v="1187"/>
  </r>
  <r>
    <s v="Priya"/>
    <x v="2"/>
    <s v="Furniture"/>
    <s v="Cabinet"/>
    <n v="6"/>
    <n v="10368"/>
    <n v="7"/>
    <d v="2026-04-25T00:00:00"/>
    <d v="2026-04-30T00:00:00"/>
    <s v="Kavya"/>
    <n v="1188"/>
  </r>
  <r>
    <s v="Ajay"/>
    <x v="4"/>
    <s v="Furniture"/>
    <s v="Cabinet"/>
    <n v="12"/>
    <n v="8327"/>
    <n v="10"/>
    <d v="2026-06-11T00:00:00"/>
    <d v="2026-06-12T00:00:00"/>
    <s v="Priya"/>
    <n v="1189"/>
  </r>
  <r>
    <s v="Sara"/>
    <x v="1"/>
    <s v="Furniture"/>
    <s v="Chair"/>
    <n v="4"/>
    <n v="10154"/>
    <n v="7"/>
    <d v="2026-01-30T00:00:00"/>
    <d v="2026-02-09T00:00:00"/>
    <s v="Amit"/>
    <n v="1190"/>
  </r>
  <r>
    <s v="Komal"/>
    <x v="5"/>
    <s v="Furniture"/>
    <s v="Cabinet"/>
    <n v="9"/>
    <n v="8631"/>
    <n v="10"/>
    <d v="2026-05-07T00:00:00"/>
    <d v="2026-05-14T00:00:00"/>
    <s v="Amit"/>
    <n v="1191"/>
  </r>
  <r>
    <s v="Meera"/>
    <x v="5"/>
    <s v="Stationery"/>
    <s v="Diary"/>
    <n v="18"/>
    <n v="49"/>
    <n v="12"/>
    <d v="2026-03-08T00:00:00"/>
    <d v="2026-03-14T00:00:00"/>
    <s v="Rahul"/>
    <n v="1192"/>
  </r>
  <r>
    <s v="Sara"/>
    <x v="0"/>
    <s v="Furniture"/>
    <s v="Table"/>
    <n v="19"/>
    <n v="2699"/>
    <n v="7"/>
    <d v="2026-03-29T00:00:00"/>
    <d v="2026-03-31T00:00:00"/>
    <s v="Priya"/>
    <n v="1193"/>
  </r>
  <r>
    <s v="Sara"/>
    <x v="7"/>
    <s v="Furniture"/>
    <s v="Chair"/>
    <n v="13"/>
    <n v="12856"/>
    <n v="15"/>
    <d v="2026-04-17T00:00:00"/>
    <d v="2026-04-21T00:00:00"/>
    <s v="Suresh"/>
    <n v="1194"/>
  </r>
  <r>
    <s v="Anita"/>
    <x v="1"/>
    <s v="Stationery"/>
    <s v="Marker"/>
    <n v="19"/>
    <n v="313"/>
    <n v="2"/>
    <d v="2026-06-25T00:00:00"/>
    <d v="2026-07-03T00:00:00"/>
    <s v="Suresh"/>
    <n v="1195"/>
  </r>
  <r>
    <s v="Nitin"/>
    <x v="2"/>
    <s v="Electronics"/>
    <s v="Printer"/>
    <n v="20"/>
    <n v="3172"/>
    <n v="5"/>
    <d v="2026-05-13T00:00:00"/>
    <d v="2026-05-17T00:00:00"/>
    <s v="Amit"/>
    <n v="1196"/>
  </r>
  <r>
    <s v="Komal"/>
    <x v="4"/>
    <s v="Electronics"/>
    <s v="Printer"/>
    <n v="5"/>
    <n v="45352"/>
    <n v="12"/>
    <d v="2026-01-23T00:00:00"/>
    <d v="2026-01-26T00:00:00"/>
    <s v="Kavya"/>
    <n v="1197"/>
  </r>
  <r>
    <s v="Rohan"/>
    <x v="0"/>
    <s v="Stationery"/>
    <s v="Notebook"/>
    <n v="12"/>
    <n v="491"/>
    <n v="2"/>
    <d v="2026-03-25T00:00:00"/>
    <d v="2026-03-28T00:00:00"/>
    <s v="Suresh"/>
    <n v="1198"/>
  </r>
  <r>
    <s v="Ritesh"/>
    <x v="3"/>
    <s v="Electronics"/>
    <s v="Monitor"/>
    <n v="2"/>
    <n v="4375"/>
    <n v="7"/>
    <d v="2026-06-05T00:00:00"/>
    <d v="2026-06-07T00:00:00"/>
    <s v="Rahul"/>
    <n v="1199"/>
  </r>
  <r>
    <s v="Priya"/>
    <x v="4"/>
    <s v="Electronics"/>
    <s v="Monitor"/>
    <n v="13"/>
    <n v="69422"/>
    <n v="0"/>
    <d v="2026-04-22T00:00:00"/>
    <d v="2026-05-01T00:00:00"/>
    <s v="Priya"/>
    <n v="1200"/>
  </r>
  <r>
    <s v="Manoj"/>
    <x v="4"/>
    <s v="Stationery"/>
    <s v="Diary"/>
    <n v="18"/>
    <n v="139"/>
    <n v="12"/>
    <d v="2026-02-22T00:00:00"/>
    <d v="2026-02-23T00:00:00"/>
    <s v="Amit"/>
    <n v="1201"/>
  </r>
  <r>
    <s v="Sara"/>
    <x v="2"/>
    <s v="Electronics"/>
    <s v="Printer"/>
    <n v="2"/>
    <n v="20312"/>
    <n v="12"/>
    <d v="2026-03-01T00:00:00"/>
    <d v="2026-03-10T00:00:00"/>
    <s v="Kavya"/>
    <n v="1202"/>
  </r>
  <r>
    <s v="Deepak"/>
    <x v="2"/>
    <s v="Furniture"/>
    <s v="Table"/>
    <n v="17"/>
    <n v="6695"/>
    <n v="2"/>
    <d v="2026-04-07T00:00:00"/>
    <d v="2026-04-10T00:00:00"/>
    <s v="Suresh"/>
    <n v="1203"/>
  </r>
  <r>
    <s v="Pooja"/>
    <x v="4"/>
    <s v="Stationery"/>
    <s v="Pen Pack"/>
    <n v="13"/>
    <n v="416"/>
    <n v="10"/>
    <d v="2026-04-11T00:00:00"/>
    <d v="2026-04-20T00:00:00"/>
    <s v="Amit"/>
    <n v="1204"/>
  </r>
  <r>
    <s v="Meera"/>
    <x v="6"/>
    <s v="Stationery"/>
    <s v="Stapler"/>
    <n v="1"/>
    <n v="112"/>
    <n v="7"/>
    <d v="2026-01-11T00:00:00"/>
    <d v="2026-01-18T00:00:00"/>
    <s v="Suresh"/>
    <n v="1205"/>
  </r>
  <r>
    <s v="Sneha"/>
    <x v="5"/>
    <s v="Stationery"/>
    <s v="Notebook"/>
    <n v="9"/>
    <n v="60"/>
    <n v="0"/>
    <d v="2026-05-24T00:00:00"/>
    <d v="2026-06-01T00:00:00"/>
    <s v="Kavya"/>
    <n v="1206"/>
  </r>
  <r>
    <s v="Sneha"/>
    <x v="3"/>
    <s v="Stationery"/>
    <s v="Diary"/>
    <n v="7"/>
    <n v="244"/>
    <n v="2"/>
    <d v="2026-05-22T00:00:00"/>
    <d v="2026-05-31T00:00:00"/>
    <s v="Rahul"/>
    <n v="1207"/>
  </r>
  <r>
    <s v="Manoj"/>
    <x v="7"/>
    <s v="Furniture"/>
    <s v="Bookshelf"/>
    <n v="6"/>
    <n v="7627"/>
    <n v="10"/>
    <d v="2026-01-20T00:00:00"/>
    <d v="2026-01-25T00:00:00"/>
    <s v="Amit"/>
    <n v="1208"/>
  </r>
  <r>
    <s v="Nitin"/>
    <x v="6"/>
    <s v="Electronics"/>
    <s v="Printer"/>
    <n v="19"/>
    <n v="20284"/>
    <n v="10"/>
    <d v="2026-03-22T00:00:00"/>
    <d v="2026-03-29T00:00:00"/>
    <s v="Amit"/>
    <n v="1209"/>
  </r>
  <r>
    <s v="Neha"/>
    <x v="4"/>
    <s v="Stationery"/>
    <s v="Diary"/>
    <n v="10"/>
    <n v="349"/>
    <n v="0"/>
    <d v="2026-01-30T00:00:00"/>
    <d v="2026-02-07T00:00:00"/>
    <s v="Priya"/>
    <n v="1210"/>
  </r>
  <r>
    <s v="Nitin"/>
    <x v="1"/>
    <s v="Electronics"/>
    <s v="Printer"/>
    <n v="3"/>
    <n v="5962"/>
    <n v="7"/>
    <d v="2026-06-02T00:00:00"/>
    <d v="2026-06-10T00:00:00"/>
    <s v="Kavya"/>
    <n v="1211"/>
  </r>
  <r>
    <s v="Anita"/>
    <x v="3"/>
    <s v="Electronics"/>
    <s v="Laptop"/>
    <n v="10"/>
    <n v="34380"/>
    <n v="7"/>
    <d v="2026-06-21T00:00:00"/>
    <d v="2026-06-22T00:00:00"/>
    <s v="Priya"/>
    <n v="1212"/>
  </r>
  <r>
    <s v="Asha"/>
    <x v="6"/>
    <s v="Electronics"/>
    <s v="Monitor"/>
    <n v="16"/>
    <n v="27741"/>
    <n v="12"/>
    <d v="2026-04-04T00:00:00"/>
    <d v="2026-04-07T00:00:00"/>
    <s v="Kavya"/>
    <n v="1213"/>
  </r>
  <r>
    <s v="Nisha"/>
    <x v="3"/>
    <s v="Furniture"/>
    <s v="Chair"/>
    <n v="19"/>
    <n v="13832"/>
    <n v="0"/>
    <d v="2026-04-28T00:00:00"/>
    <d v="2026-05-03T00:00:00"/>
    <s v="Suresh"/>
    <n v="1214"/>
  </r>
  <r>
    <s v="Arjun"/>
    <x v="0"/>
    <s v="Furniture"/>
    <s v="Chair"/>
    <n v="6"/>
    <n v="1254"/>
    <n v="0"/>
    <d v="2026-04-19T00:00:00"/>
    <d v="2026-04-24T00:00:00"/>
    <s v="Priya"/>
    <n v="1215"/>
  </r>
  <r>
    <s v="Deepak"/>
    <x v="2"/>
    <s v="Electronics"/>
    <s v="Monitor"/>
    <n v="10"/>
    <n v="56709"/>
    <n v="15"/>
    <d v="2026-04-23T00:00:00"/>
    <d v="2026-04-27T00:00:00"/>
    <s v="Priya"/>
    <n v="1216"/>
  </r>
  <r>
    <s v="Neha"/>
    <x v="2"/>
    <s v="Stationery"/>
    <s v="Marker"/>
    <n v="18"/>
    <n v="60"/>
    <n v="0"/>
    <d v="2026-05-29T00:00:00"/>
    <d v="2026-05-30T00:00:00"/>
    <s v="Priya"/>
    <n v="1217"/>
  </r>
  <r>
    <s v="Sneha"/>
    <x v="6"/>
    <s v="Stationery"/>
    <s v="Notebook"/>
    <n v="1"/>
    <n v="134"/>
    <n v="10"/>
    <d v="2026-05-01T00:00:00"/>
    <d v="2026-05-09T00:00:00"/>
    <s v="Suresh"/>
    <n v="1218"/>
  </r>
  <r>
    <s v="Kiran"/>
    <x v="2"/>
    <s v="Stationery"/>
    <s v="Notebook"/>
    <n v="4"/>
    <n v="117"/>
    <n v="15"/>
    <d v="2026-06-29T00:00:00"/>
    <d v="2026-07-03T00:00:00"/>
    <s v="Priya"/>
    <n v="1219"/>
  </r>
  <r>
    <s v="Ritesh"/>
    <x v="3"/>
    <s v="Furniture"/>
    <s v="Cabinet"/>
    <n v="2"/>
    <n v="8861"/>
    <n v="2"/>
    <d v="2026-05-28T00:00:00"/>
    <d v="2026-06-01T00:00:00"/>
    <s v="Rahul"/>
    <n v="1220"/>
  </r>
  <r>
    <s v="Ritesh"/>
    <x v="4"/>
    <s v="Furniture"/>
    <s v="Cabinet"/>
    <n v="18"/>
    <n v="2681"/>
    <n v="10"/>
    <d v="2026-04-10T00:00:00"/>
    <d v="2026-04-13T00:00:00"/>
    <s v="Suresh"/>
    <n v="1221"/>
  </r>
  <r>
    <s v="Neha"/>
    <x v="5"/>
    <s v="Furniture"/>
    <s v="Table"/>
    <n v="9"/>
    <n v="2712"/>
    <n v="12"/>
    <d v="2026-05-12T00:00:00"/>
    <d v="2026-05-21T00:00:00"/>
    <s v="Kavya"/>
    <n v="1222"/>
  </r>
  <r>
    <s v="Anita"/>
    <x v="1"/>
    <s v="Furniture"/>
    <s v="Table"/>
    <n v="4"/>
    <n v="2249"/>
    <n v="7"/>
    <d v="2026-02-24T00:00:00"/>
    <d v="2026-03-03T00:00:00"/>
    <s v="Kavya"/>
    <n v="1223"/>
  </r>
  <r>
    <s v="Neha"/>
    <x v="6"/>
    <s v="Electronics"/>
    <s v="Monitor"/>
    <n v="16"/>
    <n v="18378"/>
    <n v="10"/>
    <d v="2026-01-23T00:00:00"/>
    <d v="2026-01-30T00:00:00"/>
    <s v="Rahul"/>
    <n v="1224"/>
  </r>
  <r>
    <s v="Nisha"/>
    <x v="4"/>
    <s v="Electronics"/>
    <s v="Printer"/>
    <n v="16"/>
    <n v="32262"/>
    <n v="12"/>
    <d v="2026-04-13T00:00:00"/>
    <d v="2026-04-14T00:00:00"/>
    <s v="Amit"/>
    <n v="1225"/>
  </r>
  <r>
    <s v="Priya"/>
    <x v="4"/>
    <s v="Electronics"/>
    <s v="Headset"/>
    <n v="13"/>
    <n v="21332"/>
    <n v="0"/>
    <d v="2026-01-22T00:00:00"/>
    <d v="2026-01-26T00:00:00"/>
    <s v="Priya"/>
    <n v="1226"/>
  </r>
  <r>
    <s v="Rohan"/>
    <x v="2"/>
    <s v="Electronics"/>
    <s v="Monitor"/>
    <n v="16"/>
    <n v="1321"/>
    <n v="12"/>
    <d v="2026-04-01T00:00:00"/>
    <d v="2026-04-04T00:00:00"/>
    <s v="Kavya"/>
    <n v="1227"/>
  </r>
  <r>
    <s v="Priya"/>
    <x v="3"/>
    <s v="Electronics"/>
    <s v="Monitor"/>
    <n v="16"/>
    <n v="17477"/>
    <n v="10"/>
    <d v="2026-01-19T00:00:00"/>
    <d v="2026-01-21T00:00:00"/>
    <s v="Rahul"/>
    <n v="1228"/>
  </r>
  <r>
    <s v="Sara"/>
    <x v="0"/>
    <s v="Furniture"/>
    <s v="Cabinet"/>
    <n v="14"/>
    <n v="5859"/>
    <n v="12"/>
    <d v="2026-01-05T00:00:00"/>
    <d v="2026-01-14T00:00:00"/>
    <s v="Amit"/>
    <n v="1229"/>
  </r>
  <r>
    <s v="Anita"/>
    <x v="5"/>
    <s v="Electronics"/>
    <s v="Laptop"/>
    <n v="7"/>
    <n v="2932"/>
    <n v="7"/>
    <d v="2026-01-28T00:00:00"/>
    <d v="2026-02-06T00:00:00"/>
    <s v="Rahul"/>
    <n v="1230"/>
  </r>
  <r>
    <s v="Nitin"/>
    <x v="6"/>
    <s v="Furniture"/>
    <s v="Desk"/>
    <n v="13"/>
    <n v="10297"/>
    <n v="12"/>
    <d v="2026-06-05T00:00:00"/>
    <d v="2026-06-13T00:00:00"/>
    <s v="Amit"/>
    <n v="1231"/>
  </r>
  <r>
    <s v="Meera"/>
    <x v="0"/>
    <s v="Electronics"/>
    <s v="Laptop"/>
    <n v="3"/>
    <n v="13272"/>
    <n v="2"/>
    <d v="2026-02-07T00:00:00"/>
    <d v="2026-02-12T00:00:00"/>
    <s v="Kavya"/>
    <n v="1232"/>
  </r>
  <r>
    <s v="Rohan"/>
    <x v="2"/>
    <s v="Furniture"/>
    <s v="Desk"/>
    <n v="20"/>
    <n v="13941"/>
    <n v="15"/>
    <d v="2026-06-25T00:00:00"/>
    <d v="2026-06-29T00:00:00"/>
    <s v="Rahul"/>
    <n v="1233"/>
  </r>
  <r>
    <s v="Ritesh"/>
    <x v="3"/>
    <s v="Furniture"/>
    <s v="Chair"/>
    <n v="1"/>
    <n v="14320"/>
    <n v="12"/>
    <d v="2026-04-02T00:00:00"/>
    <d v="2026-04-09T00:00:00"/>
    <s v="Suresh"/>
    <n v="1234"/>
  </r>
  <r>
    <s v="Sara"/>
    <x v="3"/>
    <s v="Stationery"/>
    <s v="Marker"/>
    <n v="15"/>
    <n v="267"/>
    <n v="15"/>
    <d v="2026-05-30T00:00:00"/>
    <d v="2026-06-04T00:00:00"/>
    <s v="Priya"/>
    <n v="1235"/>
  </r>
  <r>
    <s v="Manoj"/>
    <x v="7"/>
    <s v="Stationery"/>
    <s v="Pen Pack"/>
    <n v="12"/>
    <n v="189"/>
    <n v="7"/>
    <d v="2026-05-22T00:00:00"/>
    <d v="2026-05-27T00:00:00"/>
    <s v="Priya"/>
    <n v="1236"/>
  </r>
  <r>
    <s v="Kiran"/>
    <x v="6"/>
    <s v="Furniture"/>
    <s v="Cabinet"/>
    <n v="8"/>
    <n v="12123"/>
    <n v="2"/>
    <d v="2026-04-25T00:00:00"/>
    <d v="2026-05-03T00:00:00"/>
    <s v="Kavya"/>
    <n v="1237"/>
  </r>
  <r>
    <s v="Neha"/>
    <x v="4"/>
    <s v="Stationery"/>
    <s v="Notebook"/>
    <n v="6"/>
    <n v="180"/>
    <n v="12"/>
    <d v="2026-03-15T00:00:00"/>
    <d v="2026-03-16T00:00:00"/>
    <s v="Suresh"/>
    <n v="1238"/>
  </r>
  <r>
    <s v="Nitin"/>
    <x v="1"/>
    <s v="Furniture"/>
    <s v="Cabinet"/>
    <n v="2"/>
    <n v="12330"/>
    <n v="12"/>
    <d v="2026-04-10T00:00:00"/>
    <d v="2026-04-13T00:00:00"/>
    <s v="Kavya"/>
    <n v="1239"/>
  </r>
  <r>
    <s v="Sneha"/>
    <x v="5"/>
    <s v="Furniture"/>
    <s v="Table"/>
    <n v="2"/>
    <n v="5475"/>
    <n v="2"/>
    <d v="2026-04-30T00:00:00"/>
    <d v="2026-05-04T00:00:00"/>
    <s v="Priya"/>
    <n v="1240"/>
  </r>
  <r>
    <s v="Kiran"/>
    <x v="4"/>
    <s v="Furniture"/>
    <s v="Bookshelf"/>
    <n v="1"/>
    <n v="12537"/>
    <n v="0"/>
    <d v="2026-04-07T00:00:00"/>
    <d v="2026-04-10T00:00:00"/>
    <s v="Kavya"/>
    <n v="1241"/>
  </r>
  <r>
    <s v="Manoj"/>
    <x v="6"/>
    <s v="Stationery"/>
    <s v="Marker"/>
    <n v="7"/>
    <n v="168"/>
    <n v="10"/>
    <d v="2026-06-18T00:00:00"/>
    <d v="2026-06-23T00:00:00"/>
    <s v="Suresh"/>
    <n v="1242"/>
  </r>
  <r>
    <s v="Neha"/>
    <x v="4"/>
    <s v="Electronics"/>
    <s v="Headset"/>
    <n v="5"/>
    <n v="11570"/>
    <n v="15"/>
    <d v="2026-02-16T00:00:00"/>
    <d v="2026-02-24T00:00:00"/>
    <s v="Rahul"/>
    <n v="1243"/>
  </r>
  <r>
    <s v="Sara"/>
    <x v="6"/>
    <s v="Furniture"/>
    <s v="Chair"/>
    <n v="10"/>
    <n v="6339"/>
    <n v="12"/>
    <d v="2026-06-27T00:00:00"/>
    <d v="2026-07-02T00:00:00"/>
    <s v="Kavya"/>
    <n v="1244"/>
  </r>
  <r>
    <s v="Sneha"/>
    <x v="7"/>
    <s v="Electronics"/>
    <s v="Headset"/>
    <n v="19"/>
    <n v="69029"/>
    <n v="7"/>
    <d v="2026-06-03T00:00:00"/>
    <d v="2026-06-06T00:00:00"/>
    <s v="Priya"/>
    <n v="1245"/>
  </r>
  <r>
    <s v="Sneha"/>
    <x v="2"/>
    <s v="Electronics"/>
    <s v="Printer"/>
    <n v="13"/>
    <n v="1825"/>
    <n v="2"/>
    <d v="2026-01-17T00:00:00"/>
    <d v="2026-01-23T00:00:00"/>
    <s v="Suresh"/>
    <n v="1246"/>
  </r>
  <r>
    <s v="Vikram"/>
    <x v="0"/>
    <s v="Stationery"/>
    <s v="Marker"/>
    <n v="10"/>
    <n v="336"/>
    <n v="7"/>
    <d v="2026-05-31T00:00:00"/>
    <d v="2026-06-02T00:00:00"/>
    <s v="Amit"/>
    <n v="1247"/>
  </r>
  <r>
    <s v="Arjun"/>
    <x v="7"/>
    <s v="Stationery"/>
    <s v="Pen Pack"/>
    <n v="5"/>
    <n v="398"/>
    <n v="7"/>
    <d v="2026-05-19T00:00:00"/>
    <d v="2026-05-29T00:00:00"/>
    <s v="Priya"/>
    <n v="1248"/>
  </r>
  <r>
    <s v="Pooja"/>
    <x v="3"/>
    <s v="Electronics"/>
    <s v="Headset"/>
    <n v="18"/>
    <n v="6360"/>
    <n v="12"/>
    <d v="2026-05-21T00:00:00"/>
    <d v="2026-05-23T00:00:00"/>
    <s v="Amit"/>
    <n v="1249"/>
  </r>
  <r>
    <s v="Ritesh"/>
    <x v="1"/>
    <s v="Electronics"/>
    <s v="Monitor"/>
    <n v="2"/>
    <n v="65953"/>
    <n v="7"/>
    <d v="2026-01-29T00:00:00"/>
    <d v="2026-01-31T00:00:00"/>
    <s v="Priya"/>
    <n v="1250"/>
  </r>
  <r>
    <s v="Sneha"/>
    <x v="6"/>
    <s v="Electronics"/>
    <s v="Mouse"/>
    <n v="19"/>
    <n v="48548"/>
    <n v="0"/>
    <d v="2026-03-31T00:00:00"/>
    <d v="2026-04-09T00:00:00"/>
    <s v="Suresh"/>
    <n v="1251"/>
  </r>
  <r>
    <s v="Yash"/>
    <x v="3"/>
    <s v="Stationery"/>
    <s v="Stapler"/>
    <n v="15"/>
    <n v="257"/>
    <n v="5"/>
    <d v="2026-05-24T00:00:00"/>
    <d v="2026-05-31T00:00:00"/>
    <s v="Amit"/>
    <n v="1252"/>
  </r>
  <r>
    <s v="Meera"/>
    <x v="4"/>
    <s v="Electronics"/>
    <s v="Monitor"/>
    <n v="20"/>
    <n v="47880"/>
    <n v="7"/>
    <d v="2026-02-21T00:00:00"/>
    <d v="2026-02-22T00:00:00"/>
    <s v="Priya"/>
    <n v="1253"/>
  </r>
  <r>
    <s v="Komal"/>
    <x v="2"/>
    <s v="Stationery"/>
    <s v="Marker"/>
    <n v="18"/>
    <n v="447"/>
    <n v="15"/>
    <d v="2026-04-29T00:00:00"/>
    <d v="2026-05-07T00:00:00"/>
    <s v="Rahul"/>
    <n v="1254"/>
  </r>
  <r>
    <s v="Asha"/>
    <x v="1"/>
    <s v="Furniture"/>
    <s v="Desk"/>
    <n v="1"/>
    <n v="2240"/>
    <n v="5"/>
    <d v="2026-03-10T00:00:00"/>
    <d v="2026-03-14T00:00:00"/>
    <s v="Amit"/>
    <n v="1255"/>
  </r>
  <r>
    <s v="Nitin"/>
    <x v="4"/>
    <s v="Stationery"/>
    <s v="Marker"/>
    <n v="19"/>
    <n v="406"/>
    <n v="7"/>
    <d v="2026-02-04T00:00:00"/>
    <d v="2026-02-08T00:00:00"/>
    <s v="Kavya"/>
    <n v="1256"/>
  </r>
  <r>
    <s v="Manoj"/>
    <x v="3"/>
    <s v="Electronics"/>
    <s v="Mouse"/>
    <n v="7"/>
    <n v="53243"/>
    <n v="12"/>
    <d v="2026-05-19T00:00:00"/>
    <d v="2026-05-29T00:00:00"/>
    <s v="Kavya"/>
    <n v="1257"/>
  </r>
  <r>
    <s v="Asha"/>
    <x v="4"/>
    <s v="Electronics"/>
    <s v="Laptop"/>
    <n v="1"/>
    <n v="10600"/>
    <n v="5"/>
    <d v="2026-04-25T00:00:00"/>
    <d v="2026-04-26T00:00:00"/>
    <s v="Priya"/>
    <n v="1258"/>
  </r>
  <r>
    <s v="Nisha"/>
    <x v="2"/>
    <s v="Electronics"/>
    <s v="Monitor"/>
    <n v="10"/>
    <n v="38771"/>
    <n v="15"/>
    <d v="2026-05-30T00:00:00"/>
    <d v="2026-06-09T00:00:00"/>
    <s v="Kavya"/>
    <n v="1259"/>
  </r>
  <r>
    <s v="Manoj"/>
    <x v="6"/>
    <s v="Electronics"/>
    <s v="Headset"/>
    <n v="19"/>
    <n v="54981"/>
    <n v="10"/>
    <d v="2026-01-18T00:00:00"/>
    <d v="2026-01-23T00:00:00"/>
    <s v="Priya"/>
    <n v="1260"/>
  </r>
  <r>
    <s v="Deepak"/>
    <x v="1"/>
    <s v="Stationery"/>
    <s v="Marker"/>
    <n v="20"/>
    <n v="162"/>
    <n v="7"/>
    <d v="2026-04-07T00:00:00"/>
    <d v="2026-04-08T00:00:00"/>
    <s v="Suresh"/>
    <n v="1261"/>
  </r>
  <r>
    <s v="Pooja"/>
    <x v="2"/>
    <s v="Furniture"/>
    <s v="Chair"/>
    <n v="9"/>
    <n v="2231"/>
    <n v="15"/>
    <d v="2026-06-01T00:00:00"/>
    <d v="2026-06-10T00:00:00"/>
    <s v="Kavya"/>
    <n v="1262"/>
  </r>
  <r>
    <s v="Priya"/>
    <x v="6"/>
    <s v="Furniture"/>
    <s v="Chair"/>
    <n v="10"/>
    <n v="1505"/>
    <n v="0"/>
    <d v="2026-04-18T00:00:00"/>
    <d v="2026-04-26T00:00:00"/>
    <s v="Suresh"/>
    <n v="1263"/>
  </r>
  <r>
    <s v="Ritesh"/>
    <x v="2"/>
    <s v="Furniture"/>
    <s v="Chair"/>
    <n v="15"/>
    <n v="6365"/>
    <n v="10"/>
    <d v="2026-06-27T00:00:00"/>
    <d v="2026-07-03T00:00:00"/>
    <s v="Amit"/>
    <n v="1264"/>
  </r>
  <r>
    <s v="Rohan"/>
    <x v="2"/>
    <s v="Furniture"/>
    <s v="Desk"/>
    <n v="1"/>
    <n v="1052"/>
    <n v="7"/>
    <d v="2026-04-05T00:00:00"/>
    <d v="2026-04-15T00:00:00"/>
    <s v="Suresh"/>
    <n v="1265"/>
  </r>
  <r>
    <s v="Priya"/>
    <x v="5"/>
    <s v="Stationery"/>
    <s v="Notebook"/>
    <n v="17"/>
    <n v="365"/>
    <n v="2"/>
    <d v="2026-03-15T00:00:00"/>
    <d v="2026-03-23T00:00:00"/>
    <s v="Suresh"/>
    <n v="1266"/>
  </r>
  <r>
    <s v="Arjun"/>
    <x v="6"/>
    <s v="Stationery"/>
    <s v="Marker"/>
    <n v="1"/>
    <n v="50"/>
    <n v="0"/>
    <d v="2026-04-17T00:00:00"/>
    <d v="2026-04-26T00:00:00"/>
    <s v="Amit"/>
    <n v="1267"/>
  </r>
  <r>
    <s v="Nisha"/>
    <x v="6"/>
    <s v="Electronics"/>
    <s v="Monitor"/>
    <n v="10"/>
    <n v="46291"/>
    <n v="12"/>
    <d v="2026-06-26T00:00:00"/>
    <d v="2026-06-29T00:00:00"/>
    <s v="Amit"/>
    <n v="1268"/>
  </r>
  <r>
    <s v="Komal"/>
    <x v="7"/>
    <s v="Furniture"/>
    <s v="Desk"/>
    <n v="14"/>
    <n v="5704"/>
    <n v="2"/>
    <d v="2026-04-17T00:00:00"/>
    <d v="2026-04-19T00:00:00"/>
    <s v="Kavya"/>
    <n v="1269"/>
  </r>
  <r>
    <s v="Ajay"/>
    <x v="7"/>
    <s v="Electronics"/>
    <s v="Printer"/>
    <n v="16"/>
    <n v="62941"/>
    <n v="7"/>
    <d v="2026-04-23T00:00:00"/>
    <d v="2026-04-29T00:00:00"/>
    <s v="Suresh"/>
    <n v="1270"/>
  </r>
  <r>
    <s v="Deepak"/>
    <x v="5"/>
    <s v="Electronics"/>
    <s v="Laptop"/>
    <n v="20"/>
    <n v="36941"/>
    <n v="15"/>
    <d v="2026-03-02T00:00:00"/>
    <d v="2026-03-04T00:00:00"/>
    <s v="Priya"/>
    <n v="1271"/>
  </r>
  <r>
    <s v="Komal"/>
    <x v="6"/>
    <s v="Electronics"/>
    <s v="Headset"/>
    <n v="13"/>
    <n v="42179"/>
    <n v="0"/>
    <d v="2026-02-25T00:00:00"/>
    <d v="2026-03-03T00:00:00"/>
    <s v="Amit"/>
    <n v="1272"/>
  </r>
  <r>
    <s v="Kiran"/>
    <x v="3"/>
    <s v="Electronics"/>
    <s v="Keyboard"/>
    <n v="12"/>
    <n v="20618"/>
    <n v="12"/>
    <d v="2026-05-30T00:00:00"/>
    <d v="2026-06-01T00:00:00"/>
    <s v="Amit"/>
    <n v="1273"/>
  </r>
  <r>
    <s v="Vikram"/>
    <x v="3"/>
    <s v="Electronics"/>
    <s v="Headset"/>
    <n v="13"/>
    <n v="36652"/>
    <n v="12"/>
    <d v="2026-06-06T00:00:00"/>
    <d v="2026-06-13T00:00:00"/>
    <s v="Amit"/>
    <n v="1274"/>
  </r>
  <r>
    <s v="Pooja"/>
    <x v="4"/>
    <s v="Stationery"/>
    <s v="Marker"/>
    <n v="20"/>
    <n v="451"/>
    <n v="15"/>
    <d v="2026-03-11T00:00:00"/>
    <d v="2026-03-13T00:00:00"/>
    <s v="Amit"/>
    <n v="1275"/>
  </r>
  <r>
    <s v="Deepak"/>
    <x v="0"/>
    <s v="Furniture"/>
    <s v="Desk"/>
    <n v="1"/>
    <n v="13437"/>
    <n v="15"/>
    <d v="2026-03-16T00:00:00"/>
    <d v="2026-03-18T00:00:00"/>
    <s v="Rahul"/>
    <n v="1276"/>
  </r>
  <r>
    <s v="Anita"/>
    <x v="1"/>
    <s v="Stationery"/>
    <s v="Stapler"/>
    <n v="14"/>
    <n v="276"/>
    <n v="0"/>
    <d v="2026-03-05T00:00:00"/>
    <d v="2026-03-08T00:00:00"/>
    <s v="Kavya"/>
    <n v="1277"/>
  </r>
  <r>
    <s v="Yash"/>
    <x v="2"/>
    <s v="Electronics"/>
    <s v="Mouse"/>
    <n v="4"/>
    <n v="20639"/>
    <n v="7"/>
    <d v="2026-06-07T00:00:00"/>
    <d v="2026-06-13T00:00:00"/>
    <s v="Amit"/>
    <n v="1278"/>
  </r>
  <r>
    <s v="Sneha"/>
    <x v="5"/>
    <s v="Electronics"/>
    <s v="Monitor"/>
    <n v="20"/>
    <n v="49042"/>
    <n v="2"/>
    <d v="2026-04-12T00:00:00"/>
    <d v="2026-04-14T00:00:00"/>
    <s v="Kavya"/>
    <n v="1279"/>
  </r>
  <r>
    <s v="Anita"/>
    <x v="6"/>
    <s v="Stationery"/>
    <s v="Diary"/>
    <n v="9"/>
    <n v="50"/>
    <n v="7"/>
    <d v="2026-03-04T00:00:00"/>
    <d v="2026-03-14T00:00:00"/>
    <s v="Suresh"/>
    <n v="1280"/>
  </r>
  <r>
    <s v="Sneha"/>
    <x v="1"/>
    <s v="Stationery"/>
    <s v="Marker"/>
    <n v="6"/>
    <n v="253"/>
    <n v="0"/>
    <d v="2026-02-02T00:00:00"/>
    <d v="2026-02-10T00:00:00"/>
    <s v="Rahul"/>
    <n v="1281"/>
  </r>
  <r>
    <s v="Sara"/>
    <x v="7"/>
    <s v="Furniture"/>
    <s v="Bookshelf"/>
    <n v="12"/>
    <n v="3178"/>
    <n v="10"/>
    <d v="2026-06-03T00:00:00"/>
    <d v="2026-06-04T00:00:00"/>
    <s v="Priya"/>
    <n v="1282"/>
  </r>
  <r>
    <s v="Deepak"/>
    <x v="0"/>
    <s v="Furniture"/>
    <s v="Table"/>
    <n v="6"/>
    <n v="1167"/>
    <n v="2"/>
    <d v="2026-03-19T00:00:00"/>
    <d v="2026-03-25T00:00:00"/>
    <s v="Kavya"/>
    <n v="1283"/>
  </r>
  <r>
    <s v="Deepak"/>
    <x v="3"/>
    <s v="Stationery"/>
    <s v="Pen Pack"/>
    <n v="16"/>
    <n v="419"/>
    <n v="2"/>
    <d v="2026-03-01T00:00:00"/>
    <d v="2026-03-09T00:00:00"/>
    <s v="Kavya"/>
    <n v="1284"/>
  </r>
  <r>
    <s v="Asha"/>
    <x v="6"/>
    <s v="Stationery"/>
    <s v="Stapler"/>
    <n v="7"/>
    <n v="439"/>
    <n v="15"/>
    <d v="2026-02-02T00:00:00"/>
    <d v="2026-02-05T00:00:00"/>
    <s v="Amit"/>
    <n v="1285"/>
  </r>
  <r>
    <s v="Kiran"/>
    <x v="1"/>
    <s v="Furniture"/>
    <s v="Cabinet"/>
    <n v="9"/>
    <n v="1340"/>
    <n v="2"/>
    <d v="2026-05-26T00:00:00"/>
    <d v="2026-05-31T00:00:00"/>
    <s v="Kavya"/>
    <n v="1286"/>
  </r>
  <r>
    <s v="Anita"/>
    <x v="4"/>
    <s v="Stationery"/>
    <s v="Notebook"/>
    <n v="15"/>
    <n v="251"/>
    <n v="2"/>
    <d v="2026-04-04T00:00:00"/>
    <d v="2026-04-10T00:00:00"/>
    <s v="Suresh"/>
    <n v="1287"/>
  </r>
  <r>
    <s v="Manoj"/>
    <x v="2"/>
    <s v="Electronics"/>
    <s v="Laptop"/>
    <n v="14"/>
    <n v="35601"/>
    <n v="10"/>
    <d v="2026-06-06T00:00:00"/>
    <d v="2026-06-14T00:00:00"/>
    <s v="Priya"/>
    <n v="1288"/>
  </r>
  <r>
    <s v="Vikram"/>
    <x v="2"/>
    <s v="Electronics"/>
    <s v="Monitor"/>
    <n v="19"/>
    <n v="25336"/>
    <n v="2"/>
    <d v="2026-04-10T00:00:00"/>
    <d v="2026-04-18T00:00:00"/>
    <s v="Rahul"/>
    <n v="1289"/>
  </r>
  <r>
    <s v="Vikram"/>
    <x v="2"/>
    <s v="Electronics"/>
    <s v="Printer"/>
    <n v="3"/>
    <n v="69793"/>
    <n v="15"/>
    <d v="2026-03-29T00:00:00"/>
    <d v="2026-03-30T00:00:00"/>
    <s v="Priya"/>
    <n v="1290"/>
  </r>
  <r>
    <s v="Meera"/>
    <x v="1"/>
    <s v="Stationery"/>
    <s v="Stapler"/>
    <n v="17"/>
    <n v="415"/>
    <n v="5"/>
    <d v="2026-04-25T00:00:00"/>
    <d v="2026-04-29T00:00:00"/>
    <s v="Amit"/>
    <n v="1291"/>
  </r>
  <r>
    <s v="Manoj"/>
    <x v="5"/>
    <s v="Electronics"/>
    <s v="Mouse"/>
    <n v="11"/>
    <n v="25158"/>
    <n v="5"/>
    <d v="2026-06-13T00:00:00"/>
    <d v="2026-06-20T00:00:00"/>
    <s v="Amit"/>
    <n v="1292"/>
  </r>
  <r>
    <s v="Ajay"/>
    <x v="7"/>
    <s v="Furniture"/>
    <s v="Table"/>
    <n v="7"/>
    <n v="11481"/>
    <n v="15"/>
    <d v="2026-01-23T00:00:00"/>
    <d v="2026-01-28T00:00:00"/>
    <s v="Amit"/>
    <n v="1293"/>
  </r>
  <r>
    <s v="Meera"/>
    <x v="0"/>
    <s v="Furniture"/>
    <s v="Desk"/>
    <n v="8"/>
    <n v="14448"/>
    <n v="10"/>
    <d v="2026-06-08T00:00:00"/>
    <d v="2026-06-16T00:00:00"/>
    <s v="Kavya"/>
    <n v="1294"/>
  </r>
  <r>
    <s v="Komal"/>
    <x v="6"/>
    <s v="Furniture"/>
    <s v="Chair"/>
    <n v="16"/>
    <n v="11935"/>
    <n v="12"/>
    <d v="2026-05-15T00:00:00"/>
    <d v="2026-05-20T00:00:00"/>
    <s v="Kavya"/>
    <n v="1295"/>
  </r>
  <r>
    <s v="Vikram"/>
    <x v="6"/>
    <s v="Stationery"/>
    <s v="Marker"/>
    <n v="6"/>
    <n v="201"/>
    <n v="0"/>
    <d v="2026-02-10T00:00:00"/>
    <d v="2026-02-19T00:00:00"/>
    <s v="Suresh"/>
    <n v="1296"/>
  </r>
  <r>
    <s v="Manoj"/>
    <x v="3"/>
    <s v="Electronics"/>
    <s v="Printer"/>
    <n v="14"/>
    <n v="24524"/>
    <n v="10"/>
    <d v="2026-06-05T00:00:00"/>
    <d v="2026-06-14T00:00:00"/>
    <s v="Priya"/>
    <n v="1297"/>
  </r>
  <r>
    <s v="Meera"/>
    <x v="0"/>
    <s v="Electronics"/>
    <s v="Mouse"/>
    <n v="19"/>
    <n v="20745"/>
    <n v="2"/>
    <d v="2026-03-02T00:00:00"/>
    <d v="2026-03-12T00:00:00"/>
    <s v="Rahul"/>
    <n v="1298"/>
  </r>
  <r>
    <s v="Vikram"/>
    <x v="1"/>
    <s v="Furniture"/>
    <s v="Cabinet"/>
    <n v="8"/>
    <n v="8783"/>
    <n v="2"/>
    <d v="2026-04-11T00:00:00"/>
    <d v="2026-04-20T00:00:00"/>
    <s v="Kavya"/>
    <n v="1299"/>
  </r>
  <r>
    <s v="Yash"/>
    <x v="5"/>
    <s v="Electronics"/>
    <s v="Monitor"/>
    <n v="20"/>
    <n v="1392"/>
    <n v="2"/>
    <d v="2026-03-29T00:00:00"/>
    <d v="2026-04-05T00:00:00"/>
    <s v="Rahul"/>
    <n v="1300"/>
  </r>
  <r>
    <s v="Manoj"/>
    <x v="1"/>
    <s v="Furniture"/>
    <s v="Chair"/>
    <n v="3"/>
    <n v="7020"/>
    <n v="10"/>
    <d v="2026-01-06T00:00:00"/>
    <d v="2026-01-16T00:00:00"/>
    <s v="Rahul"/>
    <n v="1301"/>
  </r>
  <r>
    <s v="Sara"/>
    <x v="0"/>
    <s v="Electronics"/>
    <s v="Printer"/>
    <n v="9"/>
    <n v="8500"/>
    <n v="15"/>
    <d v="2026-05-21T00:00:00"/>
    <d v="2026-05-30T00:00:00"/>
    <s v="Rahul"/>
    <n v="1302"/>
  </r>
  <r>
    <s v="Sara"/>
    <x v="6"/>
    <s v="Electronics"/>
    <s v="Printer"/>
    <n v="13"/>
    <n v="5170"/>
    <n v="2"/>
    <d v="2026-04-12T00:00:00"/>
    <d v="2026-04-15T00:00:00"/>
    <s v="Kavya"/>
    <n v="1303"/>
  </r>
  <r>
    <s v="Anita"/>
    <x v="3"/>
    <s v="Stationery"/>
    <s v="Stapler"/>
    <n v="20"/>
    <n v="368"/>
    <n v="7"/>
    <d v="2026-01-20T00:00:00"/>
    <d v="2026-01-29T00:00:00"/>
    <s v="Suresh"/>
    <n v="1304"/>
  </r>
  <r>
    <s v="Rohan"/>
    <x v="4"/>
    <s v="Electronics"/>
    <s v="Laptop"/>
    <n v="20"/>
    <n v="31406"/>
    <n v="15"/>
    <d v="2026-05-04T00:00:00"/>
    <d v="2026-05-12T00:00:00"/>
    <s v="Suresh"/>
    <n v="1305"/>
  </r>
  <r>
    <s v="Manoj"/>
    <x v="7"/>
    <s v="Stationery"/>
    <s v="Stapler"/>
    <n v="1"/>
    <n v="332"/>
    <n v="0"/>
    <d v="2026-06-18T00:00:00"/>
    <d v="2026-06-21T00:00:00"/>
    <s v="Amit"/>
    <n v="1306"/>
  </r>
  <r>
    <s v="Sara"/>
    <x v="7"/>
    <s v="Electronics"/>
    <s v="Printer"/>
    <n v="18"/>
    <n v="7541"/>
    <n v="12"/>
    <d v="2026-01-26T00:00:00"/>
    <d v="2026-01-29T00:00:00"/>
    <s v="Suresh"/>
    <n v="1307"/>
  </r>
  <r>
    <s v="Neha"/>
    <x v="2"/>
    <s v="Electronics"/>
    <s v="Headset"/>
    <n v="12"/>
    <n v="66075"/>
    <n v="5"/>
    <d v="2026-04-17T00:00:00"/>
    <d v="2026-04-23T00:00:00"/>
    <s v="Amit"/>
    <n v="1308"/>
  </r>
  <r>
    <s v="Priya"/>
    <x v="4"/>
    <s v="Stationery"/>
    <s v="Marker"/>
    <n v="2"/>
    <n v="35"/>
    <n v="5"/>
    <d v="2026-06-24T00:00:00"/>
    <d v="2026-06-25T00:00:00"/>
    <s v="Rahul"/>
    <n v="1309"/>
  </r>
  <r>
    <s v="Ajay"/>
    <x v="1"/>
    <s v="Furniture"/>
    <s v="Cabinet"/>
    <n v="19"/>
    <n v="12691"/>
    <n v="0"/>
    <d v="2026-06-08T00:00:00"/>
    <d v="2026-06-16T00:00:00"/>
    <s v="Priya"/>
    <n v="1310"/>
  </r>
  <r>
    <s v="Sneha"/>
    <x v="0"/>
    <s v="Stationery"/>
    <s v="Notebook"/>
    <n v="2"/>
    <n v="209"/>
    <n v="0"/>
    <d v="2026-05-31T00:00:00"/>
    <d v="2026-06-03T00:00:00"/>
    <s v="Amit"/>
    <n v="1311"/>
  </r>
  <r>
    <s v="Sara"/>
    <x v="2"/>
    <s v="Furniture"/>
    <s v="Cabinet"/>
    <n v="20"/>
    <n v="3274"/>
    <n v="2"/>
    <d v="2026-05-06T00:00:00"/>
    <d v="2026-05-14T00:00:00"/>
    <s v="Rahul"/>
    <n v="1312"/>
  </r>
  <r>
    <s v="Anita"/>
    <x v="2"/>
    <s v="Furniture"/>
    <s v="Cabinet"/>
    <n v="6"/>
    <n v="10864"/>
    <n v="10"/>
    <d v="2026-01-19T00:00:00"/>
    <d v="2026-01-27T00:00:00"/>
    <s v="Kavya"/>
    <n v="1313"/>
  </r>
  <r>
    <s v="Komal"/>
    <x v="5"/>
    <s v="Furniture"/>
    <s v="Desk"/>
    <n v="10"/>
    <n v="6328"/>
    <n v="2"/>
    <d v="2026-06-23T00:00:00"/>
    <d v="2026-06-24T00:00:00"/>
    <s v="Priya"/>
    <n v="1314"/>
  </r>
  <r>
    <s v="Ajay"/>
    <x v="4"/>
    <s v="Electronics"/>
    <s v="Headset"/>
    <n v="14"/>
    <n v="57670"/>
    <n v="2"/>
    <d v="2026-06-13T00:00:00"/>
    <d v="2026-06-23T00:00:00"/>
    <s v="Kavya"/>
    <n v="1315"/>
  </r>
  <r>
    <s v="Kiran"/>
    <x v="0"/>
    <s v="Furniture"/>
    <s v="Chair"/>
    <n v="7"/>
    <n v="9838"/>
    <n v="7"/>
    <d v="2026-02-25T00:00:00"/>
    <d v="2026-03-04T00:00:00"/>
    <s v="Amit"/>
    <n v="1316"/>
  </r>
  <r>
    <s v="Anita"/>
    <x v="5"/>
    <s v="Electronics"/>
    <s v="Headset"/>
    <n v="7"/>
    <n v="67339"/>
    <n v="5"/>
    <d v="2026-05-17T00:00:00"/>
    <d v="2026-05-27T00:00:00"/>
    <s v="Suresh"/>
    <n v="1317"/>
  </r>
  <r>
    <s v="Ritesh"/>
    <x v="7"/>
    <s v="Stationery"/>
    <s v="Marker"/>
    <n v="4"/>
    <n v="38"/>
    <n v="12"/>
    <d v="2026-05-27T00:00:00"/>
    <d v="2026-06-02T00:00:00"/>
    <s v="Priya"/>
    <n v="1318"/>
  </r>
  <r>
    <s v="Meera"/>
    <x v="1"/>
    <s v="Electronics"/>
    <s v="Mouse"/>
    <n v="17"/>
    <n v="58407"/>
    <n v="7"/>
    <d v="2026-03-13T00:00:00"/>
    <d v="2026-03-21T00:00:00"/>
    <s v="Kavya"/>
    <n v="1319"/>
  </r>
  <r>
    <s v="Yash"/>
    <x v="6"/>
    <s v="Stationery"/>
    <s v="Stapler"/>
    <n v="20"/>
    <n v="55"/>
    <n v="7"/>
    <d v="2026-06-10T00:00:00"/>
    <d v="2026-06-13T00:00:00"/>
    <s v="Amit"/>
    <n v="1320"/>
  </r>
  <r>
    <s v="Asha"/>
    <x v="2"/>
    <s v="Furniture"/>
    <s v="Desk"/>
    <n v="8"/>
    <n v="5619"/>
    <n v="7"/>
    <d v="2026-03-26T00:00:00"/>
    <d v="2026-03-28T00:00:00"/>
    <s v="Suresh"/>
    <n v="1321"/>
  </r>
  <r>
    <s v="Arjun"/>
    <x v="0"/>
    <s v="Furniture"/>
    <s v="Table"/>
    <n v="14"/>
    <n v="9081"/>
    <n v="15"/>
    <d v="2026-04-29T00:00:00"/>
    <d v="2026-05-04T00:00:00"/>
    <s v="Kavya"/>
    <n v="1322"/>
  </r>
  <r>
    <s v="Sara"/>
    <x v="6"/>
    <s v="Electronics"/>
    <s v="Mouse"/>
    <n v="2"/>
    <n v="32074"/>
    <n v="10"/>
    <d v="2026-02-20T00:00:00"/>
    <d v="2026-02-25T00:00:00"/>
    <s v="Kavya"/>
    <n v="1323"/>
  </r>
  <r>
    <s v="Asha"/>
    <x v="2"/>
    <s v="Furniture"/>
    <s v="Desk"/>
    <n v="1"/>
    <n v="4286"/>
    <n v="15"/>
    <d v="2026-01-31T00:00:00"/>
    <d v="2026-02-03T00:00:00"/>
    <s v="Amit"/>
    <n v="1324"/>
  </r>
  <r>
    <s v="Nitin"/>
    <x v="7"/>
    <s v="Electronics"/>
    <s v="Keyboard"/>
    <n v="9"/>
    <n v="58442"/>
    <n v="12"/>
    <d v="2026-02-23T00:00:00"/>
    <d v="2026-03-04T00:00:00"/>
    <s v="Amit"/>
    <n v="1325"/>
  </r>
  <r>
    <s v="Vikram"/>
    <x v="1"/>
    <s v="Furniture"/>
    <s v="Bookshelf"/>
    <n v="18"/>
    <n v="1830"/>
    <n v="10"/>
    <d v="2026-05-23T00:00:00"/>
    <d v="2026-05-30T00:00:00"/>
    <s v="Kavya"/>
    <n v="1326"/>
  </r>
  <r>
    <s v="Nitin"/>
    <x v="0"/>
    <s v="Stationery"/>
    <s v="Diary"/>
    <n v="15"/>
    <n v="449"/>
    <n v="5"/>
    <d v="2026-05-10T00:00:00"/>
    <d v="2026-05-11T00:00:00"/>
    <s v="Kavya"/>
    <n v="1327"/>
  </r>
  <r>
    <s v="Pooja"/>
    <x v="6"/>
    <s v="Stationery"/>
    <s v="Stapler"/>
    <n v="4"/>
    <n v="132"/>
    <n v="0"/>
    <d v="2026-03-28T00:00:00"/>
    <d v="2026-04-02T00:00:00"/>
    <s v="Priya"/>
    <n v="1328"/>
  </r>
  <r>
    <s v="Neha"/>
    <x v="7"/>
    <s v="Stationery"/>
    <s v="Diary"/>
    <n v="18"/>
    <n v="227"/>
    <n v="5"/>
    <d v="2026-04-14T00:00:00"/>
    <d v="2026-04-24T00:00:00"/>
    <s v="Priya"/>
    <n v="1329"/>
  </r>
  <r>
    <s v="Ajay"/>
    <x v="1"/>
    <s v="Furniture"/>
    <s v="Desk"/>
    <n v="13"/>
    <n v="12071"/>
    <n v="0"/>
    <d v="2026-01-10T00:00:00"/>
    <d v="2026-01-14T00:00:00"/>
    <s v="Suresh"/>
    <n v="1330"/>
  </r>
  <r>
    <s v="Meera"/>
    <x v="3"/>
    <s v="Electronics"/>
    <s v="Mouse"/>
    <n v="2"/>
    <n v="43557"/>
    <n v="2"/>
    <d v="2026-06-17T00:00:00"/>
    <d v="2026-06-27T00:00:00"/>
    <s v="Kavya"/>
    <n v="1331"/>
  </r>
  <r>
    <s v="Priya"/>
    <x v="7"/>
    <s v="Stationery"/>
    <s v="Marker"/>
    <n v="7"/>
    <n v="439"/>
    <n v="2"/>
    <d v="2026-05-12T00:00:00"/>
    <d v="2026-05-15T00:00:00"/>
    <s v="Kavya"/>
    <n v="1332"/>
  </r>
  <r>
    <s v="Priya"/>
    <x v="6"/>
    <s v="Stationery"/>
    <s v="Diary"/>
    <n v="20"/>
    <n v="416"/>
    <n v="12"/>
    <d v="2026-05-03T00:00:00"/>
    <d v="2026-05-04T00:00:00"/>
    <s v="Suresh"/>
    <n v="1333"/>
  </r>
  <r>
    <s v="Deepak"/>
    <x v="0"/>
    <s v="Electronics"/>
    <s v="Headset"/>
    <n v="15"/>
    <n v="39853"/>
    <n v="7"/>
    <d v="2026-01-16T00:00:00"/>
    <d v="2026-01-25T00:00:00"/>
    <s v="Suresh"/>
    <n v="1334"/>
  </r>
  <r>
    <s v="Yash"/>
    <x v="1"/>
    <s v="Furniture"/>
    <s v="Desk"/>
    <n v="9"/>
    <n v="1495"/>
    <n v="12"/>
    <d v="2026-05-26T00:00:00"/>
    <d v="2026-05-31T00:00:00"/>
    <s v="Kavya"/>
    <n v="1335"/>
  </r>
  <r>
    <s v="Pooja"/>
    <x v="3"/>
    <s v="Furniture"/>
    <s v="Cabinet"/>
    <n v="10"/>
    <n v="5624"/>
    <n v="0"/>
    <d v="2026-03-05T00:00:00"/>
    <d v="2026-03-11T00:00:00"/>
    <s v="Priya"/>
    <n v="1336"/>
  </r>
  <r>
    <s v="Pooja"/>
    <x v="0"/>
    <s v="Stationery"/>
    <s v="Diary"/>
    <n v="14"/>
    <n v="373"/>
    <n v="10"/>
    <d v="2026-02-21T00:00:00"/>
    <d v="2026-02-27T00:00:00"/>
    <s v="Priya"/>
    <n v="1337"/>
  </r>
  <r>
    <s v="Anita"/>
    <x v="3"/>
    <s v="Electronics"/>
    <s v="Laptop"/>
    <n v="10"/>
    <n v="16719"/>
    <n v="5"/>
    <d v="2026-06-04T00:00:00"/>
    <d v="2026-06-06T00:00:00"/>
    <s v="Kavya"/>
    <n v="1338"/>
  </r>
  <r>
    <s v="Asha"/>
    <x v="3"/>
    <s v="Stationery"/>
    <s v="Notebook"/>
    <n v="6"/>
    <n v="302"/>
    <n v="5"/>
    <d v="2026-04-30T00:00:00"/>
    <d v="2026-05-06T00:00:00"/>
    <s v="Amit"/>
    <n v="1339"/>
  </r>
  <r>
    <s v="Nitin"/>
    <x v="1"/>
    <s v="Furniture"/>
    <s v="Desk"/>
    <n v="12"/>
    <n v="3857"/>
    <n v="12"/>
    <d v="2026-06-23T00:00:00"/>
    <d v="2026-06-25T00:00:00"/>
    <s v="Suresh"/>
    <n v="1340"/>
  </r>
  <r>
    <s v="Sara"/>
    <x v="6"/>
    <s v="Furniture"/>
    <s v="Desk"/>
    <n v="19"/>
    <n v="6488"/>
    <n v="15"/>
    <d v="2026-01-04T00:00:00"/>
    <d v="2026-01-08T00:00:00"/>
    <s v="Amit"/>
    <n v="1341"/>
  </r>
  <r>
    <s v="Anita"/>
    <x v="4"/>
    <s v="Electronics"/>
    <s v="Printer"/>
    <n v="13"/>
    <n v="47881"/>
    <n v="15"/>
    <d v="2026-04-20T00:00:00"/>
    <d v="2026-04-27T00:00:00"/>
    <s v="Priya"/>
    <n v="1342"/>
  </r>
  <r>
    <s v="Anita"/>
    <x v="4"/>
    <s v="Electronics"/>
    <s v="Keyboard"/>
    <n v="14"/>
    <n v="32719"/>
    <n v="15"/>
    <d v="2026-06-01T00:00:00"/>
    <d v="2026-06-06T00:00:00"/>
    <s v="Kavya"/>
    <n v="1343"/>
  </r>
  <r>
    <s v="Neha"/>
    <x v="1"/>
    <s v="Stationery"/>
    <s v="Diary"/>
    <n v="18"/>
    <n v="240"/>
    <n v="10"/>
    <d v="2026-05-13T00:00:00"/>
    <d v="2026-05-14T00:00:00"/>
    <s v="Rahul"/>
    <n v="1344"/>
  </r>
  <r>
    <s v="Asha"/>
    <x v="0"/>
    <s v="Electronics"/>
    <s v="Monitor"/>
    <n v="12"/>
    <n v="50544"/>
    <n v="10"/>
    <d v="2026-03-14T00:00:00"/>
    <d v="2026-03-16T00:00:00"/>
    <s v="Priya"/>
    <n v="1345"/>
  </r>
  <r>
    <s v="Asha"/>
    <x v="2"/>
    <s v="Furniture"/>
    <s v="Desk"/>
    <n v="16"/>
    <n v="6910"/>
    <n v="15"/>
    <d v="2026-04-28T00:00:00"/>
    <d v="2026-04-30T00:00:00"/>
    <s v="Priya"/>
    <n v="1346"/>
  </r>
  <r>
    <s v="Priya"/>
    <x v="2"/>
    <s v="Electronics"/>
    <s v="Printer"/>
    <n v="16"/>
    <n v="6034"/>
    <n v="15"/>
    <d v="2026-01-15T00:00:00"/>
    <d v="2026-01-22T00:00:00"/>
    <s v="Rahul"/>
    <n v="1347"/>
  </r>
  <r>
    <s v="Ritesh"/>
    <x v="5"/>
    <s v="Stationery"/>
    <s v="Marker"/>
    <n v="12"/>
    <n v="244"/>
    <n v="7"/>
    <d v="2026-01-26T00:00:00"/>
    <d v="2026-01-31T00:00:00"/>
    <s v="Kavya"/>
    <n v="1348"/>
  </r>
  <r>
    <s v="Deepak"/>
    <x v="5"/>
    <s v="Electronics"/>
    <s v="Printer"/>
    <n v="20"/>
    <n v="62721"/>
    <n v="7"/>
    <d v="2026-02-26T00:00:00"/>
    <d v="2026-03-02T00:00:00"/>
    <s v="Amit"/>
    <n v="1349"/>
  </r>
  <r>
    <s v="Vikram"/>
    <x v="7"/>
    <s v="Furniture"/>
    <s v="Chair"/>
    <n v="16"/>
    <n v="11790"/>
    <n v="12"/>
    <d v="2026-06-12T00:00:00"/>
    <d v="2026-06-17T00:00:00"/>
    <s v="Priya"/>
    <n v="1350"/>
  </r>
  <r>
    <s v="Nisha"/>
    <x v="5"/>
    <s v="Electronics"/>
    <s v="Monitor"/>
    <n v="12"/>
    <n v="1272"/>
    <n v="0"/>
    <d v="2026-01-04T00:00:00"/>
    <d v="2026-01-07T00:00:00"/>
    <s v="Kavya"/>
    <n v="1351"/>
  </r>
  <r>
    <s v="Manoj"/>
    <x v="2"/>
    <s v="Stationery"/>
    <s v="Notebook"/>
    <n v="12"/>
    <n v="203"/>
    <n v="5"/>
    <d v="2026-01-02T00:00:00"/>
    <d v="2026-01-11T00:00:00"/>
    <s v="Kavya"/>
    <n v="1352"/>
  </r>
  <r>
    <s v="Yash"/>
    <x v="7"/>
    <s v="Stationery"/>
    <s v="Notebook"/>
    <n v="6"/>
    <n v="495"/>
    <n v="2"/>
    <d v="2026-06-21T00:00:00"/>
    <d v="2026-06-27T00:00:00"/>
    <s v="Rahul"/>
    <n v="1353"/>
  </r>
  <r>
    <s v="Yash"/>
    <x v="7"/>
    <s v="Electronics"/>
    <s v="Printer"/>
    <n v="15"/>
    <n v="14927"/>
    <n v="15"/>
    <d v="2026-04-06T00:00:00"/>
    <d v="2026-04-08T00:00:00"/>
    <s v="Suresh"/>
    <n v="1354"/>
  </r>
  <r>
    <s v="Arjun"/>
    <x v="0"/>
    <s v="Electronics"/>
    <s v="Laptop"/>
    <n v="18"/>
    <n v="35997"/>
    <n v="2"/>
    <d v="2026-01-02T00:00:00"/>
    <d v="2026-01-09T00:00:00"/>
    <s v="Suresh"/>
    <n v="1355"/>
  </r>
  <r>
    <s v="Vikram"/>
    <x v="6"/>
    <s v="Electronics"/>
    <s v="Laptop"/>
    <n v="16"/>
    <n v="53457"/>
    <n v="10"/>
    <d v="2026-06-28T00:00:00"/>
    <d v="2026-07-01T00:00:00"/>
    <s v="Kavya"/>
    <n v="1356"/>
  </r>
  <r>
    <s v="Anita"/>
    <x v="3"/>
    <s v="Stationery"/>
    <s v="Pen Pack"/>
    <n v="6"/>
    <n v="365"/>
    <n v="7"/>
    <d v="2026-04-21T00:00:00"/>
    <d v="2026-04-28T00:00:00"/>
    <s v="Suresh"/>
    <n v="1357"/>
  </r>
  <r>
    <s v="Deepak"/>
    <x v="6"/>
    <s v="Furniture"/>
    <s v="Desk"/>
    <n v="7"/>
    <n v="6618"/>
    <n v="0"/>
    <d v="2026-04-15T00:00:00"/>
    <d v="2026-04-17T00:00:00"/>
    <s v="Amit"/>
    <n v="1358"/>
  </r>
  <r>
    <s v="Manoj"/>
    <x v="0"/>
    <s v="Electronics"/>
    <s v="Mouse"/>
    <n v="9"/>
    <n v="38179"/>
    <n v="0"/>
    <d v="2026-03-15T00:00:00"/>
    <d v="2026-03-18T00:00:00"/>
    <s v="Kavya"/>
    <n v="1359"/>
  </r>
  <r>
    <s v="Ritesh"/>
    <x v="7"/>
    <s v="Furniture"/>
    <s v="Table"/>
    <n v="19"/>
    <n v="6681"/>
    <n v="2"/>
    <d v="2026-05-04T00:00:00"/>
    <d v="2026-05-08T00:00:00"/>
    <s v="Kavya"/>
    <n v="1360"/>
  </r>
  <r>
    <s v="Nisha"/>
    <x v="1"/>
    <s v="Furniture"/>
    <s v="Table"/>
    <n v="2"/>
    <n v="1822"/>
    <n v="5"/>
    <d v="2026-04-29T00:00:00"/>
    <d v="2026-05-03T00:00:00"/>
    <s v="Amit"/>
    <n v="1361"/>
  </r>
  <r>
    <s v="Pooja"/>
    <x v="0"/>
    <s v="Furniture"/>
    <s v="Chair"/>
    <n v="1"/>
    <n v="10474"/>
    <n v="0"/>
    <d v="2026-03-13T00:00:00"/>
    <d v="2026-03-15T00:00:00"/>
    <s v="Priya"/>
    <n v="1362"/>
  </r>
  <r>
    <s v="Arjun"/>
    <x v="3"/>
    <s v="Electronics"/>
    <s v="Printer"/>
    <n v="7"/>
    <n v="45381"/>
    <n v="0"/>
    <d v="2026-04-10T00:00:00"/>
    <d v="2026-04-16T00:00:00"/>
    <s v="Kavya"/>
    <n v="1363"/>
  </r>
  <r>
    <s v="Neha"/>
    <x v="2"/>
    <s v="Furniture"/>
    <s v="Cabinet"/>
    <n v="16"/>
    <n v="1744"/>
    <n v="15"/>
    <d v="2026-01-09T00:00:00"/>
    <d v="2026-01-11T00:00:00"/>
    <s v="Suresh"/>
    <n v="1364"/>
  </r>
  <r>
    <s v="Kiran"/>
    <x v="5"/>
    <s v="Stationery"/>
    <s v="Marker"/>
    <n v="17"/>
    <n v="119"/>
    <n v="7"/>
    <d v="2026-02-17T00:00:00"/>
    <d v="2026-02-19T00:00:00"/>
    <s v="Amit"/>
    <n v="1365"/>
  </r>
  <r>
    <s v="Vikram"/>
    <x v="1"/>
    <s v="Electronics"/>
    <s v="Mouse"/>
    <n v="20"/>
    <n v="44312"/>
    <n v="10"/>
    <d v="2026-01-25T00:00:00"/>
    <d v="2026-02-01T00:00:00"/>
    <s v="Priya"/>
    <n v="1366"/>
  </r>
  <r>
    <s v="Manoj"/>
    <x v="3"/>
    <s v="Stationery"/>
    <s v="Diary"/>
    <n v="1"/>
    <n v="371"/>
    <n v="5"/>
    <d v="2026-05-16T00:00:00"/>
    <d v="2026-05-26T00:00:00"/>
    <s v="Priya"/>
    <n v="1367"/>
  </r>
  <r>
    <s v="Sneha"/>
    <x v="6"/>
    <s v="Stationery"/>
    <s v="Stapler"/>
    <n v="9"/>
    <n v="115"/>
    <n v="0"/>
    <d v="2026-01-14T00:00:00"/>
    <d v="2026-01-23T00:00:00"/>
    <s v="Rahul"/>
    <n v="1368"/>
  </r>
  <r>
    <s v="Sara"/>
    <x v="3"/>
    <s v="Furniture"/>
    <s v="Desk"/>
    <n v="19"/>
    <n v="5840"/>
    <n v="5"/>
    <d v="2026-02-09T00:00:00"/>
    <d v="2026-02-14T00:00:00"/>
    <s v="Kavya"/>
    <n v="1369"/>
  </r>
  <r>
    <s v="Anita"/>
    <x v="6"/>
    <s v="Stationery"/>
    <s v="Diary"/>
    <n v="13"/>
    <n v="337"/>
    <n v="7"/>
    <d v="2026-06-11T00:00:00"/>
    <d v="2026-06-15T00:00:00"/>
    <s v="Kavya"/>
    <n v="1370"/>
  </r>
  <r>
    <s v="Nitin"/>
    <x v="6"/>
    <s v="Furniture"/>
    <s v="Desk"/>
    <n v="19"/>
    <n v="1087"/>
    <n v="15"/>
    <d v="2026-02-19T00:00:00"/>
    <d v="2026-03-01T00:00:00"/>
    <s v="Amit"/>
    <n v="1371"/>
  </r>
  <r>
    <s v="Nitin"/>
    <x v="1"/>
    <s v="Electronics"/>
    <s v="Keyboard"/>
    <n v="9"/>
    <n v="9551"/>
    <n v="10"/>
    <d v="2026-05-19T00:00:00"/>
    <d v="2026-05-26T00:00:00"/>
    <s v="Kavya"/>
    <n v="1372"/>
  </r>
  <r>
    <s v="Manoj"/>
    <x v="3"/>
    <s v="Electronics"/>
    <s v="Laptop"/>
    <n v="11"/>
    <n v="47930"/>
    <n v="12"/>
    <d v="2026-06-18T00:00:00"/>
    <d v="2026-06-28T00:00:00"/>
    <s v="Amit"/>
    <n v="1373"/>
  </r>
  <r>
    <s v="Sara"/>
    <x v="5"/>
    <s v="Electronics"/>
    <s v="Printer"/>
    <n v="12"/>
    <n v="66052"/>
    <n v="2"/>
    <d v="2026-02-10T00:00:00"/>
    <d v="2026-02-13T00:00:00"/>
    <s v="Suresh"/>
    <n v="1374"/>
  </r>
  <r>
    <s v="Kiran"/>
    <x v="7"/>
    <s v="Electronics"/>
    <s v="Monitor"/>
    <n v="20"/>
    <n v="56766"/>
    <n v="0"/>
    <d v="2026-01-30T00:00:00"/>
    <d v="2026-02-08T00:00:00"/>
    <s v="Rahul"/>
    <n v="1375"/>
  </r>
  <r>
    <s v="Komal"/>
    <x v="4"/>
    <s v="Stationery"/>
    <s v="Marker"/>
    <n v="20"/>
    <n v="429"/>
    <n v="5"/>
    <d v="2026-06-05T00:00:00"/>
    <d v="2026-06-11T00:00:00"/>
    <s v="Amit"/>
    <n v="1376"/>
  </r>
  <r>
    <s v="Asha"/>
    <x v="6"/>
    <s v="Furniture"/>
    <s v="Desk"/>
    <n v="3"/>
    <n v="5480"/>
    <n v="12"/>
    <d v="2026-03-24T00:00:00"/>
    <d v="2026-03-30T00:00:00"/>
    <s v="Rahul"/>
    <n v="1377"/>
  </r>
  <r>
    <s v="Sneha"/>
    <x v="2"/>
    <s v="Electronics"/>
    <s v="Monitor"/>
    <n v="15"/>
    <n v="22693"/>
    <n v="12"/>
    <d v="2026-02-21T00:00:00"/>
    <d v="2026-02-27T00:00:00"/>
    <s v="Suresh"/>
    <n v="1378"/>
  </r>
  <r>
    <s v="Yash"/>
    <x v="1"/>
    <s v="Stationery"/>
    <s v="Notebook"/>
    <n v="11"/>
    <n v="136"/>
    <n v="15"/>
    <d v="2026-03-25T00:00:00"/>
    <d v="2026-03-26T00:00:00"/>
    <s v="Amit"/>
    <n v="1379"/>
  </r>
  <r>
    <s v="Komal"/>
    <x v="7"/>
    <s v="Stationery"/>
    <s v="Diary"/>
    <n v="3"/>
    <n v="412"/>
    <n v="7"/>
    <d v="2026-04-16T00:00:00"/>
    <d v="2026-04-26T00:00:00"/>
    <s v="Rahul"/>
    <n v="1380"/>
  </r>
  <r>
    <s v="Sneha"/>
    <x v="5"/>
    <s v="Furniture"/>
    <s v="Chair"/>
    <n v="5"/>
    <n v="7484"/>
    <n v="2"/>
    <d v="2026-03-08T00:00:00"/>
    <d v="2026-03-12T00:00:00"/>
    <s v="Amit"/>
    <n v="1381"/>
  </r>
  <r>
    <s v="Ajay"/>
    <x v="5"/>
    <s v="Electronics"/>
    <s v="Laptop"/>
    <n v="11"/>
    <n v="36198"/>
    <n v="0"/>
    <d v="2026-04-18T00:00:00"/>
    <d v="2026-04-22T00:00:00"/>
    <s v="Kavya"/>
    <n v="1382"/>
  </r>
  <r>
    <s v="Asha"/>
    <x v="0"/>
    <s v="Stationery"/>
    <s v="Diary"/>
    <n v="14"/>
    <n v="334"/>
    <n v="10"/>
    <d v="2026-06-23T00:00:00"/>
    <d v="2026-06-30T00:00:00"/>
    <s v="Kavya"/>
    <n v="1383"/>
  </r>
  <r>
    <s v="Anita"/>
    <x v="0"/>
    <s v="Electronics"/>
    <s v="Keyboard"/>
    <n v="15"/>
    <n v="38116"/>
    <n v="0"/>
    <d v="2026-02-21T00:00:00"/>
    <d v="2026-02-25T00:00:00"/>
    <s v="Priya"/>
    <n v="1384"/>
  </r>
  <r>
    <s v="Vikram"/>
    <x v="5"/>
    <s v="Electronics"/>
    <s v="Keyboard"/>
    <n v="12"/>
    <n v="61360"/>
    <n v="10"/>
    <d v="2026-01-26T00:00:00"/>
    <d v="2026-01-31T00:00:00"/>
    <s v="Suresh"/>
    <n v="1385"/>
  </r>
  <r>
    <s v="Arjun"/>
    <x v="4"/>
    <s v="Furniture"/>
    <s v="Chair"/>
    <n v="9"/>
    <n v="7509"/>
    <n v="5"/>
    <d v="2026-05-20T00:00:00"/>
    <d v="2026-05-29T00:00:00"/>
    <s v="Suresh"/>
    <n v="1386"/>
  </r>
  <r>
    <s v="Manoj"/>
    <x v="5"/>
    <s v="Electronics"/>
    <s v="Printer"/>
    <n v="11"/>
    <n v="56515"/>
    <n v="5"/>
    <d v="2026-03-21T00:00:00"/>
    <d v="2026-03-31T00:00:00"/>
    <s v="Rahul"/>
    <n v="1387"/>
  </r>
  <r>
    <s v="Sneha"/>
    <x v="4"/>
    <s v="Furniture"/>
    <s v="Chair"/>
    <n v="12"/>
    <n v="11662"/>
    <n v="12"/>
    <d v="2026-03-13T00:00:00"/>
    <d v="2026-03-15T00:00:00"/>
    <s v="Amit"/>
    <n v="1388"/>
  </r>
  <r>
    <s v="Asha"/>
    <x v="0"/>
    <s v="Electronics"/>
    <s v="Headset"/>
    <n v="3"/>
    <n v="56380"/>
    <n v="5"/>
    <d v="2026-01-22T00:00:00"/>
    <d v="2026-01-26T00:00:00"/>
    <s v="Suresh"/>
    <n v="1389"/>
  </r>
  <r>
    <s v="Rohan"/>
    <x v="7"/>
    <s v="Furniture"/>
    <s v="Desk"/>
    <n v="9"/>
    <n v="7670"/>
    <n v="0"/>
    <d v="2026-02-23T00:00:00"/>
    <d v="2026-02-28T00:00:00"/>
    <s v="Suresh"/>
    <n v="1390"/>
  </r>
  <r>
    <s v="Neha"/>
    <x v="4"/>
    <s v="Electronics"/>
    <s v="Printer"/>
    <n v="5"/>
    <n v="65270"/>
    <n v="5"/>
    <d v="2026-03-19T00:00:00"/>
    <d v="2026-03-22T00:00:00"/>
    <s v="Rahul"/>
    <n v="1391"/>
  </r>
  <r>
    <s v="Priya"/>
    <x v="7"/>
    <s v="Electronics"/>
    <s v="Printer"/>
    <n v="13"/>
    <n v="23903"/>
    <n v="5"/>
    <d v="2026-04-12T00:00:00"/>
    <d v="2026-04-13T00:00:00"/>
    <s v="Priya"/>
    <n v="1392"/>
  </r>
  <r>
    <s v="Neha"/>
    <x v="3"/>
    <s v="Electronics"/>
    <s v="Monitor"/>
    <n v="17"/>
    <n v="30351"/>
    <n v="15"/>
    <d v="2026-01-25T00:00:00"/>
    <d v="2026-01-29T00:00:00"/>
    <s v="Suresh"/>
    <n v="1393"/>
  </r>
  <r>
    <s v="Manoj"/>
    <x v="0"/>
    <s v="Stationery"/>
    <s v="Notebook"/>
    <n v="10"/>
    <n v="138"/>
    <n v="2"/>
    <d v="2026-02-03T00:00:00"/>
    <d v="2026-02-04T00:00:00"/>
    <s v="Kavya"/>
    <n v="1394"/>
  </r>
  <r>
    <s v="Manoj"/>
    <x v="5"/>
    <s v="Furniture"/>
    <s v="Bookshelf"/>
    <n v="18"/>
    <n v="10402"/>
    <n v="15"/>
    <d v="2026-02-09T00:00:00"/>
    <d v="2026-02-14T00:00:00"/>
    <s v="Priya"/>
    <n v="1395"/>
  </r>
  <r>
    <s v="Meera"/>
    <x v="6"/>
    <s v="Stationery"/>
    <s v="Diary"/>
    <n v="8"/>
    <n v="54"/>
    <n v="15"/>
    <d v="2026-01-09T00:00:00"/>
    <d v="2026-01-13T00:00:00"/>
    <s v="Kavya"/>
    <n v="1396"/>
  </r>
  <r>
    <s v="Meera"/>
    <x v="5"/>
    <s v="Furniture"/>
    <s v="Table"/>
    <n v="1"/>
    <n v="8948"/>
    <n v="5"/>
    <d v="2026-06-21T00:00:00"/>
    <d v="2026-06-28T00:00:00"/>
    <s v="Suresh"/>
    <n v="1397"/>
  </r>
  <r>
    <s v="Rohan"/>
    <x v="7"/>
    <s v="Electronics"/>
    <s v="Keyboard"/>
    <n v="12"/>
    <n v="10668"/>
    <n v="0"/>
    <d v="2026-05-28T00:00:00"/>
    <d v="2026-06-03T00:00:00"/>
    <s v="Kavya"/>
    <n v="1398"/>
  </r>
  <r>
    <s v="Nitin"/>
    <x v="4"/>
    <s v="Stationery"/>
    <s v="Notebook"/>
    <n v="15"/>
    <n v="87"/>
    <n v="15"/>
    <d v="2026-03-08T00:00:00"/>
    <d v="2026-03-12T00:00:00"/>
    <s v="Amit"/>
    <n v="1399"/>
  </r>
  <r>
    <s v="Deepak"/>
    <x v="2"/>
    <s v="Electronics"/>
    <s v="Printer"/>
    <n v="13"/>
    <n v="52411"/>
    <n v="15"/>
    <d v="2026-03-09T00:00:00"/>
    <d v="2026-03-11T00:00:00"/>
    <s v="Amit"/>
    <n v="1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0000000}" name="Q14" cacheId="4" applyNumberFormats="0" applyBorderFormats="0" applyFontFormats="0" applyPatternFormats="0" applyAlignmentFormats="0" applyWidthHeightFormats="0" dataCaption="" updatedVersion="8" compact="0" compactData="0">
  <location ref="P1:Q10" firstHeaderRow="1" firstDataRow="1" firstDataCol="1"/>
  <pivotFields count="11">
    <pivotField name="Customer" compact="0" outline="0" multipleItemSelectionAllowed="1" showAll="0"/>
    <pivotField name="City" axis="axisRow" compact="0" outline="0" multipleItemSelectionAllowed="1" showAll="0" sortType="descending">
      <items count="9">
        <item x="0"/>
        <item x="1"/>
        <item x="2"/>
        <item x="3"/>
        <item x="4"/>
        <item x="5"/>
        <item x="6"/>
        <item x="7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Category" compact="0" outline="0" multipleItemSelectionAllowed="1" showAll="0"/>
    <pivotField name="Product" compact="0" outline="0" multipleItemSelectionAllowed="1" showAll="0"/>
    <pivotField name="Quantity" compact="0" outline="0" multipleItemSelectionAllowed="1" showAll="0"/>
    <pivotField name="Unit_Price" compact="0" outline="0" multipleItemSelectionAllowed="1" showAll="0"/>
    <pivotField name="Discount_%" compact="0" outline="0" multipleItemSelectionAllowed="1" showAll="0"/>
    <pivotField name="Order_Date" compact="0" numFmtId="164" outline="0" multipleItemSelectionAllowed="1" showAll="0"/>
    <pivotField name="Delivery_Date" compact="0" numFmtId="164" outline="0" multipleItemSelectionAllowed="1" showAll="0"/>
    <pivotField name="Salesperson" compact="0" outline="0" multipleItemSelectionAllowed="1" showAll="0"/>
    <pivotField name="Order_ID" dataField="1" compact="0" outline="0" multipleItemSelectionAllowed="1" showAll="0"/>
  </pivotFields>
  <rowFields count="1">
    <field x="1"/>
  </rowFields>
  <rowItems count="9">
    <i>
      <x v="6"/>
    </i>
    <i>
      <x v="7"/>
    </i>
    <i>
      <x v="3"/>
    </i>
    <i>
      <x v="2"/>
    </i>
    <i>
      <x v="1"/>
    </i>
    <i>
      <x v="4"/>
    </i>
    <i>
      <x/>
    </i>
    <i>
      <x v="5"/>
    </i>
    <i t="grand">
      <x/>
    </i>
  </rowItems>
  <colItems count="1">
    <i/>
  </colItems>
  <dataFields count="1">
    <dataField name="COUNT of Order_ID" fld="10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4" x14ac:dyDescent="0.3">
      <c r="A2" s="1">
        <v>1001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3</v>
      </c>
      <c r="G2" s="1">
        <v>222</v>
      </c>
      <c r="H2" s="1">
        <v>15</v>
      </c>
      <c r="I2" s="2">
        <v>46081</v>
      </c>
      <c r="J2" s="2">
        <v>46083</v>
      </c>
      <c r="K2" s="1" t="s">
        <v>15</v>
      </c>
    </row>
    <row r="3" spans="1:11" ht="14.4" x14ac:dyDescent="0.3">
      <c r="A3" s="1">
        <v>1002</v>
      </c>
      <c r="B3" s="1" t="s">
        <v>16</v>
      </c>
      <c r="C3" s="1" t="s">
        <v>17</v>
      </c>
      <c r="D3" s="1" t="s">
        <v>18</v>
      </c>
      <c r="E3" s="1" t="s">
        <v>19</v>
      </c>
      <c r="F3" s="1">
        <v>7</v>
      </c>
      <c r="G3" s="1">
        <v>8448</v>
      </c>
      <c r="H3" s="1">
        <v>12</v>
      </c>
      <c r="I3" s="2">
        <v>46174</v>
      </c>
      <c r="J3" s="2">
        <v>46179</v>
      </c>
      <c r="K3" s="1" t="s">
        <v>20</v>
      </c>
    </row>
    <row r="4" spans="1:11" ht="14.4" x14ac:dyDescent="0.3">
      <c r="A4" s="1">
        <v>1003</v>
      </c>
      <c r="B4" s="1" t="s">
        <v>21</v>
      </c>
      <c r="C4" s="1" t="s">
        <v>22</v>
      </c>
      <c r="D4" s="1" t="s">
        <v>18</v>
      </c>
      <c r="E4" s="1" t="s">
        <v>23</v>
      </c>
      <c r="F4" s="1">
        <v>20</v>
      </c>
      <c r="G4" s="1">
        <v>2123</v>
      </c>
      <c r="H4" s="1">
        <v>15</v>
      </c>
      <c r="I4" s="2">
        <v>46183</v>
      </c>
      <c r="J4" s="2">
        <v>46192</v>
      </c>
      <c r="K4" s="1" t="s">
        <v>24</v>
      </c>
    </row>
    <row r="5" spans="1:11" ht="14.4" x14ac:dyDescent="0.3">
      <c r="A5" s="1">
        <v>1004</v>
      </c>
      <c r="B5" s="1" t="s">
        <v>16</v>
      </c>
      <c r="C5" s="1" t="s">
        <v>25</v>
      </c>
      <c r="D5" s="1" t="s">
        <v>18</v>
      </c>
      <c r="E5" s="1" t="s">
        <v>23</v>
      </c>
      <c r="F5" s="1">
        <v>16</v>
      </c>
      <c r="G5" s="1">
        <v>11739</v>
      </c>
      <c r="H5" s="1">
        <v>12</v>
      </c>
      <c r="I5" s="2">
        <v>46034</v>
      </c>
      <c r="J5" s="2">
        <v>46040</v>
      </c>
      <c r="K5" s="1" t="s">
        <v>20</v>
      </c>
    </row>
    <row r="6" spans="1:11" ht="14.4" x14ac:dyDescent="0.3">
      <c r="A6" s="1">
        <v>1005</v>
      </c>
      <c r="B6" s="1" t="s">
        <v>26</v>
      </c>
      <c r="C6" s="1" t="s">
        <v>17</v>
      </c>
      <c r="D6" s="1" t="s">
        <v>13</v>
      </c>
      <c r="E6" s="1" t="s">
        <v>14</v>
      </c>
      <c r="F6" s="1">
        <v>18</v>
      </c>
      <c r="G6" s="1">
        <v>70</v>
      </c>
      <c r="H6" s="1">
        <v>0</v>
      </c>
      <c r="I6" s="2">
        <v>46171</v>
      </c>
      <c r="J6" s="2">
        <v>46179</v>
      </c>
      <c r="K6" s="1" t="s">
        <v>24</v>
      </c>
    </row>
    <row r="7" spans="1:11" ht="14.4" x14ac:dyDescent="0.3">
      <c r="A7" s="1">
        <v>1006</v>
      </c>
      <c r="B7" s="1" t="s">
        <v>27</v>
      </c>
      <c r="C7" s="1" t="s">
        <v>25</v>
      </c>
      <c r="D7" s="1" t="s">
        <v>18</v>
      </c>
      <c r="E7" s="1" t="s">
        <v>28</v>
      </c>
      <c r="F7" s="1">
        <v>3</v>
      </c>
      <c r="G7" s="1">
        <v>2714</v>
      </c>
      <c r="H7" s="1">
        <v>5</v>
      </c>
      <c r="I7" s="2">
        <v>46055</v>
      </c>
      <c r="J7" s="2">
        <v>46062</v>
      </c>
      <c r="K7" s="1" t="s">
        <v>29</v>
      </c>
    </row>
    <row r="8" spans="1:11" ht="14.4" x14ac:dyDescent="0.3">
      <c r="A8" s="1">
        <v>1007</v>
      </c>
      <c r="B8" s="1" t="s">
        <v>21</v>
      </c>
      <c r="C8" s="1" t="s">
        <v>22</v>
      </c>
      <c r="D8" s="1" t="s">
        <v>13</v>
      </c>
      <c r="E8" s="1" t="s">
        <v>14</v>
      </c>
      <c r="F8" s="1">
        <v>19</v>
      </c>
      <c r="G8" s="1">
        <v>149</v>
      </c>
      <c r="H8" s="1">
        <v>7</v>
      </c>
      <c r="I8" s="2">
        <v>46162</v>
      </c>
      <c r="J8" s="2">
        <v>46168</v>
      </c>
      <c r="K8" s="1" t="s">
        <v>24</v>
      </c>
    </row>
    <row r="9" spans="1:11" ht="14.4" x14ac:dyDescent="0.3">
      <c r="A9" s="1">
        <v>1008</v>
      </c>
      <c r="B9" s="1" t="s">
        <v>30</v>
      </c>
      <c r="C9" s="1" t="s">
        <v>31</v>
      </c>
      <c r="D9" s="1" t="s">
        <v>18</v>
      </c>
      <c r="E9" s="1" t="s">
        <v>28</v>
      </c>
      <c r="F9" s="1">
        <v>1</v>
      </c>
      <c r="G9" s="1">
        <v>1134</v>
      </c>
      <c r="H9" s="1">
        <v>0</v>
      </c>
      <c r="I9" s="2">
        <v>46033</v>
      </c>
      <c r="J9" s="2">
        <v>46041</v>
      </c>
      <c r="K9" s="1" t="s">
        <v>24</v>
      </c>
    </row>
    <row r="10" spans="1:11" ht="14.4" x14ac:dyDescent="0.3">
      <c r="A10" s="1">
        <v>1009</v>
      </c>
      <c r="B10" s="1" t="s">
        <v>32</v>
      </c>
      <c r="C10" s="1" t="s">
        <v>33</v>
      </c>
      <c r="D10" s="1" t="s">
        <v>34</v>
      </c>
      <c r="E10" s="1" t="s">
        <v>35</v>
      </c>
      <c r="F10" s="1">
        <v>10</v>
      </c>
      <c r="G10" s="1">
        <v>40671</v>
      </c>
      <c r="H10" s="1">
        <v>12</v>
      </c>
      <c r="I10" s="2">
        <v>46183</v>
      </c>
      <c r="J10" s="2">
        <v>46193</v>
      </c>
      <c r="K10" s="1" t="s">
        <v>24</v>
      </c>
    </row>
    <row r="11" spans="1:11" ht="14.4" x14ac:dyDescent="0.3">
      <c r="A11" s="1">
        <v>1010</v>
      </c>
      <c r="B11" s="1" t="s">
        <v>11</v>
      </c>
      <c r="C11" s="1" t="s">
        <v>17</v>
      </c>
      <c r="D11" s="1" t="s">
        <v>13</v>
      </c>
      <c r="E11" s="1" t="s">
        <v>36</v>
      </c>
      <c r="F11" s="1">
        <v>14</v>
      </c>
      <c r="G11" s="1">
        <v>470</v>
      </c>
      <c r="H11" s="1">
        <v>5</v>
      </c>
      <c r="I11" s="2">
        <v>46062</v>
      </c>
      <c r="J11" s="2">
        <v>46068</v>
      </c>
      <c r="K11" s="1" t="s">
        <v>15</v>
      </c>
    </row>
    <row r="12" spans="1:11" ht="14.4" x14ac:dyDescent="0.3">
      <c r="A12" s="1">
        <v>1011</v>
      </c>
      <c r="B12" s="1" t="s">
        <v>11</v>
      </c>
      <c r="C12" s="1" t="s">
        <v>17</v>
      </c>
      <c r="D12" s="1" t="s">
        <v>13</v>
      </c>
      <c r="E12" s="1" t="s">
        <v>37</v>
      </c>
      <c r="F12" s="1">
        <v>14</v>
      </c>
      <c r="G12" s="1">
        <v>88</v>
      </c>
      <c r="H12" s="1">
        <v>12</v>
      </c>
      <c r="I12" s="2">
        <v>46161</v>
      </c>
      <c r="J12" s="2">
        <v>46163</v>
      </c>
      <c r="K12" s="1" t="s">
        <v>15</v>
      </c>
    </row>
    <row r="13" spans="1:11" ht="14.4" x14ac:dyDescent="0.3">
      <c r="A13" s="1">
        <v>1012</v>
      </c>
      <c r="B13" s="1" t="s">
        <v>26</v>
      </c>
      <c r="C13" s="1" t="s">
        <v>38</v>
      </c>
      <c r="D13" s="1" t="s">
        <v>34</v>
      </c>
      <c r="E13" s="1" t="s">
        <v>39</v>
      </c>
      <c r="F13" s="1">
        <v>3</v>
      </c>
      <c r="G13" s="1">
        <v>64615</v>
      </c>
      <c r="H13" s="1">
        <v>10</v>
      </c>
      <c r="I13" s="2">
        <v>46086</v>
      </c>
      <c r="J13" s="2">
        <v>46095</v>
      </c>
      <c r="K13" s="1" t="s">
        <v>29</v>
      </c>
    </row>
    <row r="14" spans="1:11" ht="14.4" x14ac:dyDescent="0.3">
      <c r="A14" s="1">
        <v>1013</v>
      </c>
      <c r="B14" s="1" t="s">
        <v>16</v>
      </c>
      <c r="C14" s="1" t="s">
        <v>31</v>
      </c>
      <c r="D14" s="1" t="s">
        <v>13</v>
      </c>
      <c r="E14" s="1" t="s">
        <v>36</v>
      </c>
      <c r="F14" s="1">
        <v>17</v>
      </c>
      <c r="G14" s="1">
        <v>459</v>
      </c>
      <c r="H14" s="1">
        <v>12</v>
      </c>
      <c r="I14" s="2">
        <v>46095</v>
      </c>
      <c r="J14" s="2">
        <v>46105</v>
      </c>
      <c r="K14" s="1" t="s">
        <v>29</v>
      </c>
    </row>
    <row r="15" spans="1:11" ht="14.4" x14ac:dyDescent="0.3">
      <c r="A15" s="1">
        <v>1014</v>
      </c>
      <c r="B15" s="1" t="s">
        <v>40</v>
      </c>
      <c r="C15" s="1" t="s">
        <v>17</v>
      </c>
      <c r="D15" s="1" t="s">
        <v>34</v>
      </c>
      <c r="E15" s="1" t="s">
        <v>41</v>
      </c>
      <c r="F15" s="1">
        <v>19</v>
      </c>
      <c r="G15" s="1">
        <v>53683</v>
      </c>
      <c r="H15" s="1">
        <v>12</v>
      </c>
      <c r="I15" s="2">
        <v>46129</v>
      </c>
      <c r="J15" s="2">
        <v>46134</v>
      </c>
      <c r="K15" s="1" t="s">
        <v>29</v>
      </c>
    </row>
    <row r="16" spans="1:11" ht="14.4" x14ac:dyDescent="0.3">
      <c r="A16" s="1">
        <v>1015</v>
      </c>
      <c r="B16" s="1" t="s">
        <v>42</v>
      </c>
      <c r="C16" s="1" t="s">
        <v>43</v>
      </c>
      <c r="D16" s="1" t="s">
        <v>18</v>
      </c>
      <c r="E16" s="1" t="s">
        <v>44</v>
      </c>
      <c r="F16" s="1">
        <v>11</v>
      </c>
      <c r="G16" s="1">
        <v>14511</v>
      </c>
      <c r="H16" s="1">
        <v>2</v>
      </c>
      <c r="I16" s="2">
        <v>46175</v>
      </c>
      <c r="J16" s="2">
        <v>46185</v>
      </c>
      <c r="K16" s="1" t="s">
        <v>20</v>
      </c>
    </row>
    <row r="17" spans="1:11" ht="14.4" x14ac:dyDescent="0.3">
      <c r="A17" s="1">
        <v>1016</v>
      </c>
      <c r="B17" s="1" t="s">
        <v>32</v>
      </c>
      <c r="C17" s="1" t="s">
        <v>33</v>
      </c>
      <c r="D17" s="1" t="s">
        <v>34</v>
      </c>
      <c r="E17" s="1" t="s">
        <v>45</v>
      </c>
      <c r="F17" s="1">
        <v>16</v>
      </c>
      <c r="G17" s="1">
        <v>30234</v>
      </c>
      <c r="H17" s="1">
        <v>15</v>
      </c>
      <c r="I17" s="2">
        <v>46137</v>
      </c>
      <c r="J17" s="2">
        <v>46140</v>
      </c>
      <c r="K17" s="1" t="s">
        <v>24</v>
      </c>
    </row>
    <row r="18" spans="1:11" ht="14.4" x14ac:dyDescent="0.3">
      <c r="A18" s="1">
        <v>1017</v>
      </c>
      <c r="B18" s="1" t="s">
        <v>46</v>
      </c>
      <c r="C18" s="1" t="s">
        <v>38</v>
      </c>
      <c r="D18" s="1" t="s">
        <v>13</v>
      </c>
      <c r="E18" s="1" t="s">
        <v>36</v>
      </c>
      <c r="F18" s="1">
        <v>8</v>
      </c>
      <c r="G18" s="1">
        <v>179</v>
      </c>
      <c r="H18" s="1">
        <v>15</v>
      </c>
      <c r="I18" s="2">
        <v>46082</v>
      </c>
      <c r="J18" s="2">
        <v>46084</v>
      </c>
      <c r="K18" s="1" t="s">
        <v>15</v>
      </c>
    </row>
    <row r="19" spans="1:11" ht="14.4" x14ac:dyDescent="0.3">
      <c r="A19" s="1">
        <v>1018</v>
      </c>
      <c r="B19" s="1" t="s">
        <v>47</v>
      </c>
      <c r="C19" s="1" t="s">
        <v>25</v>
      </c>
      <c r="D19" s="1" t="s">
        <v>13</v>
      </c>
      <c r="E19" s="1" t="s">
        <v>14</v>
      </c>
      <c r="F19" s="1">
        <v>20</v>
      </c>
      <c r="G19" s="1">
        <v>301</v>
      </c>
      <c r="H19" s="1">
        <v>0</v>
      </c>
      <c r="I19" s="2">
        <v>46089</v>
      </c>
      <c r="J19" s="2">
        <v>46094</v>
      </c>
      <c r="K19" s="1" t="s">
        <v>29</v>
      </c>
    </row>
    <row r="20" spans="1:11" ht="14.4" x14ac:dyDescent="0.3">
      <c r="A20" s="1">
        <v>1019</v>
      </c>
      <c r="B20" s="1" t="s">
        <v>11</v>
      </c>
      <c r="C20" s="1" t="s">
        <v>43</v>
      </c>
      <c r="D20" s="1" t="s">
        <v>34</v>
      </c>
      <c r="E20" s="1" t="s">
        <v>41</v>
      </c>
      <c r="F20" s="1">
        <v>18</v>
      </c>
      <c r="G20" s="1">
        <v>45652</v>
      </c>
      <c r="H20" s="1">
        <v>10</v>
      </c>
      <c r="I20" s="2">
        <v>46023</v>
      </c>
      <c r="J20" s="2">
        <v>46030</v>
      </c>
      <c r="K20" s="1" t="s">
        <v>20</v>
      </c>
    </row>
    <row r="21" spans="1:11" ht="15.75" customHeight="1" x14ac:dyDescent="0.3">
      <c r="A21" s="1">
        <v>1020</v>
      </c>
      <c r="B21" s="1" t="s">
        <v>46</v>
      </c>
      <c r="C21" s="1" t="s">
        <v>12</v>
      </c>
      <c r="D21" s="1" t="s">
        <v>18</v>
      </c>
      <c r="E21" s="1" t="s">
        <v>19</v>
      </c>
      <c r="F21" s="1">
        <v>5</v>
      </c>
      <c r="G21" s="1">
        <v>4582</v>
      </c>
      <c r="H21" s="1">
        <v>5</v>
      </c>
      <c r="I21" s="2">
        <v>46078</v>
      </c>
      <c r="J21" s="2">
        <v>46083</v>
      </c>
      <c r="K21" s="1" t="s">
        <v>15</v>
      </c>
    </row>
    <row r="22" spans="1:11" ht="15.75" customHeight="1" x14ac:dyDescent="0.3">
      <c r="A22" s="1">
        <v>1021</v>
      </c>
      <c r="B22" s="1" t="s">
        <v>48</v>
      </c>
      <c r="C22" s="1" t="s">
        <v>43</v>
      </c>
      <c r="D22" s="1" t="s">
        <v>13</v>
      </c>
      <c r="E22" s="1" t="s">
        <v>14</v>
      </c>
      <c r="F22" s="1">
        <v>3</v>
      </c>
      <c r="G22" s="1">
        <v>484</v>
      </c>
      <c r="H22" s="1">
        <v>2</v>
      </c>
      <c r="I22" s="2">
        <v>46144</v>
      </c>
      <c r="J22" s="2">
        <v>46148</v>
      </c>
      <c r="K22" s="1" t="s">
        <v>24</v>
      </c>
    </row>
    <row r="23" spans="1:11" ht="15.75" customHeight="1" x14ac:dyDescent="0.3">
      <c r="A23" s="1">
        <v>1022</v>
      </c>
      <c r="B23" s="1" t="s">
        <v>26</v>
      </c>
      <c r="C23" s="1" t="s">
        <v>17</v>
      </c>
      <c r="D23" s="1" t="s">
        <v>34</v>
      </c>
      <c r="E23" s="1" t="s">
        <v>45</v>
      </c>
      <c r="F23" s="1">
        <v>15</v>
      </c>
      <c r="G23" s="1">
        <v>11596</v>
      </c>
      <c r="H23" s="1">
        <v>0</v>
      </c>
      <c r="I23" s="2">
        <v>46117</v>
      </c>
      <c r="J23" s="2">
        <v>46121</v>
      </c>
      <c r="K23" s="1" t="s">
        <v>29</v>
      </c>
    </row>
    <row r="24" spans="1:11" ht="15.75" customHeight="1" x14ac:dyDescent="0.3">
      <c r="A24" s="1">
        <v>1023</v>
      </c>
      <c r="B24" s="1" t="s">
        <v>40</v>
      </c>
      <c r="C24" s="1" t="s">
        <v>12</v>
      </c>
      <c r="D24" s="1" t="s">
        <v>18</v>
      </c>
      <c r="E24" s="1" t="s">
        <v>44</v>
      </c>
      <c r="F24" s="1">
        <v>15</v>
      </c>
      <c r="G24" s="1">
        <v>3506</v>
      </c>
      <c r="H24" s="1">
        <v>2</v>
      </c>
      <c r="I24" s="2">
        <v>46193</v>
      </c>
      <c r="J24" s="2">
        <v>46194</v>
      </c>
      <c r="K24" s="1" t="s">
        <v>29</v>
      </c>
    </row>
    <row r="25" spans="1:11" ht="15.75" customHeight="1" x14ac:dyDescent="0.3">
      <c r="A25" s="1">
        <v>1024</v>
      </c>
      <c r="B25" s="1" t="s">
        <v>32</v>
      </c>
      <c r="C25" s="1" t="s">
        <v>38</v>
      </c>
      <c r="D25" s="1" t="s">
        <v>34</v>
      </c>
      <c r="E25" s="1" t="s">
        <v>41</v>
      </c>
      <c r="F25" s="1">
        <v>12</v>
      </c>
      <c r="G25" s="1">
        <v>1682</v>
      </c>
      <c r="H25" s="1">
        <v>5</v>
      </c>
      <c r="I25" s="2">
        <v>46161</v>
      </c>
      <c r="J25" s="2">
        <v>46165</v>
      </c>
      <c r="K25" s="1" t="s">
        <v>15</v>
      </c>
    </row>
    <row r="26" spans="1:11" ht="15.75" customHeight="1" x14ac:dyDescent="0.3">
      <c r="A26" s="1">
        <v>1025</v>
      </c>
      <c r="B26" s="1" t="s">
        <v>21</v>
      </c>
      <c r="C26" s="1" t="s">
        <v>12</v>
      </c>
      <c r="D26" s="1" t="s">
        <v>18</v>
      </c>
      <c r="E26" s="1" t="s">
        <v>19</v>
      </c>
      <c r="F26" s="1">
        <v>18</v>
      </c>
      <c r="G26" s="1">
        <v>7924</v>
      </c>
      <c r="H26" s="1">
        <v>0</v>
      </c>
      <c r="I26" s="2">
        <v>46175</v>
      </c>
      <c r="J26" s="2">
        <v>46181</v>
      </c>
      <c r="K26" s="1" t="s">
        <v>15</v>
      </c>
    </row>
    <row r="27" spans="1:11" ht="15.75" customHeight="1" x14ac:dyDescent="0.3">
      <c r="A27" s="1">
        <v>1026</v>
      </c>
      <c r="B27" s="1" t="s">
        <v>49</v>
      </c>
      <c r="C27" s="1" t="s">
        <v>31</v>
      </c>
      <c r="D27" s="1" t="s">
        <v>13</v>
      </c>
      <c r="E27" s="1" t="s">
        <v>50</v>
      </c>
      <c r="F27" s="1">
        <v>17</v>
      </c>
      <c r="G27" s="1">
        <v>323</v>
      </c>
      <c r="H27" s="1">
        <v>10</v>
      </c>
      <c r="I27" s="2">
        <v>46039</v>
      </c>
      <c r="J27" s="2">
        <v>46040</v>
      </c>
      <c r="K27" s="1" t="s">
        <v>29</v>
      </c>
    </row>
    <row r="28" spans="1:11" ht="15.75" customHeight="1" x14ac:dyDescent="0.3">
      <c r="A28" s="1">
        <v>1027</v>
      </c>
      <c r="B28" s="1" t="s">
        <v>29</v>
      </c>
      <c r="C28" s="1" t="s">
        <v>43</v>
      </c>
      <c r="D28" s="1" t="s">
        <v>13</v>
      </c>
      <c r="E28" s="1" t="s">
        <v>50</v>
      </c>
      <c r="F28" s="1">
        <v>4</v>
      </c>
      <c r="G28" s="1">
        <v>264</v>
      </c>
      <c r="H28" s="1">
        <v>0</v>
      </c>
      <c r="I28" s="2">
        <v>46155</v>
      </c>
      <c r="J28" s="2">
        <v>46161</v>
      </c>
      <c r="K28" s="1" t="s">
        <v>51</v>
      </c>
    </row>
    <row r="29" spans="1:11" ht="15.75" customHeight="1" x14ac:dyDescent="0.3">
      <c r="A29" s="1">
        <v>1028</v>
      </c>
      <c r="B29" s="1" t="s">
        <v>47</v>
      </c>
      <c r="C29" s="1" t="s">
        <v>22</v>
      </c>
      <c r="D29" s="1" t="s">
        <v>13</v>
      </c>
      <c r="E29" s="1" t="s">
        <v>36</v>
      </c>
      <c r="F29" s="1">
        <v>13</v>
      </c>
      <c r="G29" s="1">
        <v>433</v>
      </c>
      <c r="H29" s="1">
        <v>2</v>
      </c>
      <c r="I29" s="2">
        <v>46116</v>
      </c>
      <c r="J29" s="2">
        <v>46121</v>
      </c>
      <c r="K29" s="1" t="s">
        <v>24</v>
      </c>
    </row>
    <row r="30" spans="1:11" ht="15.75" customHeight="1" x14ac:dyDescent="0.3">
      <c r="A30" s="1">
        <v>1029</v>
      </c>
      <c r="B30" s="1" t="s">
        <v>30</v>
      </c>
      <c r="C30" s="1" t="s">
        <v>25</v>
      </c>
      <c r="D30" s="1" t="s">
        <v>13</v>
      </c>
      <c r="E30" s="1" t="s">
        <v>36</v>
      </c>
      <c r="F30" s="1">
        <v>18</v>
      </c>
      <c r="G30" s="1">
        <v>443</v>
      </c>
      <c r="H30" s="1">
        <v>5</v>
      </c>
      <c r="I30" s="2">
        <v>46046</v>
      </c>
      <c r="J30" s="2">
        <v>46054</v>
      </c>
      <c r="K30" s="1" t="s">
        <v>24</v>
      </c>
    </row>
    <row r="31" spans="1:11" ht="15.75" customHeight="1" x14ac:dyDescent="0.3">
      <c r="A31" s="1">
        <v>1030</v>
      </c>
      <c r="B31" s="1" t="s">
        <v>52</v>
      </c>
      <c r="C31" s="1" t="s">
        <v>12</v>
      </c>
      <c r="D31" s="1" t="s">
        <v>13</v>
      </c>
      <c r="E31" s="1" t="s">
        <v>53</v>
      </c>
      <c r="F31" s="1">
        <v>13</v>
      </c>
      <c r="G31" s="1">
        <v>336</v>
      </c>
      <c r="H31" s="1">
        <v>10</v>
      </c>
      <c r="I31" s="2">
        <v>46098</v>
      </c>
      <c r="J31" s="2">
        <v>46108</v>
      </c>
      <c r="K31" s="1" t="s">
        <v>15</v>
      </c>
    </row>
    <row r="32" spans="1:11" ht="15.75" customHeight="1" x14ac:dyDescent="0.3">
      <c r="A32" s="1">
        <v>1031</v>
      </c>
      <c r="B32" s="1" t="s">
        <v>54</v>
      </c>
      <c r="C32" s="1" t="s">
        <v>31</v>
      </c>
      <c r="D32" s="1" t="s">
        <v>13</v>
      </c>
      <c r="E32" s="1" t="s">
        <v>53</v>
      </c>
      <c r="F32" s="1">
        <v>2</v>
      </c>
      <c r="G32" s="1">
        <v>184</v>
      </c>
      <c r="H32" s="1">
        <v>5</v>
      </c>
      <c r="I32" s="2">
        <v>46089</v>
      </c>
      <c r="J32" s="2">
        <v>46093</v>
      </c>
      <c r="K32" s="1" t="s">
        <v>20</v>
      </c>
    </row>
    <row r="33" spans="1:11" ht="15.75" customHeight="1" x14ac:dyDescent="0.3">
      <c r="A33" s="1">
        <v>1032</v>
      </c>
      <c r="B33" s="1" t="s">
        <v>54</v>
      </c>
      <c r="C33" s="1" t="s">
        <v>43</v>
      </c>
      <c r="D33" s="1" t="s">
        <v>34</v>
      </c>
      <c r="E33" s="1" t="s">
        <v>39</v>
      </c>
      <c r="F33" s="1">
        <v>20</v>
      </c>
      <c r="G33" s="1">
        <v>11305</v>
      </c>
      <c r="H33" s="1">
        <v>2</v>
      </c>
      <c r="I33" s="2">
        <v>46163</v>
      </c>
      <c r="J33" s="2">
        <v>46165</v>
      </c>
      <c r="K33" s="1" t="s">
        <v>29</v>
      </c>
    </row>
    <row r="34" spans="1:11" ht="15.75" customHeight="1" x14ac:dyDescent="0.3">
      <c r="A34" s="1">
        <v>1033</v>
      </c>
      <c r="B34" s="1" t="s">
        <v>11</v>
      </c>
      <c r="C34" s="1" t="s">
        <v>43</v>
      </c>
      <c r="D34" s="1" t="s">
        <v>18</v>
      </c>
      <c r="E34" s="1" t="s">
        <v>19</v>
      </c>
      <c r="F34" s="1">
        <v>9</v>
      </c>
      <c r="G34" s="1">
        <v>4895</v>
      </c>
      <c r="H34" s="1">
        <v>2</v>
      </c>
      <c r="I34" s="2">
        <v>46082</v>
      </c>
      <c r="J34" s="2">
        <v>46084</v>
      </c>
      <c r="K34" s="1" t="s">
        <v>29</v>
      </c>
    </row>
    <row r="35" spans="1:11" ht="15.75" customHeight="1" x14ac:dyDescent="0.3">
      <c r="A35" s="1">
        <v>1034</v>
      </c>
      <c r="B35" s="1" t="s">
        <v>55</v>
      </c>
      <c r="C35" s="1" t="s">
        <v>33</v>
      </c>
      <c r="D35" s="1" t="s">
        <v>18</v>
      </c>
      <c r="E35" s="1" t="s">
        <v>28</v>
      </c>
      <c r="F35" s="1">
        <v>17</v>
      </c>
      <c r="G35" s="1">
        <v>5104</v>
      </c>
      <c r="H35" s="1">
        <v>12</v>
      </c>
      <c r="I35" s="2">
        <v>46052</v>
      </c>
      <c r="J35" s="2">
        <v>46061</v>
      </c>
      <c r="K35" s="1" t="s">
        <v>51</v>
      </c>
    </row>
    <row r="36" spans="1:11" ht="15.75" customHeight="1" x14ac:dyDescent="0.3">
      <c r="A36" s="1">
        <v>1035</v>
      </c>
      <c r="B36" s="1" t="s">
        <v>49</v>
      </c>
      <c r="C36" s="1" t="s">
        <v>43</v>
      </c>
      <c r="D36" s="1" t="s">
        <v>18</v>
      </c>
      <c r="E36" s="1" t="s">
        <v>56</v>
      </c>
      <c r="F36" s="1">
        <v>3</v>
      </c>
      <c r="G36" s="1">
        <v>9149</v>
      </c>
      <c r="H36" s="1">
        <v>0</v>
      </c>
      <c r="I36" s="2">
        <v>46031</v>
      </c>
      <c r="J36" s="2">
        <v>46034</v>
      </c>
      <c r="K36" s="1" t="s">
        <v>24</v>
      </c>
    </row>
    <row r="37" spans="1:11" ht="15.75" customHeight="1" x14ac:dyDescent="0.3">
      <c r="A37" s="1">
        <v>1036</v>
      </c>
      <c r="B37" s="1" t="s">
        <v>11</v>
      </c>
      <c r="C37" s="1" t="s">
        <v>25</v>
      </c>
      <c r="D37" s="1" t="s">
        <v>13</v>
      </c>
      <c r="E37" s="1" t="s">
        <v>36</v>
      </c>
      <c r="F37" s="1">
        <v>20</v>
      </c>
      <c r="G37" s="1">
        <v>161</v>
      </c>
      <c r="H37" s="1">
        <v>7</v>
      </c>
      <c r="I37" s="2">
        <v>46071</v>
      </c>
      <c r="J37" s="2">
        <v>46077</v>
      </c>
      <c r="K37" s="1" t="s">
        <v>24</v>
      </c>
    </row>
    <row r="38" spans="1:11" ht="15.75" customHeight="1" x14ac:dyDescent="0.3">
      <c r="A38" s="1">
        <v>1037</v>
      </c>
      <c r="B38" s="1" t="s">
        <v>46</v>
      </c>
      <c r="C38" s="1" t="s">
        <v>43</v>
      </c>
      <c r="D38" s="1" t="s">
        <v>18</v>
      </c>
      <c r="E38" s="1" t="s">
        <v>56</v>
      </c>
      <c r="F38" s="1">
        <v>6</v>
      </c>
      <c r="G38" s="1">
        <v>14385</v>
      </c>
      <c r="H38" s="1">
        <v>12</v>
      </c>
      <c r="I38" s="2">
        <v>46033</v>
      </c>
      <c r="J38" s="2">
        <v>46043</v>
      </c>
      <c r="K38" s="1" t="s">
        <v>24</v>
      </c>
    </row>
    <row r="39" spans="1:11" ht="15.75" customHeight="1" x14ac:dyDescent="0.3">
      <c r="A39" s="1">
        <v>1038</v>
      </c>
      <c r="B39" s="1" t="s">
        <v>55</v>
      </c>
      <c r="C39" s="1" t="s">
        <v>17</v>
      </c>
      <c r="D39" s="1" t="s">
        <v>13</v>
      </c>
      <c r="E39" s="1" t="s">
        <v>36</v>
      </c>
      <c r="F39" s="1">
        <v>17</v>
      </c>
      <c r="G39" s="1">
        <v>223</v>
      </c>
      <c r="H39" s="1">
        <v>7</v>
      </c>
      <c r="I39" s="2">
        <v>46030</v>
      </c>
      <c r="J39" s="2">
        <v>46031</v>
      </c>
      <c r="K39" s="1" t="s">
        <v>51</v>
      </c>
    </row>
    <row r="40" spans="1:11" ht="15.75" customHeight="1" x14ac:dyDescent="0.3">
      <c r="A40" s="1">
        <v>1039</v>
      </c>
      <c r="B40" s="1" t="s">
        <v>48</v>
      </c>
      <c r="C40" s="1" t="s">
        <v>38</v>
      </c>
      <c r="D40" s="1" t="s">
        <v>34</v>
      </c>
      <c r="E40" s="1" t="s">
        <v>45</v>
      </c>
      <c r="F40" s="1">
        <v>5</v>
      </c>
      <c r="G40" s="1">
        <v>60236</v>
      </c>
      <c r="H40" s="1">
        <v>10</v>
      </c>
      <c r="I40" s="2">
        <v>46107</v>
      </c>
      <c r="J40" s="2">
        <v>46110</v>
      </c>
      <c r="K40" s="1" t="s">
        <v>20</v>
      </c>
    </row>
    <row r="41" spans="1:11" ht="15.75" customHeight="1" x14ac:dyDescent="0.3">
      <c r="A41" s="1">
        <v>1040</v>
      </c>
      <c r="B41" s="1" t="s">
        <v>49</v>
      </c>
      <c r="C41" s="1" t="s">
        <v>38</v>
      </c>
      <c r="D41" s="1" t="s">
        <v>18</v>
      </c>
      <c r="E41" s="1" t="s">
        <v>28</v>
      </c>
      <c r="F41" s="1">
        <v>10</v>
      </c>
      <c r="G41" s="1">
        <v>7531</v>
      </c>
      <c r="H41" s="1">
        <v>2</v>
      </c>
      <c r="I41" s="2">
        <v>46171</v>
      </c>
      <c r="J41" s="2">
        <v>46178</v>
      </c>
      <c r="K41" s="1" t="s">
        <v>24</v>
      </c>
    </row>
    <row r="42" spans="1:11" ht="15.75" customHeight="1" x14ac:dyDescent="0.3">
      <c r="A42" s="1">
        <v>1041</v>
      </c>
      <c r="B42" s="1" t="s">
        <v>54</v>
      </c>
      <c r="C42" s="1" t="s">
        <v>38</v>
      </c>
      <c r="D42" s="1" t="s">
        <v>13</v>
      </c>
      <c r="E42" s="1" t="s">
        <v>50</v>
      </c>
      <c r="F42" s="1">
        <v>9</v>
      </c>
      <c r="G42" s="1">
        <v>71</v>
      </c>
      <c r="H42" s="1">
        <v>7</v>
      </c>
      <c r="I42" s="2">
        <v>46185</v>
      </c>
      <c r="J42" s="2">
        <v>46188</v>
      </c>
      <c r="K42" s="1" t="s">
        <v>15</v>
      </c>
    </row>
    <row r="43" spans="1:11" ht="15.75" customHeight="1" x14ac:dyDescent="0.3">
      <c r="A43" s="1">
        <v>1042</v>
      </c>
      <c r="B43" s="1" t="s">
        <v>46</v>
      </c>
      <c r="C43" s="1" t="s">
        <v>33</v>
      </c>
      <c r="D43" s="1" t="s">
        <v>13</v>
      </c>
      <c r="E43" s="1" t="s">
        <v>53</v>
      </c>
      <c r="F43" s="1">
        <v>16</v>
      </c>
      <c r="G43" s="1">
        <v>232</v>
      </c>
      <c r="H43" s="1">
        <v>0</v>
      </c>
      <c r="I43" s="2">
        <v>46081</v>
      </c>
      <c r="J43" s="2">
        <v>46088</v>
      </c>
      <c r="K43" s="1" t="s">
        <v>29</v>
      </c>
    </row>
    <row r="44" spans="1:11" ht="15.75" customHeight="1" x14ac:dyDescent="0.3">
      <c r="A44" s="1">
        <v>1043</v>
      </c>
      <c r="B44" s="1" t="s">
        <v>49</v>
      </c>
      <c r="C44" s="1" t="s">
        <v>38</v>
      </c>
      <c r="D44" s="1" t="s">
        <v>34</v>
      </c>
      <c r="E44" s="1" t="s">
        <v>35</v>
      </c>
      <c r="F44" s="1">
        <v>20</v>
      </c>
      <c r="G44" s="1">
        <v>46093</v>
      </c>
      <c r="H44" s="1">
        <v>5</v>
      </c>
      <c r="I44" s="2">
        <v>46091</v>
      </c>
      <c r="J44" s="2">
        <v>46098</v>
      </c>
      <c r="K44" s="1" t="s">
        <v>29</v>
      </c>
    </row>
    <row r="45" spans="1:11" ht="15.75" customHeight="1" x14ac:dyDescent="0.3">
      <c r="A45" s="1">
        <v>1044</v>
      </c>
      <c r="B45" s="1" t="s">
        <v>48</v>
      </c>
      <c r="C45" s="1" t="s">
        <v>38</v>
      </c>
      <c r="D45" s="1" t="s">
        <v>18</v>
      </c>
      <c r="E45" s="1" t="s">
        <v>19</v>
      </c>
      <c r="F45" s="1">
        <v>4</v>
      </c>
      <c r="G45" s="1">
        <v>14731</v>
      </c>
      <c r="H45" s="1">
        <v>2</v>
      </c>
      <c r="I45" s="2">
        <v>46173</v>
      </c>
      <c r="J45" s="2">
        <v>46176</v>
      </c>
      <c r="K45" s="1" t="s">
        <v>20</v>
      </c>
    </row>
    <row r="46" spans="1:11" ht="15.75" customHeight="1" x14ac:dyDescent="0.3">
      <c r="A46" s="1">
        <v>1045</v>
      </c>
      <c r="B46" s="1" t="s">
        <v>32</v>
      </c>
      <c r="C46" s="1" t="s">
        <v>38</v>
      </c>
      <c r="D46" s="1" t="s">
        <v>34</v>
      </c>
      <c r="E46" s="1" t="s">
        <v>35</v>
      </c>
      <c r="F46" s="1">
        <v>3</v>
      </c>
      <c r="G46" s="1">
        <v>62762</v>
      </c>
      <c r="H46" s="1">
        <v>7</v>
      </c>
      <c r="I46" s="2">
        <v>46038</v>
      </c>
      <c r="J46" s="2">
        <v>46039</v>
      </c>
      <c r="K46" s="1" t="s">
        <v>29</v>
      </c>
    </row>
    <row r="47" spans="1:11" ht="15.75" customHeight="1" x14ac:dyDescent="0.3">
      <c r="A47" s="1">
        <v>1046</v>
      </c>
      <c r="B47" s="1" t="s">
        <v>57</v>
      </c>
      <c r="C47" s="1" t="s">
        <v>38</v>
      </c>
      <c r="D47" s="1" t="s">
        <v>34</v>
      </c>
      <c r="E47" s="1" t="s">
        <v>45</v>
      </c>
      <c r="F47" s="1">
        <v>3</v>
      </c>
      <c r="G47" s="1">
        <v>19443</v>
      </c>
      <c r="H47" s="1">
        <v>10</v>
      </c>
      <c r="I47" s="2">
        <v>46153</v>
      </c>
      <c r="J47" s="2">
        <v>46158</v>
      </c>
      <c r="K47" s="1" t="s">
        <v>29</v>
      </c>
    </row>
    <row r="48" spans="1:11" ht="15.75" customHeight="1" x14ac:dyDescent="0.3">
      <c r="A48" s="1">
        <v>1047</v>
      </c>
      <c r="B48" s="1" t="s">
        <v>58</v>
      </c>
      <c r="C48" s="1" t="s">
        <v>38</v>
      </c>
      <c r="D48" s="1" t="s">
        <v>18</v>
      </c>
      <c r="E48" s="1" t="s">
        <v>56</v>
      </c>
      <c r="F48" s="1">
        <v>11</v>
      </c>
      <c r="G48" s="1">
        <v>9976</v>
      </c>
      <c r="H48" s="1">
        <v>12</v>
      </c>
      <c r="I48" s="2">
        <v>46200</v>
      </c>
      <c r="J48" s="2">
        <v>46209</v>
      </c>
      <c r="K48" s="1" t="s">
        <v>15</v>
      </c>
    </row>
    <row r="49" spans="1:11" ht="15.75" customHeight="1" x14ac:dyDescent="0.3">
      <c r="A49" s="1">
        <v>1048</v>
      </c>
      <c r="B49" s="1" t="s">
        <v>59</v>
      </c>
      <c r="C49" s="1" t="s">
        <v>25</v>
      </c>
      <c r="D49" s="1" t="s">
        <v>34</v>
      </c>
      <c r="E49" s="1" t="s">
        <v>60</v>
      </c>
      <c r="F49" s="1">
        <v>14</v>
      </c>
      <c r="G49" s="1">
        <v>11762</v>
      </c>
      <c r="H49" s="1">
        <v>7</v>
      </c>
      <c r="I49" s="2">
        <v>46180</v>
      </c>
      <c r="J49" s="2">
        <v>46186</v>
      </c>
      <c r="K49" s="1" t="s">
        <v>24</v>
      </c>
    </row>
    <row r="50" spans="1:11" ht="15.75" customHeight="1" x14ac:dyDescent="0.3">
      <c r="A50" s="1">
        <v>1049</v>
      </c>
      <c r="B50" s="1" t="s">
        <v>52</v>
      </c>
      <c r="C50" s="1" t="s">
        <v>25</v>
      </c>
      <c r="D50" s="1" t="s">
        <v>34</v>
      </c>
      <c r="E50" s="1" t="s">
        <v>45</v>
      </c>
      <c r="F50" s="1">
        <v>2</v>
      </c>
      <c r="G50" s="1">
        <v>40789</v>
      </c>
      <c r="H50" s="1">
        <v>0</v>
      </c>
      <c r="I50" s="2">
        <v>46102</v>
      </c>
      <c r="J50" s="2">
        <v>46108</v>
      </c>
      <c r="K50" s="1" t="s">
        <v>24</v>
      </c>
    </row>
    <row r="51" spans="1:11" ht="15.75" customHeight="1" x14ac:dyDescent="0.3">
      <c r="A51" s="1">
        <v>1050</v>
      </c>
      <c r="B51" s="1" t="s">
        <v>32</v>
      </c>
      <c r="C51" s="1" t="s">
        <v>25</v>
      </c>
      <c r="D51" s="1" t="s">
        <v>13</v>
      </c>
      <c r="E51" s="1" t="s">
        <v>53</v>
      </c>
      <c r="F51" s="1">
        <v>12</v>
      </c>
      <c r="G51" s="1">
        <v>360</v>
      </c>
      <c r="H51" s="1">
        <v>5</v>
      </c>
      <c r="I51" s="2">
        <v>46127</v>
      </c>
      <c r="J51" s="2">
        <v>46137</v>
      </c>
      <c r="K51" s="1" t="s">
        <v>29</v>
      </c>
    </row>
    <row r="52" spans="1:11" ht="15.75" customHeight="1" x14ac:dyDescent="0.3">
      <c r="A52" s="1">
        <v>1051</v>
      </c>
      <c r="B52" s="1" t="s">
        <v>58</v>
      </c>
      <c r="C52" s="1" t="s">
        <v>17</v>
      </c>
      <c r="D52" s="1" t="s">
        <v>13</v>
      </c>
      <c r="E52" s="1" t="s">
        <v>36</v>
      </c>
      <c r="F52" s="1">
        <v>12</v>
      </c>
      <c r="G52" s="1">
        <v>47</v>
      </c>
      <c r="H52" s="1">
        <v>2</v>
      </c>
      <c r="I52" s="2">
        <v>46037</v>
      </c>
      <c r="J52" s="2">
        <v>46045</v>
      </c>
      <c r="K52" s="1" t="s">
        <v>15</v>
      </c>
    </row>
    <row r="53" spans="1:11" ht="15.75" customHeight="1" x14ac:dyDescent="0.3">
      <c r="A53" s="1">
        <v>1052</v>
      </c>
      <c r="B53" s="1" t="s">
        <v>55</v>
      </c>
      <c r="C53" s="1" t="s">
        <v>12</v>
      </c>
      <c r="D53" s="1" t="s">
        <v>13</v>
      </c>
      <c r="E53" s="1" t="s">
        <v>14</v>
      </c>
      <c r="F53" s="1">
        <v>17</v>
      </c>
      <c r="G53" s="1">
        <v>172</v>
      </c>
      <c r="H53" s="1">
        <v>10</v>
      </c>
      <c r="I53" s="2">
        <v>46159</v>
      </c>
      <c r="J53" s="2">
        <v>46165</v>
      </c>
      <c r="K53" s="1" t="s">
        <v>20</v>
      </c>
    </row>
    <row r="54" spans="1:11" ht="15.75" customHeight="1" x14ac:dyDescent="0.3">
      <c r="A54" s="1">
        <v>1053</v>
      </c>
      <c r="B54" s="1" t="s">
        <v>16</v>
      </c>
      <c r="C54" s="1" t="s">
        <v>33</v>
      </c>
      <c r="D54" s="1" t="s">
        <v>18</v>
      </c>
      <c r="E54" s="1" t="s">
        <v>28</v>
      </c>
      <c r="F54" s="1">
        <v>1</v>
      </c>
      <c r="G54" s="1">
        <v>9749</v>
      </c>
      <c r="H54" s="1">
        <v>15</v>
      </c>
      <c r="I54" s="2">
        <v>46064</v>
      </c>
      <c r="J54" s="2">
        <v>46070</v>
      </c>
      <c r="K54" s="1" t="s">
        <v>24</v>
      </c>
    </row>
    <row r="55" spans="1:11" ht="15.75" customHeight="1" x14ac:dyDescent="0.3">
      <c r="A55" s="1">
        <v>1054</v>
      </c>
      <c r="B55" s="1" t="s">
        <v>26</v>
      </c>
      <c r="C55" s="1" t="s">
        <v>25</v>
      </c>
      <c r="D55" s="1" t="s">
        <v>18</v>
      </c>
      <c r="E55" s="1" t="s">
        <v>23</v>
      </c>
      <c r="F55" s="1">
        <v>8</v>
      </c>
      <c r="G55" s="1">
        <v>9798</v>
      </c>
      <c r="H55" s="1">
        <v>12</v>
      </c>
      <c r="I55" s="2">
        <v>46200</v>
      </c>
      <c r="J55" s="2">
        <v>46201</v>
      </c>
      <c r="K55" s="1" t="s">
        <v>51</v>
      </c>
    </row>
    <row r="56" spans="1:11" ht="15.75" customHeight="1" x14ac:dyDescent="0.3">
      <c r="A56" s="1">
        <v>1055</v>
      </c>
      <c r="B56" s="1" t="s">
        <v>48</v>
      </c>
      <c r="C56" s="1" t="s">
        <v>12</v>
      </c>
      <c r="D56" s="1" t="s">
        <v>13</v>
      </c>
      <c r="E56" s="1" t="s">
        <v>37</v>
      </c>
      <c r="F56" s="1">
        <v>18</v>
      </c>
      <c r="G56" s="1">
        <v>185</v>
      </c>
      <c r="H56" s="1">
        <v>15</v>
      </c>
      <c r="I56" s="2">
        <v>46077</v>
      </c>
      <c r="J56" s="2">
        <v>46078</v>
      </c>
      <c r="K56" s="1" t="s">
        <v>15</v>
      </c>
    </row>
    <row r="57" spans="1:11" ht="15.75" customHeight="1" x14ac:dyDescent="0.3">
      <c r="A57" s="1">
        <v>1056</v>
      </c>
      <c r="B57" s="1" t="s">
        <v>11</v>
      </c>
      <c r="C57" s="1" t="s">
        <v>22</v>
      </c>
      <c r="D57" s="1" t="s">
        <v>18</v>
      </c>
      <c r="E57" s="1" t="s">
        <v>19</v>
      </c>
      <c r="F57" s="1">
        <v>3</v>
      </c>
      <c r="G57" s="1">
        <v>9771</v>
      </c>
      <c r="H57" s="1">
        <v>5</v>
      </c>
      <c r="I57" s="2">
        <v>46133</v>
      </c>
      <c r="J57" s="2">
        <v>46139</v>
      </c>
      <c r="K57" s="1" t="s">
        <v>24</v>
      </c>
    </row>
    <row r="58" spans="1:11" ht="15.75" customHeight="1" x14ac:dyDescent="0.3">
      <c r="A58" s="1">
        <v>1057</v>
      </c>
      <c r="B58" s="1" t="s">
        <v>59</v>
      </c>
      <c r="C58" s="1" t="s">
        <v>22</v>
      </c>
      <c r="D58" s="1" t="s">
        <v>18</v>
      </c>
      <c r="E58" s="1" t="s">
        <v>28</v>
      </c>
      <c r="F58" s="1">
        <v>2</v>
      </c>
      <c r="G58" s="1">
        <v>9531</v>
      </c>
      <c r="H58" s="1">
        <v>15</v>
      </c>
      <c r="I58" s="2">
        <v>46067</v>
      </c>
      <c r="J58" s="2">
        <v>46076</v>
      </c>
      <c r="K58" s="1" t="s">
        <v>51</v>
      </c>
    </row>
    <row r="59" spans="1:11" ht="15.75" customHeight="1" x14ac:dyDescent="0.3">
      <c r="A59" s="1">
        <v>1058</v>
      </c>
      <c r="B59" s="1" t="s">
        <v>52</v>
      </c>
      <c r="C59" s="1" t="s">
        <v>38</v>
      </c>
      <c r="D59" s="1" t="s">
        <v>18</v>
      </c>
      <c r="E59" s="1" t="s">
        <v>28</v>
      </c>
      <c r="F59" s="1">
        <v>10</v>
      </c>
      <c r="G59" s="1">
        <v>5532</v>
      </c>
      <c r="H59" s="1">
        <v>7</v>
      </c>
      <c r="I59" s="2">
        <v>46074</v>
      </c>
      <c r="J59" s="2">
        <v>46084</v>
      </c>
      <c r="K59" s="1" t="s">
        <v>24</v>
      </c>
    </row>
    <row r="60" spans="1:11" ht="15.75" customHeight="1" x14ac:dyDescent="0.3">
      <c r="A60" s="1">
        <v>1059</v>
      </c>
      <c r="B60" s="1" t="s">
        <v>54</v>
      </c>
      <c r="C60" s="1" t="s">
        <v>25</v>
      </c>
      <c r="D60" s="1" t="s">
        <v>13</v>
      </c>
      <c r="E60" s="1" t="s">
        <v>50</v>
      </c>
      <c r="F60" s="1">
        <v>20</v>
      </c>
      <c r="G60" s="1">
        <v>112</v>
      </c>
      <c r="H60" s="1">
        <v>10</v>
      </c>
      <c r="I60" s="2">
        <v>46113</v>
      </c>
      <c r="J60" s="2">
        <v>46122</v>
      </c>
      <c r="K60" s="1" t="s">
        <v>51</v>
      </c>
    </row>
    <row r="61" spans="1:11" ht="15.75" customHeight="1" x14ac:dyDescent="0.3">
      <c r="A61" s="1">
        <v>1060</v>
      </c>
      <c r="B61" s="1" t="s">
        <v>49</v>
      </c>
      <c r="C61" s="1" t="s">
        <v>12</v>
      </c>
      <c r="D61" s="1" t="s">
        <v>18</v>
      </c>
      <c r="E61" s="1" t="s">
        <v>44</v>
      </c>
      <c r="F61" s="1">
        <v>9</v>
      </c>
      <c r="G61" s="1">
        <v>9727</v>
      </c>
      <c r="H61" s="1">
        <v>2</v>
      </c>
      <c r="I61" s="2">
        <v>46024</v>
      </c>
      <c r="J61" s="2">
        <v>46030</v>
      </c>
      <c r="K61" s="1" t="s">
        <v>20</v>
      </c>
    </row>
    <row r="62" spans="1:11" ht="15.75" customHeight="1" x14ac:dyDescent="0.3">
      <c r="A62" s="1">
        <v>1061</v>
      </c>
      <c r="B62" s="1" t="s">
        <v>57</v>
      </c>
      <c r="C62" s="1" t="s">
        <v>12</v>
      </c>
      <c r="D62" s="1" t="s">
        <v>34</v>
      </c>
      <c r="E62" s="1" t="s">
        <v>41</v>
      </c>
      <c r="F62" s="1">
        <v>16</v>
      </c>
      <c r="G62" s="1">
        <v>59084</v>
      </c>
      <c r="H62" s="1">
        <v>0</v>
      </c>
      <c r="I62" s="2">
        <v>46060</v>
      </c>
      <c r="J62" s="2">
        <v>46069</v>
      </c>
      <c r="K62" s="1" t="s">
        <v>20</v>
      </c>
    </row>
    <row r="63" spans="1:11" ht="15.75" customHeight="1" x14ac:dyDescent="0.3">
      <c r="A63" s="1">
        <v>1062</v>
      </c>
      <c r="B63" s="1" t="s">
        <v>40</v>
      </c>
      <c r="C63" s="1" t="s">
        <v>43</v>
      </c>
      <c r="D63" s="1" t="s">
        <v>18</v>
      </c>
      <c r="E63" s="1" t="s">
        <v>23</v>
      </c>
      <c r="F63" s="1">
        <v>8</v>
      </c>
      <c r="G63" s="1">
        <v>8360</v>
      </c>
      <c r="H63" s="1">
        <v>2</v>
      </c>
      <c r="I63" s="2">
        <v>46190</v>
      </c>
      <c r="J63" s="2">
        <v>46200</v>
      </c>
      <c r="K63" s="1" t="s">
        <v>51</v>
      </c>
    </row>
    <row r="64" spans="1:11" ht="15.75" customHeight="1" x14ac:dyDescent="0.3">
      <c r="A64" s="1">
        <v>1063</v>
      </c>
      <c r="B64" s="1" t="s">
        <v>54</v>
      </c>
      <c r="C64" s="1" t="s">
        <v>22</v>
      </c>
      <c r="D64" s="1" t="s">
        <v>34</v>
      </c>
      <c r="E64" s="1" t="s">
        <v>45</v>
      </c>
      <c r="F64" s="1">
        <v>7</v>
      </c>
      <c r="G64" s="1">
        <v>66744</v>
      </c>
      <c r="H64" s="1">
        <v>7</v>
      </c>
      <c r="I64" s="2">
        <v>46148</v>
      </c>
      <c r="J64" s="2">
        <v>46155</v>
      </c>
      <c r="K64" s="1" t="s">
        <v>15</v>
      </c>
    </row>
    <row r="65" spans="1:11" ht="15.75" customHeight="1" x14ac:dyDescent="0.3">
      <c r="A65" s="1">
        <v>1064</v>
      </c>
      <c r="B65" s="1" t="s">
        <v>26</v>
      </c>
      <c r="C65" s="1" t="s">
        <v>17</v>
      </c>
      <c r="D65" s="1" t="s">
        <v>13</v>
      </c>
      <c r="E65" s="1" t="s">
        <v>50</v>
      </c>
      <c r="F65" s="1">
        <v>20</v>
      </c>
      <c r="G65" s="1">
        <v>191</v>
      </c>
      <c r="H65" s="1">
        <v>7</v>
      </c>
      <c r="I65" s="2">
        <v>46185</v>
      </c>
      <c r="J65" s="2">
        <v>46195</v>
      </c>
      <c r="K65" s="1" t="s">
        <v>29</v>
      </c>
    </row>
    <row r="66" spans="1:11" ht="15.75" customHeight="1" x14ac:dyDescent="0.3">
      <c r="A66" s="1">
        <v>1065</v>
      </c>
      <c r="B66" s="1" t="s">
        <v>42</v>
      </c>
      <c r="C66" s="1" t="s">
        <v>43</v>
      </c>
      <c r="D66" s="1" t="s">
        <v>18</v>
      </c>
      <c r="E66" s="1" t="s">
        <v>44</v>
      </c>
      <c r="F66" s="1">
        <v>1</v>
      </c>
      <c r="G66" s="1">
        <v>7730</v>
      </c>
      <c r="H66" s="1">
        <v>5</v>
      </c>
      <c r="I66" s="2">
        <v>46192</v>
      </c>
      <c r="J66" s="2">
        <v>46195</v>
      </c>
      <c r="K66" s="1" t="s">
        <v>51</v>
      </c>
    </row>
    <row r="67" spans="1:11" ht="15.75" customHeight="1" x14ac:dyDescent="0.3">
      <c r="A67" s="1">
        <v>1066</v>
      </c>
      <c r="B67" s="1" t="s">
        <v>47</v>
      </c>
      <c r="C67" s="1" t="s">
        <v>25</v>
      </c>
      <c r="D67" s="1" t="s">
        <v>18</v>
      </c>
      <c r="E67" s="1" t="s">
        <v>44</v>
      </c>
      <c r="F67" s="1">
        <v>15</v>
      </c>
      <c r="G67" s="1">
        <v>11987</v>
      </c>
      <c r="H67" s="1">
        <v>5</v>
      </c>
      <c r="I67" s="2">
        <v>46082</v>
      </c>
      <c r="J67" s="2">
        <v>46083</v>
      </c>
      <c r="K67" s="1" t="s">
        <v>15</v>
      </c>
    </row>
    <row r="68" spans="1:11" ht="15.75" customHeight="1" x14ac:dyDescent="0.3">
      <c r="A68" s="1">
        <v>1067</v>
      </c>
      <c r="B68" s="1" t="s">
        <v>32</v>
      </c>
      <c r="C68" s="1" t="s">
        <v>43</v>
      </c>
      <c r="D68" s="1" t="s">
        <v>18</v>
      </c>
      <c r="E68" s="1" t="s">
        <v>56</v>
      </c>
      <c r="F68" s="1">
        <v>14</v>
      </c>
      <c r="G68" s="1">
        <v>10869</v>
      </c>
      <c r="H68" s="1">
        <v>0</v>
      </c>
      <c r="I68" s="2">
        <v>46058</v>
      </c>
      <c r="J68" s="2">
        <v>46062</v>
      </c>
      <c r="K68" s="1" t="s">
        <v>29</v>
      </c>
    </row>
    <row r="69" spans="1:11" ht="15.75" customHeight="1" x14ac:dyDescent="0.3">
      <c r="A69" s="1">
        <v>1068</v>
      </c>
      <c r="B69" s="1" t="s">
        <v>52</v>
      </c>
      <c r="C69" s="1" t="s">
        <v>43</v>
      </c>
      <c r="D69" s="1" t="s">
        <v>34</v>
      </c>
      <c r="E69" s="1" t="s">
        <v>60</v>
      </c>
      <c r="F69" s="1">
        <v>15</v>
      </c>
      <c r="G69" s="1">
        <v>14534</v>
      </c>
      <c r="H69" s="1">
        <v>5</v>
      </c>
      <c r="I69" s="2">
        <v>46196</v>
      </c>
      <c r="J69" s="2">
        <v>46199</v>
      </c>
      <c r="K69" s="1" t="s">
        <v>29</v>
      </c>
    </row>
    <row r="70" spans="1:11" ht="15.75" customHeight="1" x14ac:dyDescent="0.3">
      <c r="A70" s="1">
        <v>1069</v>
      </c>
      <c r="B70" s="1" t="s">
        <v>52</v>
      </c>
      <c r="C70" s="1" t="s">
        <v>31</v>
      </c>
      <c r="D70" s="1" t="s">
        <v>18</v>
      </c>
      <c r="E70" s="1" t="s">
        <v>28</v>
      </c>
      <c r="F70" s="1">
        <v>9</v>
      </c>
      <c r="G70" s="1">
        <v>4415</v>
      </c>
      <c r="H70" s="1">
        <v>5</v>
      </c>
      <c r="I70" s="2">
        <v>46039</v>
      </c>
      <c r="J70" s="2">
        <v>46046</v>
      </c>
      <c r="K70" s="1" t="s">
        <v>15</v>
      </c>
    </row>
    <row r="71" spans="1:11" ht="15.75" customHeight="1" x14ac:dyDescent="0.3">
      <c r="A71" s="1">
        <v>1070</v>
      </c>
      <c r="B71" s="1" t="s">
        <v>52</v>
      </c>
      <c r="C71" s="1" t="s">
        <v>43</v>
      </c>
      <c r="D71" s="1" t="s">
        <v>13</v>
      </c>
      <c r="E71" s="1" t="s">
        <v>36</v>
      </c>
      <c r="F71" s="1">
        <v>10</v>
      </c>
      <c r="G71" s="1">
        <v>233</v>
      </c>
      <c r="H71" s="1">
        <v>7</v>
      </c>
      <c r="I71" s="2">
        <v>46076</v>
      </c>
      <c r="J71" s="2">
        <v>46077</v>
      </c>
      <c r="K71" s="1" t="s">
        <v>29</v>
      </c>
    </row>
    <row r="72" spans="1:11" ht="15.75" customHeight="1" x14ac:dyDescent="0.3">
      <c r="A72" s="1">
        <v>1071</v>
      </c>
      <c r="B72" s="1" t="s">
        <v>59</v>
      </c>
      <c r="C72" s="1" t="s">
        <v>22</v>
      </c>
      <c r="D72" s="1" t="s">
        <v>34</v>
      </c>
      <c r="E72" s="1" t="s">
        <v>61</v>
      </c>
      <c r="F72" s="1">
        <v>18</v>
      </c>
      <c r="G72" s="1">
        <v>32197</v>
      </c>
      <c r="H72" s="1">
        <v>5</v>
      </c>
      <c r="I72" s="2">
        <v>46129</v>
      </c>
      <c r="J72" s="2">
        <v>46137</v>
      </c>
      <c r="K72" s="1" t="s">
        <v>20</v>
      </c>
    </row>
    <row r="73" spans="1:11" ht="15.75" customHeight="1" x14ac:dyDescent="0.3">
      <c r="A73" s="1">
        <v>1072</v>
      </c>
      <c r="B73" s="1" t="s">
        <v>16</v>
      </c>
      <c r="C73" s="1" t="s">
        <v>25</v>
      </c>
      <c r="D73" s="1" t="s">
        <v>34</v>
      </c>
      <c r="E73" s="1" t="s">
        <v>61</v>
      </c>
      <c r="F73" s="1">
        <v>20</v>
      </c>
      <c r="G73" s="1">
        <v>58779</v>
      </c>
      <c r="H73" s="1">
        <v>0</v>
      </c>
      <c r="I73" s="2">
        <v>46035</v>
      </c>
      <c r="J73" s="2">
        <v>46036</v>
      </c>
      <c r="K73" s="1" t="s">
        <v>24</v>
      </c>
    </row>
    <row r="74" spans="1:11" ht="15.75" customHeight="1" x14ac:dyDescent="0.3">
      <c r="A74" s="1">
        <v>1073</v>
      </c>
      <c r="B74" s="1" t="s">
        <v>58</v>
      </c>
      <c r="C74" s="1" t="s">
        <v>17</v>
      </c>
      <c r="D74" s="1" t="s">
        <v>18</v>
      </c>
      <c r="E74" s="1" t="s">
        <v>56</v>
      </c>
      <c r="F74" s="1">
        <v>4</v>
      </c>
      <c r="G74" s="1">
        <v>2453</v>
      </c>
      <c r="H74" s="1">
        <v>7</v>
      </c>
      <c r="I74" s="2">
        <v>46126</v>
      </c>
      <c r="J74" s="2">
        <v>46129</v>
      </c>
      <c r="K74" s="1" t="s">
        <v>51</v>
      </c>
    </row>
    <row r="75" spans="1:11" ht="15.75" customHeight="1" x14ac:dyDescent="0.3">
      <c r="A75" s="1">
        <v>1074</v>
      </c>
      <c r="B75" s="1" t="s">
        <v>26</v>
      </c>
      <c r="C75" s="1" t="s">
        <v>31</v>
      </c>
      <c r="D75" s="1" t="s">
        <v>13</v>
      </c>
      <c r="E75" s="1" t="s">
        <v>50</v>
      </c>
      <c r="F75" s="1">
        <v>11</v>
      </c>
      <c r="G75" s="1">
        <v>390</v>
      </c>
      <c r="H75" s="1">
        <v>15</v>
      </c>
      <c r="I75" s="2">
        <v>46114</v>
      </c>
      <c r="J75" s="2">
        <v>46123</v>
      </c>
      <c r="K75" s="1" t="s">
        <v>29</v>
      </c>
    </row>
    <row r="76" spans="1:11" ht="15.75" customHeight="1" x14ac:dyDescent="0.3">
      <c r="A76" s="1">
        <v>1075</v>
      </c>
      <c r="B76" s="1" t="s">
        <v>42</v>
      </c>
      <c r="C76" s="1" t="s">
        <v>43</v>
      </c>
      <c r="D76" s="1" t="s">
        <v>34</v>
      </c>
      <c r="E76" s="1" t="s">
        <v>61</v>
      </c>
      <c r="F76" s="1">
        <v>4</v>
      </c>
      <c r="G76" s="1">
        <v>64773</v>
      </c>
      <c r="H76" s="1">
        <v>10</v>
      </c>
      <c r="I76" s="2">
        <v>46185</v>
      </c>
      <c r="J76" s="2">
        <v>46186</v>
      </c>
      <c r="K76" s="1" t="s">
        <v>51</v>
      </c>
    </row>
    <row r="77" spans="1:11" ht="15.75" customHeight="1" x14ac:dyDescent="0.3">
      <c r="A77" s="1">
        <v>1076</v>
      </c>
      <c r="B77" s="1" t="s">
        <v>29</v>
      </c>
      <c r="C77" s="1" t="s">
        <v>17</v>
      </c>
      <c r="D77" s="1" t="s">
        <v>34</v>
      </c>
      <c r="E77" s="1" t="s">
        <v>35</v>
      </c>
      <c r="F77" s="1">
        <v>19</v>
      </c>
      <c r="G77" s="1">
        <v>26714</v>
      </c>
      <c r="H77" s="1">
        <v>5</v>
      </c>
      <c r="I77" s="2">
        <v>46045</v>
      </c>
      <c r="J77" s="2">
        <v>46055</v>
      </c>
      <c r="K77" s="1" t="s">
        <v>29</v>
      </c>
    </row>
    <row r="78" spans="1:11" ht="15.75" customHeight="1" x14ac:dyDescent="0.3">
      <c r="A78" s="1">
        <v>1077</v>
      </c>
      <c r="B78" s="1" t="s">
        <v>55</v>
      </c>
      <c r="C78" s="1" t="s">
        <v>25</v>
      </c>
      <c r="D78" s="1" t="s">
        <v>13</v>
      </c>
      <c r="E78" s="1" t="s">
        <v>14</v>
      </c>
      <c r="F78" s="1">
        <v>1</v>
      </c>
      <c r="G78" s="1">
        <v>123</v>
      </c>
      <c r="H78" s="1">
        <v>10</v>
      </c>
      <c r="I78" s="2">
        <v>46113</v>
      </c>
      <c r="J78" s="2">
        <v>46121</v>
      </c>
      <c r="K78" s="1" t="s">
        <v>51</v>
      </c>
    </row>
    <row r="79" spans="1:11" ht="15.75" customHeight="1" x14ac:dyDescent="0.3">
      <c r="A79" s="1">
        <v>1078</v>
      </c>
      <c r="B79" s="1" t="s">
        <v>52</v>
      </c>
      <c r="C79" s="1" t="s">
        <v>17</v>
      </c>
      <c r="D79" s="1" t="s">
        <v>34</v>
      </c>
      <c r="E79" s="1" t="s">
        <v>39</v>
      </c>
      <c r="F79" s="1">
        <v>11</v>
      </c>
      <c r="G79" s="1">
        <v>24278</v>
      </c>
      <c r="H79" s="1">
        <v>12</v>
      </c>
      <c r="I79" s="2">
        <v>46084</v>
      </c>
      <c r="J79" s="2">
        <v>46090</v>
      </c>
      <c r="K79" s="1" t="s">
        <v>29</v>
      </c>
    </row>
    <row r="80" spans="1:11" ht="15.75" customHeight="1" x14ac:dyDescent="0.3">
      <c r="A80" s="1">
        <v>1079</v>
      </c>
      <c r="B80" s="1" t="s">
        <v>26</v>
      </c>
      <c r="C80" s="1" t="s">
        <v>38</v>
      </c>
      <c r="D80" s="1" t="s">
        <v>34</v>
      </c>
      <c r="E80" s="1" t="s">
        <v>41</v>
      </c>
      <c r="F80" s="1">
        <v>19</v>
      </c>
      <c r="G80" s="1">
        <v>48956</v>
      </c>
      <c r="H80" s="1">
        <v>12</v>
      </c>
      <c r="I80" s="2">
        <v>46170</v>
      </c>
      <c r="J80" s="2">
        <v>46177</v>
      </c>
      <c r="K80" s="1" t="s">
        <v>51</v>
      </c>
    </row>
    <row r="81" spans="1:11" ht="15.75" customHeight="1" x14ac:dyDescent="0.3">
      <c r="A81" s="1">
        <v>1080</v>
      </c>
      <c r="B81" s="1" t="s">
        <v>21</v>
      </c>
      <c r="C81" s="1" t="s">
        <v>22</v>
      </c>
      <c r="D81" s="1" t="s">
        <v>34</v>
      </c>
      <c r="E81" s="1" t="s">
        <v>41</v>
      </c>
      <c r="F81" s="1">
        <v>12</v>
      </c>
      <c r="G81" s="1">
        <v>54161</v>
      </c>
      <c r="H81" s="1">
        <v>15</v>
      </c>
      <c r="I81" s="2">
        <v>46133</v>
      </c>
      <c r="J81" s="2">
        <v>46143</v>
      </c>
      <c r="K81" s="1" t="s">
        <v>24</v>
      </c>
    </row>
    <row r="82" spans="1:11" ht="15.75" customHeight="1" x14ac:dyDescent="0.3">
      <c r="A82" s="1">
        <v>1081</v>
      </c>
      <c r="B82" s="1" t="s">
        <v>47</v>
      </c>
      <c r="C82" s="1" t="s">
        <v>12</v>
      </c>
      <c r="D82" s="1" t="s">
        <v>34</v>
      </c>
      <c r="E82" s="1" t="s">
        <v>35</v>
      </c>
      <c r="F82" s="1">
        <v>15</v>
      </c>
      <c r="G82" s="1">
        <v>59912</v>
      </c>
      <c r="H82" s="1">
        <v>7</v>
      </c>
      <c r="I82" s="2">
        <v>46058</v>
      </c>
      <c r="J82" s="2">
        <v>46060</v>
      </c>
      <c r="K82" s="1" t="s">
        <v>51</v>
      </c>
    </row>
    <row r="83" spans="1:11" ht="15.75" customHeight="1" x14ac:dyDescent="0.3">
      <c r="A83" s="1">
        <v>1082</v>
      </c>
      <c r="B83" s="1" t="s">
        <v>21</v>
      </c>
      <c r="C83" s="1" t="s">
        <v>12</v>
      </c>
      <c r="D83" s="1" t="s">
        <v>13</v>
      </c>
      <c r="E83" s="1" t="s">
        <v>14</v>
      </c>
      <c r="F83" s="1">
        <v>7</v>
      </c>
      <c r="G83" s="1">
        <v>133</v>
      </c>
      <c r="H83" s="1">
        <v>10</v>
      </c>
      <c r="I83" s="2">
        <v>46075</v>
      </c>
      <c r="J83" s="2">
        <v>46085</v>
      </c>
      <c r="K83" s="1" t="s">
        <v>51</v>
      </c>
    </row>
    <row r="84" spans="1:11" ht="15.75" customHeight="1" x14ac:dyDescent="0.3">
      <c r="A84" s="1">
        <v>1083</v>
      </c>
      <c r="B84" s="1" t="s">
        <v>55</v>
      </c>
      <c r="C84" s="1" t="s">
        <v>33</v>
      </c>
      <c r="D84" s="1" t="s">
        <v>13</v>
      </c>
      <c r="E84" s="1" t="s">
        <v>53</v>
      </c>
      <c r="F84" s="1">
        <v>4</v>
      </c>
      <c r="G84" s="1">
        <v>397</v>
      </c>
      <c r="H84" s="1">
        <v>7</v>
      </c>
      <c r="I84" s="2">
        <v>46185</v>
      </c>
      <c r="J84" s="2">
        <v>46193</v>
      </c>
      <c r="K84" s="1" t="s">
        <v>15</v>
      </c>
    </row>
    <row r="85" spans="1:11" ht="15.75" customHeight="1" x14ac:dyDescent="0.3">
      <c r="A85" s="1">
        <v>1084</v>
      </c>
      <c r="B85" s="1" t="s">
        <v>49</v>
      </c>
      <c r="C85" s="1" t="s">
        <v>31</v>
      </c>
      <c r="D85" s="1" t="s">
        <v>18</v>
      </c>
      <c r="E85" s="1" t="s">
        <v>28</v>
      </c>
      <c r="F85" s="1">
        <v>4</v>
      </c>
      <c r="G85" s="1">
        <v>6901</v>
      </c>
      <c r="H85" s="1">
        <v>10</v>
      </c>
      <c r="I85" s="2">
        <v>46047</v>
      </c>
      <c r="J85" s="2">
        <v>46057</v>
      </c>
      <c r="K85" s="1" t="s">
        <v>20</v>
      </c>
    </row>
    <row r="86" spans="1:11" ht="15.75" customHeight="1" x14ac:dyDescent="0.3">
      <c r="A86" s="1">
        <v>1085</v>
      </c>
      <c r="B86" s="1" t="s">
        <v>32</v>
      </c>
      <c r="C86" s="1" t="s">
        <v>38</v>
      </c>
      <c r="D86" s="1" t="s">
        <v>34</v>
      </c>
      <c r="E86" s="1" t="s">
        <v>60</v>
      </c>
      <c r="F86" s="1">
        <v>19</v>
      </c>
      <c r="G86" s="1">
        <v>45307</v>
      </c>
      <c r="H86" s="1">
        <v>12</v>
      </c>
      <c r="I86" s="2">
        <v>46146</v>
      </c>
      <c r="J86" s="2">
        <v>46150</v>
      </c>
      <c r="K86" s="1" t="s">
        <v>24</v>
      </c>
    </row>
    <row r="87" spans="1:11" ht="15.75" customHeight="1" x14ac:dyDescent="0.3">
      <c r="A87" s="1">
        <v>1086</v>
      </c>
      <c r="B87" s="1" t="s">
        <v>32</v>
      </c>
      <c r="C87" s="1" t="s">
        <v>12</v>
      </c>
      <c r="D87" s="1" t="s">
        <v>13</v>
      </c>
      <c r="E87" s="1" t="s">
        <v>53</v>
      </c>
      <c r="F87" s="1">
        <v>15</v>
      </c>
      <c r="G87" s="1">
        <v>40</v>
      </c>
      <c r="H87" s="1">
        <v>10</v>
      </c>
      <c r="I87" s="2">
        <v>46045</v>
      </c>
      <c r="J87" s="2">
        <v>46049</v>
      </c>
      <c r="K87" s="1" t="s">
        <v>24</v>
      </c>
    </row>
    <row r="88" spans="1:11" ht="15.75" customHeight="1" x14ac:dyDescent="0.3">
      <c r="A88" s="1">
        <v>1087</v>
      </c>
      <c r="B88" s="1" t="s">
        <v>11</v>
      </c>
      <c r="C88" s="1" t="s">
        <v>31</v>
      </c>
      <c r="D88" s="1" t="s">
        <v>13</v>
      </c>
      <c r="E88" s="1" t="s">
        <v>37</v>
      </c>
      <c r="F88" s="1">
        <v>13</v>
      </c>
      <c r="G88" s="1">
        <v>387</v>
      </c>
      <c r="H88" s="1">
        <v>7</v>
      </c>
      <c r="I88" s="2">
        <v>46171</v>
      </c>
      <c r="J88" s="2">
        <v>46176</v>
      </c>
      <c r="K88" s="1" t="s">
        <v>24</v>
      </c>
    </row>
    <row r="89" spans="1:11" ht="15.75" customHeight="1" x14ac:dyDescent="0.3">
      <c r="A89" s="1">
        <v>1088</v>
      </c>
      <c r="B89" s="1" t="s">
        <v>40</v>
      </c>
      <c r="C89" s="1" t="s">
        <v>33</v>
      </c>
      <c r="D89" s="1" t="s">
        <v>34</v>
      </c>
      <c r="E89" s="1" t="s">
        <v>41</v>
      </c>
      <c r="F89" s="1">
        <v>20</v>
      </c>
      <c r="G89" s="1">
        <v>41165</v>
      </c>
      <c r="H89" s="1">
        <v>0</v>
      </c>
      <c r="I89" s="2">
        <v>46068</v>
      </c>
      <c r="J89" s="2">
        <v>46069</v>
      </c>
      <c r="K89" s="1" t="s">
        <v>20</v>
      </c>
    </row>
    <row r="90" spans="1:11" ht="15.75" customHeight="1" x14ac:dyDescent="0.3">
      <c r="A90" s="1">
        <v>1089</v>
      </c>
      <c r="B90" s="1" t="s">
        <v>46</v>
      </c>
      <c r="C90" s="1" t="s">
        <v>12</v>
      </c>
      <c r="D90" s="1" t="s">
        <v>34</v>
      </c>
      <c r="E90" s="1" t="s">
        <v>35</v>
      </c>
      <c r="F90" s="1">
        <v>10</v>
      </c>
      <c r="G90" s="1">
        <v>17041</v>
      </c>
      <c r="H90" s="1">
        <v>2</v>
      </c>
      <c r="I90" s="2">
        <v>46066</v>
      </c>
      <c r="J90" s="2">
        <v>46071</v>
      </c>
      <c r="K90" s="1" t="s">
        <v>24</v>
      </c>
    </row>
    <row r="91" spans="1:11" ht="15.75" customHeight="1" x14ac:dyDescent="0.3">
      <c r="A91" s="1">
        <v>1090</v>
      </c>
      <c r="B91" s="1" t="s">
        <v>49</v>
      </c>
      <c r="C91" s="1" t="s">
        <v>31</v>
      </c>
      <c r="D91" s="1" t="s">
        <v>34</v>
      </c>
      <c r="E91" s="1" t="s">
        <v>45</v>
      </c>
      <c r="F91" s="1">
        <v>19</v>
      </c>
      <c r="G91" s="1">
        <v>66139</v>
      </c>
      <c r="H91" s="1">
        <v>5</v>
      </c>
      <c r="I91" s="2">
        <v>46088</v>
      </c>
      <c r="J91" s="2">
        <v>46095</v>
      </c>
      <c r="K91" s="1" t="s">
        <v>24</v>
      </c>
    </row>
    <row r="92" spans="1:11" ht="15.75" customHeight="1" x14ac:dyDescent="0.3">
      <c r="A92" s="1">
        <v>1091</v>
      </c>
      <c r="B92" s="1" t="s">
        <v>55</v>
      </c>
      <c r="C92" s="1" t="s">
        <v>17</v>
      </c>
      <c r="D92" s="1" t="s">
        <v>13</v>
      </c>
      <c r="E92" s="1" t="s">
        <v>53</v>
      </c>
      <c r="F92" s="1">
        <v>2</v>
      </c>
      <c r="G92" s="1">
        <v>305</v>
      </c>
      <c r="H92" s="1">
        <v>0</v>
      </c>
      <c r="I92" s="2">
        <v>46136</v>
      </c>
      <c r="J92" s="2">
        <v>46144</v>
      </c>
      <c r="K92" s="1" t="s">
        <v>15</v>
      </c>
    </row>
    <row r="93" spans="1:11" ht="15.75" customHeight="1" x14ac:dyDescent="0.3">
      <c r="A93" s="1">
        <v>1092</v>
      </c>
      <c r="B93" s="1" t="s">
        <v>21</v>
      </c>
      <c r="C93" s="1" t="s">
        <v>22</v>
      </c>
      <c r="D93" s="1" t="s">
        <v>34</v>
      </c>
      <c r="E93" s="1" t="s">
        <v>41</v>
      </c>
      <c r="F93" s="1">
        <v>9</v>
      </c>
      <c r="G93" s="1">
        <v>23438</v>
      </c>
      <c r="H93" s="1">
        <v>2</v>
      </c>
      <c r="I93" s="2">
        <v>46049</v>
      </c>
      <c r="J93" s="2">
        <v>46055</v>
      </c>
      <c r="K93" s="1" t="s">
        <v>29</v>
      </c>
    </row>
    <row r="94" spans="1:11" ht="15.75" customHeight="1" x14ac:dyDescent="0.3">
      <c r="A94" s="1">
        <v>1093</v>
      </c>
      <c r="B94" s="1" t="s">
        <v>47</v>
      </c>
      <c r="C94" s="1" t="s">
        <v>25</v>
      </c>
      <c r="D94" s="1" t="s">
        <v>18</v>
      </c>
      <c r="E94" s="1" t="s">
        <v>23</v>
      </c>
      <c r="F94" s="1">
        <v>6</v>
      </c>
      <c r="G94" s="1">
        <v>8224</v>
      </c>
      <c r="H94" s="1">
        <v>15</v>
      </c>
      <c r="I94" s="2">
        <v>46175</v>
      </c>
      <c r="J94" s="2">
        <v>46185</v>
      </c>
      <c r="K94" s="1" t="s">
        <v>51</v>
      </c>
    </row>
    <row r="95" spans="1:11" ht="15.75" customHeight="1" x14ac:dyDescent="0.3">
      <c r="A95" s="1">
        <v>1094</v>
      </c>
      <c r="B95" s="1" t="s">
        <v>47</v>
      </c>
      <c r="C95" s="1" t="s">
        <v>43</v>
      </c>
      <c r="D95" s="1" t="s">
        <v>34</v>
      </c>
      <c r="E95" s="1" t="s">
        <v>61</v>
      </c>
      <c r="F95" s="1">
        <v>4</v>
      </c>
      <c r="G95" s="1">
        <v>7073</v>
      </c>
      <c r="H95" s="1">
        <v>0</v>
      </c>
      <c r="I95" s="2">
        <v>46101</v>
      </c>
      <c r="J95" s="2">
        <v>46105</v>
      </c>
      <c r="K95" s="1" t="s">
        <v>29</v>
      </c>
    </row>
    <row r="96" spans="1:11" ht="15.75" customHeight="1" x14ac:dyDescent="0.3">
      <c r="A96" s="1">
        <v>1095</v>
      </c>
      <c r="B96" s="1" t="s">
        <v>47</v>
      </c>
      <c r="C96" s="1" t="s">
        <v>25</v>
      </c>
      <c r="D96" s="1" t="s">
        <v>34</v>
      </c>
      <c r="E96" s="1" t="s">
        <v>41</v>
      </c>
      <c r="F96" s="1">
        <v>18</v>
      </c>
      <c r="G96" s="1">
        <v>587</v>
      </c>
      <c r="H96" s="1">
        <v>2</v>
      </c>
      <c r="I96" s="2">
        <v>46167</v>
      </c>
      <c r="J96" s="2">
        <v>46171</v>
      </c>
      <c r="K96" s="1" t="s">
        <v>20</v>
      </c>
    </row>
    <row r="97" spans="1:11" ht="15.75" customHeight="1" x14ac:dyDescent="0.3">
      <c r="A97" s="1">
        <v>1096</v>
      </c>
      <c r="B97" s="1" t="s">
        <v>49</v>
      </c>
      <c r="C97" s="1" t="s">
        <v>17</v>
      </c>
      <c r="D97" s="1" t="s">
        <v>18</v>
      </c>
      <c r="E97" s="1" t="s">
        <v>23</v>
      </c>
      <c r="F97" s="1">
        <v>15</v>
      </c>
      <c r="G97" s="1">
        <v>14724</v>
      </c>
      <c r="H97" s="1">
        <v>15</v>
      </c>
      <c r="I97" s="2">
        <v>46054</v>
      </c>
      <c r="J97" s="2">
        <v>46061</v>
      </c>
      <c r="K97" s="1" t="s">
        <v>20</v>
      </c>
    </row>
    <row r="98" spans="1:11" ht="15.75" customHeight="1" x14ac:dyDescent="0.3">
      <c r="A98" s="1">
        <v>1097</v>
      </c>
      <c r="B98" s="1" t="s">
        <v>52</v>
      </c>
      <c r="C98" s="1" t="s">
        <v>22</v>
      </c>
      <c r="D98" s="1" t="s">
        <v>34</v>
      </c>
      <c r="E98" s="1" t="s">
        <v>61</v>
      </c>
      <c r="F98" s="1">
        <v>10</v>
      </c>
      <c r="G98" s="1">
        <v>28980</v>
      </c>
      <c r="H98" s="1">
        <v>10</v>
      </c>
      <c r="I98" s="2">
        <v>46089</v>
      </c>
      <c r="J98" s="2">
        <v>46094</v>
      </c>
      <c r="K98" s="1" t="s">
        <v>24</v>
      </c>
    </row>
    <row r="99" spans="1:11" ht="15.75" customHeight="1" x14ac:dyDescent="0.3">
      <c r="A99" s="1">
        <v>1098</v>
      </c>
      <c r="B99" s="1" t="s">
        <v>26</v>
      </c>
      <c r="C99" s="1" t="s">
        <v>25</v>
      </c>
      <c r="D99" s="1" t="s">
        <v>13</v>
      </c>
      <c r="E99" s="1" t="s">
        <v>53</v>
      </c>
      <c r="F99" s="1">
        <v>17</v>
      </c>
      <c r="G99" s="1">
        <v>345</v>
      </c>
      <c r="H99" s="1">
        <v>2</v>
      </c>
      <c r="I99" s="2">
        <v>46126</v>
      </c>
      <c r="J99" s="2">
        <v>46127</v>
      </c>
      <c r="K99" s="1" t="s">
        <v>51</v>
      </c>
    </row>
    <row r="100" spans="1:11" ht="15.75" customHeight="1" x14ac:dyDescent="0.3">
      <c r="A100" s="1">
        <v>1099</v>
      </c>
      <c r="B100" s="1" t="s">
        <v>26</v>
      </c>
      <c r="C100" s="1" t="s">
        <v>31</v>
      </c>
      <c r="D100" s="1" t="s">
        <v>18</v>
      </c>
      <c r="E100" s="1" t="s">
        <v>19</v>
      </c>
      <c r="F100" s="1">
        <v>1</v>
      </c>
      <c r="G100" s="1">
        <v>5165</v>
      </c>
      <c r="H100" s="1">
        <v>2</v>
      </c>
      <c r="I100" s="2">
        <v>46058</v>
      </c>
      <c r="J100" s="2">
        <v>46060</v>
      </c>
      <c r="K100" s="1" t="s">
        <v>15</v>
      </c>
    </row>
    <row r="101" spans="1:11" ht="15.75" customHeight="1" x14ac:dyDescent="0.3">
      <c r="A101" s="1">
        <v>1100</v>
      </c>
      <c r="B101" s="1" t="s">
        <v>11</v>
      </c>
      <c r="C101" s="1" t="s">
        <v>31</v>
      </c>
      <c r="D101" s="1" t="s">
        <v>13</v>
      </c>
      <c r="E101" s="1" t="s">
        <v>14</v>
      </c>
      <c r="F101" s="1">
        <v>11</v>
      </c>
      <c r="G101" s="1">
        <v>296</v>
      </c>
      <c r="H101" s="1">
        <v>10</v>
      </c>
      <c r="I101" s="2">
        <v>46027</v>
      </c>
      <c r="J101" s="2">
        <v>46031</v>
      </c>
      <c r="K101" s="1" t="s">
        <v>51</v>
      </c>
    </row>
    <row r="102" spans="1:11" ht="15.75" customHeight="1" x14ac:dyDescent="0.3">
      <c r="A102" s="1">
        <v>1101</v>
      </c>
      <c r="B102" s="1" t="s">
        <v>27</v>
      </c>
      <c r="C102" s="1" t="s">
        <v>22</v>
      </c>
      <c r="D102" s="1" t="s">
        <v>34</v>
      </c>
      <c r="E102" s="1" t="s">
        <v>61</v>
      </c>
      <c r="F102" s="1">
        <v>9</v>
      </c>
      <c r="G102" s="1">
        <v>37361</v>
      </c>
      <c r="H102" s="1">
        <v>10</v>
      </c>
      <c r="I102" s="2">
        <v>46141</v>
      </c>
      <c r="J102" s="2">
        <v>46142</v>
      </c>
      <c r="K102" s="1" t="s">
        <v>24</v>
      </c>
    </row>
    <row r="103" spans="1:11" ht="15.75" customHeight="1" x14ac:dyDescent="0.3">
      <c r="A103" s="1">
        <v>1102</v>
      </c>
      <c r="B103" s="1" t="s">
        <v>54</v>
      </c>
      <c r="C103" s="1" t="s">
        <v>25</v>
      </c>
      <c r="D103" s="1" t="s">
        <v>34</v>
      </c>
      <c r="E103" s="1" t="s">
        <v>45</v>
      </c>
      <c r="F103" s="1">
        <v>12</v>
      </c>
      <c r="G103" s="1">
        <v>63402</v>
      </c>
      <c r="H103" s="1">
        <v>7</v>
      </c>
      <c r="I103" s="2">
        <v>46106</v>
      </c>
      <c r="J103" s="2">
        <v>46113</v>
      </c>
      <c r="K103" s="1" t="s">
        <v>51</v>
      </c>
    </row>
    <row r="104" spans="1:11" ht="15.75" customHeight="1" x14ac:dyDescent="0.3">
      <c r="A104" s="1">
        <v>1103</v>
      </c>
      <c r="B104" s="1" t="s">
        <v>16</v>
      </c>
      <c r="C104" s="1" t="s">
        <v>12</v>
      </c>
      <c r="D104" s="1" t="s">
        <v>18</v>
      </c>
      <c r="E104" s="1" t="s">
        <v>23</v>
      </c>
      <c r="F104" s="1">
        <v>7</v>
      </c>
      <c r="G104" s="1">
        <v>11925</v>
      </c>
      <c r="H104" s="1">
        <v>5</v>
      </c>
      <c r="I104" s="2">
        <v>46040</v>
      </c>
      <c r="J104" s="2">
        <v>46041</v>
      </c>
      <c r="K104" s="1" t="s">
        <v>29</v>
      </c>
    </row>
    <row r="105" spans="1:11" ht="15.75" customHeight="1" x14ac:dyDescent="0.3">
      <c r="A105" s="1">
        <v>1104</v>
      </c>
      <c r="B105" s="1" t="s">
        <v>16</v>
      </c>
      <c r="C105" s="1" t="s">
        <v>43</v>
      </c>
      <c r="D105" s="1" t="s">
        <v>18</v>
      </c>
      <c r="E105" s="1" t="s">
        <v>19</v>
      </c>
      <c r="F105" s="1">
        <v>10</v>
      </c>
      <c r="G105" s="1">
        <v>12848</v>
      </c>
      <c r="H105" s="1">
        <v>15</v>
      </c>
      <c r="I105" s="2">
        <v>46060</v>
      </c>
      <c r="J105" s="2">
        <v>46064</v>
      </c>
      <c r="K105" s="1" t="s">
        <v>29</v>
      </c>
    </row>
    <row r="106" spans="1:11" ht="15.75" customHeight="1" x14ac:dyDescent="0.3">
      <c r="A106" s="1">
        <v>1105</v>
      </c>
      <c r="B106" s="1" t="s">
        <v>59</v>
      </c>
      <c r="C106" s="1" t="s">
        <v>25</v>
      </c>
      <c r="D106" s="1" t="s">
        <v>13</v>
      </c>
      <c r="E106" s="1" t="s">
        <v>50</v>
      </c>
      <c r="F106" s="1">
        <v>2</v>
      </c>
      <c r="G106" s="1">
        <v>493</v>
      </c>
      <c r="H106" s="1">
        <v>12</v>
      </c>
      <c r="I106" s="2">
        <v>46057</v>
      </c>
      <c r="J106" s="2">
        <v>46066</v>
      </c>
      <c r="K106" s="1" t="s">
        <v>51</v>
      </c>
    </row>
    <row r="107" spans="1:11" ht="15.75" customHeight="1" x14ac:dyDescent="0.3">
      <c r="A107" s="1">
        <v>1106</v>
      </c>
      <c r="B107" s="1" t="s">
        <v>27</v>
      </c>
      <c r="C107" s="1" t="s">
        <v>43</v>
      </c>
      <c r="D107" s="1" t="s">
        <v>18</v>
      </c>
      <c r="E107" s="1" t="s">
        <v>23</v>
      </c>
      <c r="F107" s="1">
        <v>20</v>
      </c>
      <c r="G107" s="1">
        <v>2141</v>
      </c>
      <c r="H107" s="1">
        <v>2</v>
      </c>
      <c r="I107" s="2">
        <v>46091</v>
      </c>
      <c r="J107" s="2">
        <v>46097</v>
      </c>
      <c r="K107" s="1" t="s">
        <v>29</v>
      </c>
    </row>
    <row r="108" spans="1:11" ht="15.75" customHeight="1" x14ac:dyDescent="0.3">
      <c r="A108" s="1">
        <v>1107</v>
      </c>
      <c r="B108" s="1" t="s">
        <v>52</v>
      </c>
      <c r="C108" s="1" t="s">
        <v>17</v>
      </c>
      <c r="D108" s="1" t="s">
        <v>34</v>
      </c>
      <c r="E108" s="1" t="s">
        <v>60</v>
      </c>
      <c r="F108" s="1">
        <v>4</v>
      </c>
      <c r="G108" s="1">
        <v>14291</v>
      </c>
      <c r="H108" s="1">
        <v>2</v>
      </c>
      <c r="I108" s="2">
        <v>46076</v>
      </c>
      <c r="J108" s="2">
        <v>46078</v>
      </c>
      <c r="K108" s="1" t="s">
        <v>15</v>
      </c>
    </row>
    <row r="109" spans="1:11" ht="15.75" customHeight="1" x14ac:dyDescent="0.3">
      <c r="A109" s="1">
        <v>1108</v>
      </c>
      <c r="B109" s="1" t="s">
        <v>42</v>
      </c>
      <c r="C109" s="1" t="s">
        <v>33</v>
      </c>
      <c r="D109" s="1" t="s">
        <v>18</v>
      </c>
      <c r="E109" s="1" t="s">
        <v>28</v>
      </c>
      <c r="F109" s="1">
        <v>15</v>
      </c>
      <c r="G109" s="1">
        <v>13843</v>
      </c>
      <c r="H109" s="1">
        <v>7</v>
      </c>
      <c r="I109" s="2">
        <v>46119</v>
      </c>
      <c r="J109" s="2">
        <v>46127</v>
      </c>
      <c r="K109" s="1" t="s">
        <v>20</v>
      </c>
    </row>
    <row r="110" spans="1:11" ht="15.75" customHeight="1" x14ac:dyDescent="0.3">
      <c r="A110" s="1">
        <v>1109</v>
      </c>
      <c r="B110" s="1" t="s">
        <v>21</v>
      </c>
      <c r="C110" s="1" t="s">
        <v>31</v>
      </c>
      <c r="D110" s="1" t="s">
        <v>18</v>
      </c>
      <c r="E110" s="1" t="s">
        <v>44</v>
      </c>
      <c r="F110" s="1">
        <v>19</v>
      </c>
      <c r="G110" s="1">
        <v>6512</v>
      </c>
      <c r="H110" s="1">
        <v>10</v>
      </c>
      <c r="I110" s="2">
        <v>46033</v>
      </c>
      <c r="J110" s="2">
        <v>46037</v>
      </c>
      <c r="K110" s="1" t="s">
        <v>20</v>
      </c>
    </row>
    <row r="111" spans="1:11" ht="15.75" customHeight="1" x14ac:dyDescent="0.3">
      <c r="A111" s="1">
        <v>1110</v>
      </c>
      <c r="B111" s="1" t="s">
        <v>49</v>
      </c>
      <c r="C111" s="1" t="s">
        <v>38</v>
      </c>
      <c r="D111" s="1" t="s">
        <v>18</v>
      </c>
      <c r="E111" s="1" t="s">
        <v>23</v>
      </c>
      <c r="F111" s="1">
        <v>14</v>
      </c>
      <c r="G111" s="1">
        <v>6793</v>
      </c>
      <c r="H111" s="1">
        <v>7</v>
      </c>
      <c r="I111" s="2">
        <v>46077</v>
      </c>
      <c r="J111" s="2">
        <v>46082</v>
      </c>
      <c r="K111" s="1" t="s">
        <v>29</v>
      </c>
    </row>
    <row r="112" spans="1:11" ht="15.75" customHeight="1" x14ac:dyDescent="0.3">
      <c r="A112" s="1">
        <v>1111</v>
      </c>
      <c r="B112" s="1" t="s">
        <v>47</v>
      </c>
      <c r="C112" s="1" t="s">
        <v>17</v>
      </c>
      <c r="D112" s="1" t="s">
        <v>34</v>
      </c>
      <c r="E112" s="1" t="s">
        <v>35</v>
      </c>
      <c r="F112" s="1">
        <v>5</v>
      </c>
      <c r="G112" s="1">
        <v>49945</v>
      </c>
      <c r="H112" s="1">
        <v>12</v>
      </c>
      <c r="I112" s="2">
        <v>46133</v>
      </c>
      <c r="J112" s="2">
        <v>46141</v>
      </c>
      <c r="K112" s="1" t="s">
        <v>29</v>
      </c>
    </row>
    <row r="113" spans="1:11" ht="15.75" customHeight="1" x14ac:dyDescent="0.3">
      <c r="A113" s="1">
        <v>1112</v>
      </c>
      <c r="B113" s="1" t="s">
        <v>21</v>
      </c>
      <c r="C113" s="1" t="s">
        <v>43</v>
      </c>
      <c r="D113" s="1" t="s">
        <v>18</v>
      </c>
      <c r="E113" s="1" t="s">
        <v>44</v>
      </c>
      <c r="F113" s="1">
        <v>7</v>
      </c>
      <c r="G113" s="1">
        <v>1959</v>
      </c>
      <c r="H113" s="1">
        <v>15</v>
      </c>
      <c r="I113" s="2">
        <v>46090</v>
      </c>
      <c r="J113" s="2">
        <v>46100</v>
      </c>
      <c r="K113" s="1" t="s">
        <v>15</v>
      </c>
    </row>
    <row r="114" spans="1:11" ht="15.75" customHeight="1" x14ac:dyDescent="0.3">
      <c r="A114" s="1">
        <v>1113</v>
      </c>
      <c r="B114" s="1" t="s">
        <v>26</v>
      </c>
      <c r="C114" s="1" t="s">
        <v>43</v>
      </c>
      <c r="D114" s="1" t="s">
        <v>18</v>
      </c>
      <c r="E114" s="1" t="s">
        <v>56</v>
      </c>
      <c r="F114" s="1">
        <v>13</v>
      </c>
      <c r="G114" s="1">
        <v>6719</v>
      </c>
      <c r="H114" s="1">
        <v>15</v>
      </c>
      <c r="I114" s="2">
        <v>46076</v>
      </c>
      <c r="J114" s="2">
        <v>46081</v>
      </c>
      <c r="K114" s="1" t="s">
        <v>24</v>
      </c>
    </row>
    <row r="115" spans="1:11" ht="15.75" customHeight="1" x14ac:dyDescent="0.3">
      <c r="A115" s="1">
        <v>1114</v>
      </c>
      <c r="B115" s="1" t="s">
        <v>16</v>
      </c>
      <c r="C115" s="1" t="s">
        <v>25</v>
      </c>
      <c r="D115" s="1" t="s">
        <v>13</v>
      </c>
      <c r="E115" s="1" t="s">
        <v>50</v>
      </c>
      <c r="F115" s="1">
        <v>13</v>
      </c>
      <c r="G115" s="1">
        <v>32</v>
      </c>
      <c r="H115" s="1">
        <v>15</v>
      </c>
      <c r="I115" s="2">
        <v>46066</v>
      </c>
      <c r="J115" s="2">
        <v>46069</v>
      </c>
      <c r="K115" s="1" t="s">
        <v>15</v>
      </c>
    </row>
    <row r="116" spans="1:11" ht="15.75" customHeight="1" x14ac:dyDescent="0.3">
      <c r="A116" s="1">
        <v>1115</v>
      </c>
      <c r="B116" s="1" t="s">
        <v>59</v>
      </c>
      <c r="C116" s="1" t="s">
        <v>43</v>
      </c>
      <c r="D116" s="1" t="s">
        <v>13</v>
      </c>
      <c r="E116" s="1" t="s">
        <v>50</v>
      </c>
      <c r="F116" s="1">
        <v>9</v>
      </c>
      <c r="G116" s="1">
        <v>303</v>
      </c>
      <c r="H116" s="1">
        <v>10</v>
      </c>
      <c r="I116" s="2">
        <v>46149</v>
      </c>
      <c r="J116" s="2">
        <v>46157</v>
      </c>
      <c r="K116" s="1" t="s">
        <v>29</v>
      </c>
    </row>
    <row r="117" spans="1:11" ht="15.75" customHeight="1" x14ac:dyDescent="0.3">
      <c r="A117" s="1">
        <v>1116</v>
      </c>
      <c r="B117" s="1" t="s">
        <v>16</v>
      </c>
      <c r="C117" s="1" t="s">
        <v>25</v>
      </c>
      <c r="D117" s="1" t="s">
        <v>18</v>
      </c>
      <c r="E117" s="1" t="s">
        <v>56</v>
      </c>
      <c r="F117" s="1">
        <v>2</v>
      </c>
      <c r="G117" s="1">
        <v>12692</v>
      </c>
      <c r="H117" s="1">
        <v>15</v>
      </c>
      <c r="I117" s="2">
        <v>46049</v>
      </c>
      <c r="J117" s="2">
        <v>46051</v>
      </c>
      <c r="K117" s="1" t="s">
        <v>15</v>
      </c>
    </row>
    <row r="118" spans="1:11" ht="15.75" customHeight="1" x14ac:dyDescent="0.3">
      <c r="A118" s="1">
        <v>1117</v>
      </c>
      <c r="B118" s="1" t="s">
        <v>55</v>
      </c>
      <c r="C118" s="1" t="s">
        <v>43</v>
      </c>
      <c r="D118" s="1" t="s">
        <v>34</v>
      </c>
      <c r="E118" s="1" t="s">
        <v>39</v>
      </c>
      <c r="F118" s="1">
        <v>16</v>
      </c>
      <c r="G118" s="1">
        <v>33162</v>
      </c>
      <c r="H118" s="1">
        <v>7</v>
      </c>
      <c r="I118" s="2">
        <v>46147</v>
      </c>
      <c r="J118" s="2">
        <v>46155</v>
      </c>
      <c r="K118" s="1" t="s">
        <v>29</v>
      </c>
    </row>
    <row r="119" spans="1:11" ht="15.75" customHeight="1" x14ac:dyDescent="0.3">
      <c r="A119" s="1">
        <v>1118</v>
      </c>
      <c r="B119" s="1" t="s">
        <v>21</v>
      </c>
      <c r="C119" s="1" t="s">
        <v>22</v>
      </c>
      <c r="D119" s="1" t="s">
        <v>18</v>
      </c>
      <c r="E119" s="1" t="s">
        <v>23</v>
      </c>
      <c r="F119" s="1">
        <v>18</v>
      </c>
      <c r="G119" s="1">
        <v>9118</v>
      </c>
      <c r="H119" s="1">
        <v>5</v>
      </c>
      <c r="I119" s="2">
        <v>46178</v>
      </c>
      <c r="J119" s="2">
        <v>46187</v>
      </c>
      <c r="K119" s="1" t="s">
        <v>29</v>
      </c>
    </row>
    <row r="120" spans="1:11" ht="15.75" customHeight="1" x14ac:dyDescent="0.3">
      <c r="A120" s="1">
        <v>1119</v>
      </c>
      <c r="B120" s="1" t="s">
        <v>30</v>
      </c>
      <c r="C120" s="1" t="s">
        <v>43</v>
      </c>
      <c r="D120" s="1" t="s">
        <v>18</v>
      </c>
      <c r="E120" s="1" t="s">
        <v>28</v>
      </c>
      <c r="F120" s="1">
        <v>2</v>
      </c>
      <c r="G120" s="1">
        <v>3706</v>
      </c>
      <c r="H120" s="1">
        <v>5</v>
      </c>
      <c r="I120" s="2">
        <v>46184</v>
      </c>
      <c r="J120" s="2">
        <v>46192</v>
      </c>
      <c r="K120" s="1" t="s">
        <v>51</v>
      </c>
    </row>
    <row r="121" spans="1:11" ht="15.75" customHeight="1" x14ac:dyDescent="0.3">
      <c r="A121" s="1">
        <v>1120</v>
      </c>
      <c r="B121" s="1" t="s">
        <v>32</v>
      </c>
      <c r="C121" s="1" t="s">
        <v>38</v>
      </c>
      <c r="D121" s="1" t="s">
        <v>13</v>
      </c>
      <c r="E121" s="1" t="s">
        <v>36</v>
      </c>
      <c r="F121" s="1">
        <v>10</v>
      </c>
      <c r="G121" s="1">
        <v>438</v>
      </c>
      <c r="H121" s="1">
        <v>10</v>
      </c>
      <c r="I121" s="2">
        <v>46061</v>
      </c>
      <c r="J121" s="2">
        <v>46065</v>
      </c>
      <c r="K121" s="1" t="s">
        <v>51</v>
      </c>
    </row>
    <row r="122" spans="1:11" ht="15.75" customHeight="1" x14ac:dyDescent="0.3">
      <c r="A122" s="1">
        <v>1121</v>
      </c>
      <c r="B122" s="1" t="s">
        <v>29</v>
      </c>
      <c r="C122" s="1" t="s">
        <v>12</v>
      </c>
      <c r="D122" s="1" t="s">
        <v>34</v>
      </c>
      <c r="E122" s="1" t="s">
        <v>39</v>
      </c>
      <c r="F122" s="1">
        <v>4</v>
      </c>
      <c r="G122" s="1">
        <v>55809</v>
      </c>
      <c r="H122" s="1">
        <v>2</v>
      </c>
      <c r="I122" s="2">
        <v>46103</v>
      </c>
      <c r="J122" s="2">
        <v>46108</v>
      </c>
      <c r="K122" s="1" t="s">
        <v>29</v>
      </c>
    </row>
    <row r="123" spans="1:11" ht="15.75" customHeight="1" x14ac:dyDescent="0.3">
      <c r="A123" s="1">
        <v>1122</v>
      </c>
      <c r="B123" s="1" t="s">
        <v>40</v>
      </c>
      <c r="C123" s="1" t="s">
        <v>22</v>
      </c>
      <c r="D123" s="1" t="s">
        <v>34</v>
      </c>
      <c r="E123" s="1" t="s">
        <v>39</v>
      </c>
      <c r="F123" s="1">
        <v>14</v>
      </c>
      <c r="G123" s="1">
        <v>49990</v>
      </c>
      <c r="H123" s="1">
        <v>10</v>
      </c>
      <c r="I123" s="2">
        <v>46132</v>
      </c>
      <c r="J123" s="2">
        <v>46135</v>
      </c>
      <c r="K123" s="1" t="s">
        <v>29</v>
      </c>
    </row>
    <row r="124" spans="1:11" ht="15.75" customHeight="1" x14ac:dyDescent="0.3">
      <c r="A124" s="1">
        <v>1123</v>
      </c>
      <c r="B124" s="1" t="s">
        <v>32</v>
      </c>
      <c r="C124" s="1" t="s">
        <v>31</v>
      </c>
      <c r="D124" s="1" t="s">
        <v>34</v>
      </c>
      <c r="E124" s="1" t="s">
        <v>45</v>
      </c>
      <c r="F124" s="1">
        <v>16</v>
      </c>
      <c r="G124" s="1">
        <v>1332</v>
      </c>
      <c r="H124" s="1">
        <v>7</v>
      </c>
      <c r="I124" s="2">
        <v>46107</v>
      </c>
      <c r="J124" s="2">
        <v>46109</v>
      </c>
      <c r="K124" s="1" t="s">
        <v>29</v>
      </c>
    </row>
    <row r="125" spans="1:11" ht="15.75" customHeight="1" x14ac:dyDescent="0.3">
      <c r="A125" s="1">
        <v>1124</v>
      </c>
      <c r="B125" s="1" t="s">
        <v>27</v>
      </c>
      <c r="C125" s="1" t="s">
        <v>38</v>
      </c>
      <c r="D125" s="1" t="s">
        <v>18</v>
      </c>
      <c r="E125" s="1" t="s">
        <v>56</v>
      </c>
      <c r="F125" s="1">
        <v>4</v>
      </c>
      <c r="G125" s="1">
        <v>14195</v>
      </c>
      <c r="H125" s="1">
        <v>15</v>
      </c>
      <c r="I125" s="2">
        <v>46182</v>
      </c>
      <c r="J125" s="2">
        <v>46189</v>
      </c>
      <c r="K125" s="1" t="s">
        <v>51</v>
      </c>
    </row>
    <row r="126" spans="1:11" ht="15.75" customHeight="1" x14ac:dyDescent="0.3">
      <c r="A126" s="1">
        <v>1125</v>
      </c>
      <c r="B126" s="1" t="s">
        <v>49</v>
      </c>
      <c r="C126" s="1" t="s">
        <v>33</v>
      </c>
      <c r="D126" s="1" t="s">
        <v>13</v>
      </c>
      <c r="E126" s="1" t="s">
        <v>14</v>
      </c>
      <c r="F126" s="1">
        <v>6</v>
      </c>
      <c r="G126" s="1">
        <v>30</v>
      </c>
      <c r="H126" s="1">
        <v>2</v>
      </c>
      <c r="I126" s="2">
        <v>46133</v>
      </c>
      <c r="J126" s="2">
        <v>46138</v>
      </c>
      <c r="K126" s="1" t="s">
        <v>24</v>
      </c>
    </row>
    <row r="127" spans="1:11" ht="15.75" customHeight="1" x14ac:dyDescent="0.3">
      <c r="A127" s="1">
        <v>1126</v>
      </c>
      <c r="B127" s="1" t="s">
        <v>46</v>
      </c>
      <c r="C127" s="1" t="s">
        <v>22</v>
      </c>
      <c r="D127" s="1" t="s">
        <v>34</v>
      </c>
      <c r="E127" s="1" t="s">
        <v>39</v>
      </c>
      <c r="F127" s="1">
        <v>17</v>
      </c>
      <c r="G127" s="1">
        <v>19390</v>
      </c>
      <c r="H127" s="1">
        <v>12</v>
      </c>
      <c r="I127" s="2">
        <v>46201</v>
      </c>
      <c r="J127" s="2">
        <v>46206</v>
      </c>
      <c r="K127" s="1" t="s">
        <v>29</v>
      </c>
    </row>
    <row r="128" spans="1:11" ht="15.75" customHeight="1" x14ac:dyDescent="0.3">
      <c r="A128" s="1">
        <v>1127</v>
      </c>
      <c r="B128" s="1" t="s">
        <v>26</v>
      </c>
      <c r="C128" s="1" t="s">
        <v>33</v>
      </c>
      <c r="D128" s="1" t="s">
        <v>18</v>
      </c>
      <c r="E128" s="1" t="s">
        <v>28</v>
      </c>
      <c r="F128" s="1">
        <v>15</v>
      </c>
      <c r="G128" s="1">
        <v>11694</v>
      </c>
      <c r="H128" s="1">
        <v>12</v>
      </c>
      <c r="I128" s="2">
        <v>46170</v>
      </c>
      <c r="J128" s="2">
        <v>46179</v>
      </c>
      <c r="K128" s="1" t="s">
        <v>29</v>
      </c>
    </row>
    <row r="129" spans="1:11" ht="15.75" customHeight="1" x14ac:dyDescent="0.3">
      <c r="A129" s="1">
        <v>1128</v>
      </c>
      <c r="B129" s="1" t="s">
        <v>30</v>
      </c>
      <c r="C129" s="1" t="s">
        <v>22</v>
      </c>
      <c r="D129" s="1" t="s">
        <v>34</v>
      </c>
      <c r="E129" s="1" t="s">
        <v>61</v>
      </c>
      <c r="F129" s="1">
        <v>6</v>
      </c>
      <c r="G129" s="1">
        <v>5001</v>
      </c>
      <c r="H129" s="1">
        <v>7</v>
      </c>
      <c r="I129" s="2">
        <v>46044</v>
      </c>
      <c r="J129" s="2">
        <v>46050</v>
      </c>
      <c r="K129" s="1" t="s">
        <v>29</v>
      </c>
    </row>
    <row r="130" spans="1:11" ht="15.75" customHeight="1" x14ac:dyDescent="0.3">
      <c r="A130" s="1">
        <v>1129</v>
      </c>
      <c r="B130" s="1" t="s">
        <v>58</v>
      </c>
      <c r="C130" s="1" t="s">
        <v>17</v>
      </c>
      <c r="D130" s="1" t="s">
        <v>13</v>
      </c>
      <c r="E130" s="1" t="s">
        <v>50</v>
      </c>
      <c r="F130" s="1">
        <v>15</v>
      </c>
      <c r="G130" s="1">
        <v>75</v>
      </c>
      <c r="H130" s="1">
        <v>7</v>
      </c>
      <c r="I130" s="2">
        <v>46160</v>
      </c>
      <c r="J130" s="2">
        <v>46164</v>
      </c>
      <c r="K130" s="1" t="s">
        <v>29</v>
      </c>
    </row>
    <row r="131" spans="1:11" ht="15.75" customHeight="1" x14ac:dyDescent="0.3">
      <c r="A131" s="1">
        <v>1130</v>
      </c>
      <c r="B131" s="1" t="s">
        <v>48</v>
      </c>
      <c r="C131" s="1" t="s">
        <v>33</v>
      </c>
      <c r="D131" s="1" t="s">
        <v>13</v>
      </c>
      <c r="E131" s="1" t="s">
        <v>14</v>
      </c>
      <c r="F131" s="1">
        <v>12</v>
      </c>
      <c r="G131" s="1">
        <v>50</v>
      </c>
      <c r="H131" s="1">
        <v>2</v>
      </c>
      <c r="I131" s="2">
        <v>46125</v>
      </c>
      <c r="J131" s="2">
        <v>46131</v>
      </c>
      <c r="K131" s="1" t="s">
        <v>24</v>
      </c>
    </row>
    <row r="132" spans="1:11" ht="15.75" customHeight="1" x14ac:dyDescent="0.3">
      <c r="A132" s="1">
        <v>1131</v>
      </c>
      <c r="B132" s="1" t="s">
        <v>21</v>
      </c>
      <c r="C132" s="1" t="s">
        <v>31</v>
      </c>
      <c r="D132" s="1" t="s">
        <v>18</v>
      </c>
      <c r="E132" s="1" t="s">
        <v>23</v>
      </c>
      <c r="F132" s="1">
        <v>13</v>
      </c>
      <c r="G132" s="1">
        <v>3083</v>
      </c>
      <c r="H132" s="1">
        <v>7</v>
      </c>
      <c r="I132" s="2">
        <v>46168</v>
      </c>
      <c r="J132" s="2">
        <v>46173</v>
      </c>
      <c r="K132" s="1" t="s">
        <v>51</v>
      </c>
    </row>
    <row r="133" spans="1:11" ht="15.75" customHeight="1" x14ac:dyDescent="0.3">
      <c r="A133" s="1">
        <v>1132</v>
      </c>
      <c r="B133" s="1" t="s">
        <v>11</v>
      </c>
      <c r="C133" s="1" t="s">
        <v>31</v>
      </c>
      <c r="D133" s="1" t="s">
        <v>13</v>
      </c>
      <c r="E133" s="1" t="s">
        <v>50</v>
      </c>
      <c r="F133" s="1">
        <v>10</v>
      </c>
      <c r="G133" s="1">
        <v>270</v>
      </c>
      <c r="H133" s="1">
        <v>7</v>
      </c>
      <c r="I133" s="2">
        <v>46024</v>
      </c>
      <c r="J133" s="2">
        <v>46034</v>
      </c>
      <c r="K133" s="1" t="s">
        <v>24</v>
      </c>
    </row>
    <row r="134" spans="1:11" ht="15.75" customHeight="1" x14ac:dyDescent="0.3">
      <c r="A134" s="1">
        <v>1133</v>
      </c>
      <c r="B134" s="1" t="s">
        <v>11</v>
      </c>
      <c r="C134" s="1" t="s">
        <v>12</v>
      </c>
      <c r="D134" s="1" t="s">
        <v>18</v>
      </c>
      <c r="E134" s="1" t="s">
        <v>56</v>
      </c>
      <c r="F134" s="1">
        <v>6</v>
      </c>
      <c r="G134" s="1">
        <v>9037</v>
      </c>
      <c r="H134" s="1">
        <v>2</v>
      </c>
      <c r="I134" s="2">
        <v>46112</v>
      </c>
      <c r="J134" s="2">
        <v>46121</v>
      </c>
      <c r="K134" s="1" t="s">
        <v>51</v>
      </c>
    </row>
    <row r="135" spans="1:11" ht="15.75" customHeight="1" x14ac:dyDescent="0.3">
      <c r="A135" s="1">
        <v>1134</v>
      </c>
      <c r="B135" s="1" t="s">
        <v>57</v>
      </c>
      <c r="C135" s="1" t="s">
        <v>31</v>
      </c>
      <c r="D135" s="1" t="s">
        <v>34</v>
      </c>
      <c r="E135" s="1" t="s">
        <v>61</v>
      </c>
      <c r="F135" s="1">
        <v>10</v>
      </c>
      <c r="G135" s="1">
        <v>29217</v>
      </c>
      <c r="H135" s="1">
        <v>15</v>
      </c>
      <c r="I135" s="2">
        <v>46148</v>
      </c>
      <c r="J135" s="2">
        <v>46150</v>
      </c>
      <c r="K135" s="1" t="s">
        <v>24</v>
      </c>
    </row>
    <row r="136" spans="1:11" ht="15.75" customHeight="1" x14ac:dyDescent="0.3">
      <c r="A136" s="1">
        <v>1135</v>
      </c>
      <c r="B136" s="1" t="s">
        <v>49</v>
      </c>
      <c r="C136" s="1" t="s">
        <v>43</v>
      </c>
      <c r="D136" s="1" t="s">
        <v>34</v>
      </c>
      <c r="E136" s="1" t="s">
        <v>39</v>
      </c>
      <c r="F136" s="1">
        <v>14</v>
      </c>
      <c r="G136" s="1">
        <v>68534</v>
      </c>
      <c r="H136" s="1">
        <v>0</v>
      </c>
      <c r="I136" s="2">
        <v>46041</v>
      </c>
      <c r="J136" s="2">
        <v>46042</v>
      </c>
      <c r="K136" s="1" t="s">
        <v>15</v>
      </c>
    </row>
    <row r="137" spans="1:11" ht="15.75" customHeight="1" x14ac:dyDescent="0.3">
      <c r="A137" s="1">
        <v>1136</v>
      </c>
      <c r="B137" s="1" t="s">
        <v>27</v>
      </c>
      <c r="C137" s="1" t="s">
        <v>43</v>
      </c>
      <c r="D137" s="1" t="s">
        <v>18</v>
      </c>
      <c r="E137" s="1" t="s">
        <v>56</v>
      </c>
      <c r="F137" s="1">
        <v>19</v>
      </c>
      <c r="G137" s="1">
        <v>14528</v>
      </c>
      <c r="H137" s="1">
        <v>12</v>
      </c>
      <c r="I137" s="2">
        <v>46056</v>
      </c>
      <c r="J137" s="2">
        <v>46062</v>
      </c>
      <c r="K137" s="1" t="s">
        <v>24</v>
      </c>
    </row>
    <row r="138" spans="1:11" ht="15.75" customHeight="1" x14ac:dyDescent="0.3">
      <c r="A138" s="1">
        <v>1137</v>
      </c>
      <c r="B138" s="1" t="s">
        <v>52</v>
      </c>
      <c r="C138" s="1" t="s">
        <v>12</v>
      </c>
      <c r="D138" s="1" t="s">
        <v>13</v>
      </c>
      <c r="E138" s="1" t="s">
        <v>37</v>
      </c>
      <c r="F138" s="1">
        <v>16</v>
      </c>
      <c r="G138" s="1">
        <v>270</v>
      </c>
      <c r="H138" s="1">
        <v>10</v>
      </c>
      <c r="I138" s="2">
        <v>46184</v>
      </c>
      <c r="J138" s="2">
        <v>46190</v>
      </c>
      <c r="K138" s="1" t="s">
        <v>29</v>
      </c>
    </row>
    <row r="139" spans="1:11" ht="15.75" customHeight="1" x14ac:dyDescent="0.3">
      <c r="A139" s="1">
        <v>1138</v>
      </c>
      <c r="B139" s="1" t="s">
        <v>55</v>
      </c>
      <c r="C139" s="1" t="s">
        <v>43</v>
      </c>
      <c r="D139" s="1" t="s">
        <v>18</v>
      </c>
      <c r="E139" s="1" t="s">
        <v>19</v>
      </c>
      <c r="F139" s="1">
        <v>5</v>
      </c>
      <c r="G139" s="1">
        <v>14466</v>
      </c>
      <c r="H139" s="1">
        <v>2</v>
      </c>
      <c r="I139" s="2">
        <v>46084</v>
      </c>
      <c r="J139" s="2">
        <v>46092</v>
      </c>
      <c r="K139" s="1" t="s">
        <v>51</v>
      </c>
    </row>
    <row r="140" spans="1:11" ht="15.75" customHeight="1" x14ac:dyDescent="0.3">
      <c r="A140" s="1">
        <v>1139</v>
      </c>
      <c r="B140" s="1" t="s">
        <v>55</v>
      </c>
      <c r="C140" s="1" t="s">
        <v>33</v>
      </c>
      <c r="D140" s="1" t="s">
        <v>34</v>
      </c>
      <c r="E140" s="1" t="s">
        <v>61</v>
      </c>
      <c r="F140" s="1">
        <v>17</v>
      </c>
      <c r="G140" s="1">
        <v>28839</v>
      </c>
      <c r="H140" s="1">
        <v>10</v>
      </c>
      <c r="I140" s="2">
        <v>46093</v>
      </c>
      <c r="J140" s="2">
        <v>46099</v>
      </c>
      <c r="K140" s="1" t="s">
        <v>15</v>
      </c>
    </row>
    <row r="141" spans="1:11" ht="15.75" customHeight="1" x14ac:dyDescent="0.3">
      <c r="A141" s="1">
        <v>1140</v>
      </c>
      <c r="B141" s="1" t="s">
        <v>57</v>
      </c>
      <c r="C141" s="1" t="s">
        <v>38</v>
      </c>
      <c r="D141" s="1" t="s">
        <v>34</v>
      </c>
      <c r="E141" s="1" t="s">
        <v>41</v>
      </c>
      <c r="F141" s="1">
        <v>5</v>
      </c>
      <c r="G141" s="1">
        <v>68012</v>
      </c>
      <c r="H141" s="1">
        <v>5</v>
      </c>
      <c r="I141" s="2">
        <v>46061</v>
      </c>
      <c r="J141" s="2">
        <v>46065</v>
      </c>
      <c r="K141" s="1" t="s">
        <v>15</v>
      </c>
    </row>
    <row r="142" spans="1:11" ht="15.75" customHeight="1" x14ac:dyDescent="0.3">
      <c r="A142" s="1">
        <v>1141</v>
      </c>
      <c r="B142" s="1" t="s">
        <v>11</v>
      </c>
      <c r="C142" s="1" t="s">
        <v>17</v>
      </c>
      <c r="D142" s="1" t="s">
        <v>18</v>
      </c>
      <c r="E142" s="1" t="s">
        <v>44</v>
      </c>
      <c r="F142" s="1">
        <v>20</v>
      </c>
      <c r="G142" s="1">
        <v>6835</v>
      </c>
      <c r="H142" s="1">
        <v>2</v>
      </c>
      <c r="I142" s="2">
        <v>46043</v>
      </c>
      <c r="J142" s="2">
        <v>46053</v>
      </c>
      <c r="K142" s="1" t="s">
        <v>15</v>
      </c>
    </row>
    <row r="143" spans="1:11" ht="15.75" customHeight="1" x14ac:dyDescent="0.3">
      <c r="A143" s="1">
        <v>1142</v>
      </c>
      <c r="B143" s="1" t="s">
        <v>40</v>
      </c>
      <c r="C143" s="1" t="s">
        <v>25</v>
      </c>
      <c r="D143" s="1" t="s">
        <v>34</v>
      </c>
      <c r="E143" s="1" t="s">
        <v>60</v>
      </c>
      <c r="F143" s="1">
        <v>9</v>
      </c>
      <c r="G143" s="1">
        <v>59788</v>
      </c>
      <c r="H143" s="1">
        <v>7</v>
      </c>
      <c r="I143" s="2">
        <v>46064</v>
      </c>
      <c r="J143" s="2">
        <v>46071</v>
      </c>
      <c r="K143" s="1" t="s">
        <v>29</v>
      </c>
    </row>
    <row r="144" spans="1:11" ht="15.75" customHeight="1" x14ac:dyDescent="0.3">
      <c r="A144" s="1">
        <v>1143</v>
      </c>
      <c r="B144" s="1" t="s">
        <v>29</v>
      </c>
      <c r="C144" s="1" t="s">
        <v>17</v>
      </c>
      <c r="D144" s="1" t="s">
        <v>13</v>
      </c>
      <c r="E144" s="1" t="s">
        <v>37</v>
      </c>
      <c r="F144" s="1">
        <v>13</v>
      </c>
      <c r="G144" s="1">
        <v>456</v>
      </c>
      <c r="H144" s="1">
        <v>2</v>
      </c>
      <c r="I144" s="2">
        <v>46160</v>
      </c>
      <c r="J144" s="2">
        <v>46167</v>
      </c>
      <c r="K144" s="1" t="s">
        <v>24</v>
      </c>
    </row>
    <row r="145" spans="1:11" ht="15.75" customHeight="1" x14ac:dyDescent="0.3">
      <c r="A145" s="1">
        <v>1144</v>
      </c>
      <c r="B145" s="1" t="s">
        <v>42</v>
      </c>
      <c r="C145" s="1" t="s">
        <v>25</v>
      </c>
      <c r="D145" s="1" t="s">
        <v>13</v>
      </c>
      <c r="E145" s="1" t="s">
        <v>14</v>
      </c>
      <c r="F145" s="1">
        <v>16</v>
      </c>
      <c r="G145" s="1">
        <v>219</v>
      </c>
      <c r="H145" s="1">
        <v>7</v>
      </c>
      <c r="I145" s="2">
        <v>46138</v>
      </c>
      <c r="J145" s="2">
        <v>46140</v>
      </c>
      <c r="K145" s="1" t="s">
        <v>20</v>
      </c>
    </row>
    <row r="146" spans="1:11" ht="15.75" customHeight="1" x14ac:dyDescent="0.3">
      <c r="A146" s="1">
        <v>1145</v>
      </c>
      <c r="B146" s="1" t="s">
        <v>42</v>
      </c>
      <c r="C146" s="1" t="s">
        <v>33</v>
      </c>
      <c r="D146" s="1" t="s">
        <v>34</v>
      </c>
      <c r="E146" s="1" t="s">
        <v>39</v>
      </c>
      <c r="F146" s="1">
        <v>2</v>
      </c>
      <c r="G146" s="1">
        <v>34429</v>
      </c>
      <c r="H146" s="1">
        <v>12</v>
      </c>
      <c r="I146" s="2">
        <v>46102</v>
      </c>
      <c r="J146" s="2">
        <v>46112</v>
      </c>
      <c r="K146" s="1" t="s">
        <v>24</v>
      </c>
    </row>
    <row r="147" spans="1:11" ht="15.75" customHeight="1" x14ac:dyDescent="0.3">
      <c r="A147" s="1">
        <v>1146</v>
      </c>
      <c r="B147" s="1" t="s">
        <v>16</v>
      </c>
      <c r="C147" s="1" t="s">
        <v>43</v>
      </c>
      <c r="D147" s="1" t="s">
        <v>34</v>
      </c>
      <c r="E147" s="1" t="s">
        <v>45</v>
      </c>
      <c r="F147" s="1">
        <v>7</v>
      </c>
      <c r="G147" s="1">
        <v>68217</v>
      </c>
      <c r="H147" s="1">
        <v>0</v>
      </c>
      <c r="I147" s="2">
        <v>46190</v>
      </c>
      <c r="J147" s="2">
        <v>46197</v>
      </c>
      <c r="K147" s="1" t="s">
        <v>29</v>
      </c>
    </row>
    <row r="148" spans="1:11" ht="15.75" customHeight="1" x14ac:dyDescent="0.3">
      <c r="A148" s="1">
        <v>1147</v>
      </c>
      <c r="B148" s="1" t="s">
        <v>11</v>
      </c>
      <c r="C148" s="1" t="s">
        <v>22</v>
      </c>
      <c r="D148" s="1" t="s">
        <v>18</v>
      </c>
      <c r="E148" s="1" t="s">
        <v>28</v>
      </c>
      <c r="F148" s="1">
        <v>7</v>
      </c>
      <c r="G148" s="1">
        <v>9581</v>
      </c>
      <c r="H148" s="1">
        <v>5</v>
      </c>
      <c r="I148" s="2">
        <v>46154</v>
      </c>
      <c r="J148" s="2">
        <v>46155</v>
      </c>
      <c r="K148" s="1" t="s">
        <v>20</v>
      </c>
    </row>
    <row r="149" spans="1:11" ht="15.75" customHeight="1" x14ac:dyDescent="0.3">
      <c r="A149" s="1">
        <v>1148</v>
      </c>
      <c r="B149" s="1" t="s">
        <v>59</v>
      </c>
      <c r="C149" s="1" t="s">
        <v>33</v>
      </c>
      <c r="D149" s="1" t="s">
        <v>18</v>
      </c>
      <c r="E149" s="1" t="s">
        <v>28</v>
      </c>
      <c r="F149" s="1">
        <v>11</v>
      </c>
      <c r="G149" s="1">
        <v>3023</v>
      </c>
      <c r="H149" s="1">
        <v>7</v>
      </c>
      <c r="I149" s="2">
        <v>46030</v>
      </c>
      <c r="J149" s="2">
        <v>46032</v>
      </c>
      <c r="K149" s="1" t="s">
        <v>24</v>
      </c>
    </row>
    <row r="150" spans="1:11" ht="15.75" customHeight="1" x14ac:dyDescent="0.3">
      <c r="A150" s="1">
        <v>1149</v>
      </c>
      <c r="B150" s="1" t="s">
        <v>26</v>
      </c>
      <c r="C150" s="1" t="s">
        <v>38</v>
      </c>
      <c r="D150" s="1" t="s">
        <v>34</v>
      </c>
      <c r="E150" s="1" t="s">
        <v>35</v>
      </c>
      <c r="F150" s="1">
        <v>10</v>
      </c>
      <c r="G150" s="1">
        <v>22853</v>
      </c>
      <c r="H150" s="1">
        <v>7</v>
      </c>
      <c r="I150" s="2">
        <v>46053</v>
      </c>
      <c r="J150" s="2">
        <v>46054</v>
      </c>
      <c r="K150" s="1" t="s">
        <v>29</v>
      </c>
    </row>
    <row r="151" spans="1:11" ht="15.75" customHeight="1" x14ac:dyDescent="0.3">
      <c r="A151" s="1">
        <v>1150</v>
      </c>
      <c r="B151" s="1" t="s">
        <v>42</v>
      </c>
      <c r="C151" s="1" t="s">
        <v>12</v>
      </c>
      <c r="D151" s="1" t="s">
        <v>18</v>
      </c>
      <c r="E151" s="1" t="s">
        <v>56</v>
      </c>
      <c r="F151" s="1">
        <v>10</v>
      </c>
      <c r="G151" s="1">
        <v>5323</v>
      </c>
      <c r="H151" s="1">
        <v>7</v>
      </c>
      <c r="I151" s="2">
        <v>46143</v>
      </c>
      <c r="J151" s="2">
        <v>46153</v>
      </c>
      <c r="K151" s="1" t="s">
        <v>24</v>
      </c>
    </row>
    <row r="152" spans="1:11" ht="15.75" customHeight="1" x14ac:dyDescent="0.3">
      <c r="A152" s="1">
        <v>1151</v>
      </c>
      <c r="B152" s="1" t="s">
        <v>46</v>
      </c>
      <c r="C152" s="1" t="s">
        <v>43</v>
      </c>
      <c r="D152" s="1" t="s">
        <v>13</v>
      </c>
      <c r="E152" s="1" t="s">
        <v>50</v>
      </c>
      <c r="F152" s="1">
        <v>20</v>
      </c>
      <c r="G152" s="1">
        <v>272</v>
      </c>
      <c r="H152" s="1">
        <v>15</v>
      </c>
      <c r="I152" s="2">
        <v>46024</v>
      </c>
      <c r="J152" s="2">
        <v>46029</v>
      </c>
      <c r="K152" s="1" t="s">
        <v>51</v>
      </c>
    </row>
    <row r="153" spans="1:11" ht="15.75" customHeight="1" x14ac:dyDescent="0.3">
      <c r="A153" s="1">
        <v>1152</v>
      </c>
      <c r="B153" s="1" t="s">
        <v>27</v>
      </c>
      <c r="C153" s="1" t="s">
        <v>31</v>
      </c>
      <c r="D153" s="1" t="s">
        <v>34</v>
      </c>
      <c r="E153" s="1" t="s">
        <v>61</v>
      </c>
      <c r="F153" s="1">
        <v>14</v>
      </c>
      <c r="G153" s="1">
        <v>8150</v>
      </c>
      <c r="H153" s="1">
        <v>10</v>
      </c>
      <c r="I153" s="2">
        <v>46062</v>
      </c>
      <c r="J153" s="2">
        <v>46070</v>
      </c>
      <c r="K153" s="1" t="s">
        <v>15</v>
      </c>
    </row>
    <row r="154" spans="1:11" ht="15.75" customHeight="1" x14ac:dyDescent="0.3">
      <c r="A154" s="1">
        <v>1153</v>
      </c>
      <c r="B154" s="1" t="s">
        <v>42</v>
      </c>
      <c r="C154" s="1" t="s">
        <v>25</v>
      </c>
      <c r="D154" s="1" t="s">
        <v>18</v>
      </c>
      <c r="E154" s="1" t="s">
        <v>23</v>
      </c>
      <c r="F154" s="1">
        <v>19</v>
      </c>
      <c r="G154" s="1">
        <v>10273</v>
      </c>
      <c r="H154" s="1">
        <v>12</v>
      </c>
      <c r="I154" s="2">
        <v>46069</v>
      </c>
      <c r="J154" s="2">
        <v>46072</v>
      </c>
      <c r="K154" s="1" t="s">
        <v>29</v>
      </c>
    </row>
    <row r="155" spans="1:11" ht="15.75" customHeight="1" x14ac:dyDescent="0.3">
      <c r="A155" s="1">
        <v>1154</v>
      </c>
      <c r="B155" s="1" t="s">
        <v>32</v>
      </c>
      <c r="C155" s="1" t="s">
        <v>17</v>
      </c>
      <c r="D155" s="1" t="s">
        <v>18</v>
      </c>
      <c r="E155" s="1" t="s">
        <v>56</v>
      </c>
      <c r="F155" s="1">
        <v>15</v>
      </c>
      <c r="G155" s="1">
        <v>6101</v>
      </c>
      <c r="H155" s="1">
        <v>0</v>
      </c>
      <c r="I155" s="2">
        <v>46178</v>
      </c>
      <c r="J155" s="2">
        <v>46183</v>
      </c>
      <c r="K155" s="1" t="s">
        <v>51</v>
      </c>
    </row>
    <row r="156" spans="1:11" ht="15.75" customHeight="1" x14ac:dyDescent="0.3">
      <c r="A156" s="1">
        <v>1155</v>
      </c>
      <c r="B156" s="1" t="s">
        <v>11</v>
      </c>
      <c r="C156" s="1" t="s">
        <v>31</v>
      </c>
      <c r="D156" s="1" t="s">
        <v>18</v>
      </c>
      <c r="E156" s="1" t="s">
        <v>28</v>
      </c>
      <c r="F156" s="1">
        <v>13</v>
      </c>
      <c r="G156" s="1">
        <v>4341</v>
      </c>
      <c r="H156" s="1">
        <v>15</v>
      </c>
      <c r="I156" s="2">
        <v>46093</v>
      </c>
      <c r="J156" s="2">
        <v>46096</v>
      </c>
      <c r="K156" s="1" t="s">
        <v>24</v>
      </c>
    </row>
    <row r="157" spans="1:11" ht="15.75" customHeight="1" x14ac:dyDescent="0.3">
      <c r="A157" s="1">
        <v>1156</v>
      </c>
      <c r="B157" s="1" t="s">
        <v>54</v>
      </c>
      <c r="C157" s="1" t="s">
        <v>38</v>
      </c>
      <c r="D157" s="1" t="s">
        <v>13</v>
      </c>
      <c r="E157" s="1" t="s">
        <v>36</v>
      </c>
      <c r="F157" s="1">
        <v>5</v>
      </c>
      <c r="G157" s="1">
        <v>466</v>
      </c>
      <c r="H157" s="1">
        <v>15</v>
      </c>
      <c r="I157" s="2">
        <v>46025</v>
      </c>
      <c r="J157" s="2">
        <v>46029</v>
      </c>
      <c r="K157" s="1" t="s">
        <v>15</v>
      </c>
    </row>
    <row r="158" spans="1:11" ht="15.75" customHeight="1" x14ac:dyDescent="0.3">
      <c r="A158" s="1">
        <v>1157</v>
      </c>
      <c r="B158" s="1" t="s">
        <v>52</v>
      </c>
      <c r="C158" s="1" t="s">
        <v>33</v>
      </c>
      <c r="D158" s="1" t="s">
        <v>13</v>
      </c>
      <c r="E158" s="1" t="s">
        <v>50</v>
      </c>
      <c r="F158" s="1">
        <v>3</v>
      </c>
      <c r="G158" s="1">
        <v>203</v>
      </c>
      <c r="H158" s="1">
        <v>15</v>
      </c>
      <c r="I158" s="2">
        <v>46076</v>
      </c>
      <c r="J158" s="2">
        <v>46080</v>
      </c>
      <c r="K158" s="1" t="s">
        <v>29</v>
      </c>
    </row>
    <row r="159" spans="1:11" ht="15.75" customHeight="1" x14ac:dyDescent="0.3">
      <c r="A159" s="1">
        <v>1158</v>
      </c>
      <c r="B159" s="1" t="s">
        <v>26</v>
      </c>
      <c r="C159" s="1" t="s">
        <v>38</v>
      </c>
      <c r="D159" s="1" t="s">
        <v>34</v>
      </c>
      <c r="E159" s="1" t="s">
        <v>41</v>
      </c>
      <c r="F159" s="1">
        <v>13</v>
      </c>
      <c r="G159" s="1">
        <v>12518</v>
      </c>
      <c r="H159" s="1">
        <v>2</v>
      </c>
      <c r="I159" s="2">
        <v>46079</v>
      </c>
      <c r="J159" s="2">
        <v>46082</v>
      </c>
      <c r="K159" s="1" t="s">
        <v>51</v>
      </c>
    </row>
    <row r="160" spans="1:11" ht="15.75" customHeight="1" x14ac:dyDescent="0.3">
      <c r="A160" s="1">
        <v>1159</v>
      </c>
      <c r="B160" s="1" t="s">
        <v>32</v>
      </c>
      <c r="C160" s="1" t="s">
        <v>43</v>
      </c>
      <c r="D160" s="1" t="s">
        <v>18</v>
      </c>
      <c r="E160" s="1" t="s">
        <v>28</v>
      </c>
      <c r="F160" s="1">
        <v>20</v>
      </c>
      <c r="G160" s="1">
        <v>14000</v>
      </c>
      <c r="H160" s="1">
        <v>15</v>
      </c>
      <c r="I160" s="2">
        <v>46184</v>
      </c>
      <c r="J160" s="2">
        <v>46187</v>
      </c>
      <c r="K160" s="1" t="s">
        <v>15</v>
      </c>
    </row>
    <row r="161" spans="1:11" ht="15.75" customHeight="1" x14ac:dyDescent="0.3">
      <c r="A161" s="1">
        <v>1160</v>
      </c>
      <c r="B161" s="1" t="s">
        <v>59</v>
      </c>
      <c r="C161" s="1" t="s">
        <v>22</v>
      </c>
      <c r="D161" s="1" t="s">
        <v>34</v>
      </c>
      <c r="E161" s="1" t="s">
        <v>39</v>
      </c>
      <c r="F161" s="1">
        <v>7</v>
      </c>
      <c r="G161" s="1">
        <v>53986</v>
      </c>
      <c r="H161" s="1">
        <v>10</v>
      </c>
      <c r="I161" s="2">
        <v>46142</v>
      </c>
      <c r="J161" s="2">
        <v>46147</v>
      </c>
      <c r="K161" s="1" t="s">
        <v>51</v>
      </c>
    </row>
    <row r="162" spans="1:11" ht="15.75" customHeight="1" x14ac:dyDescent="0.3">
      <c r="A162" s="1">
        <v>1161</v>
      </c>
      <c r="B162" s="1" t="s">
        <v>27</v>
      </c>
      <c r="C162" s="1" t="s">
        <v>25</v>
      </c>
      <c r="D162" s="1" t="s">
        <v>34</v>
      </c>
      <c r="E162" s="1" t="s">
        <v>39</v>
      </c>
      <c r="F162" s="1">
        <v>4</v>
      </c>
      <c r="G162" s="1">
        <v>54659</v>
      </c>
      <c r="H162" s="1">
        <v>7</v>
      </c>
      <c r="I162" s="2">
        <v>46105</v>
      </c>
      <c r="J162" s="2">
        <v>46109</v>
      </c>
      <c r="K162" s="1" t="s">
        <v>20</v>
      </c>
    </row>
    <row r="163" spans="1:11" ht="15.75" customHeight="1" x14ac:dyDescent="0.3">
      <c r="A163" s="1">
        <v>1162</v>
      </c>
      <c r="B163" s="1" t="s">
        <v>57</v>
      </c>
      <c r="C163" s="1" t="s">
        <v>31</v>
      </c>
      <c r="D163" s="1" t="s">
        <v>34</v>
      </c>
      <c r="E163" s="1" t="s">
        <v>45</v>
      </c>
      <c r="F163" s="1">
        <v>2</v>
      </c>
      <c r="G163" s="1">
        <v>28176</v>
      </c>
      <c r="H163" s="1">
        <v>10</v>
      </c>
      <c r="I163" s="2">
        <v>46100</v>
      </c>
      <c r="J163" s="2">
        <v>46101</v>
      </c>
      <c r="K163" s="1" t="s">
        <v>20</v>
      </c>
    </row>
    <row r="164" spans="1:11" ht="15.75" customHeight="1" x14ac:dyDescent="0.3">
      <c r="A164" s="1">
        <v>1163</v>
      </c>
      <c r="B164" s="1" t="s">
        <v>29</v>
      </c>
      <c r="C164" s="1" t="s">
        <v>38</v>
      </c>
      <c r="D164" s="1" t="s">
        <v>34</v>
      </c>
      <c r="E164" s="1" t="s">
        <v>39</v>
      </c>
      <c r="F164" s="1">
        <v>9</v>
      </c>
      <c r="G164" s="1">
        <v>62440</v>
      </c>
      <c r="H164" s="1">
        <v>2</v>
      </c>
      <c r="I164" s="2">
        <v>46081</v>
      </c>
      <c r="J164" s="2">
        <v>46086</v>
      </c>
      <c r="K164" s="1" t="s">
        <v>29</v>
      </c>
    </row>
    <row r="165" spans="1:11" ht="15.75" customHeight="1" x14ac:dyDescent="0.3">
      <c r="A165" s="1">
        <v>1164</v>
      </c>
      <c r="B165" s="1" t="s">
        <v>40</v>
      </c>
      <c r="C165" s="1" t="s">
        <v>43</v>
      </c>
      <c r="D165" s="1" t="s">
        <v>34</v>
      </c>
      <c r="E165" s="1" t="s">
        <v>61</v>
      </c>
      <c r="F165" s="1">
        <v>7</v>
      </c>
      <c r="G165" s="1">
        <v>24615</v>
      </c>
      <c r="H165" s="1">
        <v>12</v>
      </c>
      <c r="I165" s="2">
        <v>46196</v>
      </c>
      <c r="J165" s="2">
        <v>46203</v>
      </c>
      <c r="K165" s="1" t="s">
        <v>51</v>
      </c>
    </row>
    <row r="166" spans="1:11" ht="15.75" customHeight="1" x14ac:dyDescent="0.3">
      <c r="A166" s="1">
        <v>1165</v>
      </c>
      <c r="B166" s="1" t="s">
        <v>48</v>
      </c>
      <c r="C166" s="1" t="s">
        <v>25</v>
      </c>
      <c r="D166" s="1" t="s">
        <v>13</v>
      </c>
      <c r="E166" s="1" t="s">
        <v>37</v>
      </c>
      <c r="F166" s="1">
        <v>1</v>
      </c>
      <c r="G166" s="1">
        <v>427</v>
      </c>
      <c r="H166" s="1">
        <v>0</v>
      </c>
      <c r="I166" s="2">
        <v>46042</v>
      </c>
      <c r="J166" s="2">
        <v>46050</v>
      </c>
      <c r="K166" s="1" t="s">
        <v>51</v>
      </c>
    </row>
    <row r="167" spans="1:11" ht="15.75" customHeight="1" x14ac:dyDescent="0.3">
      <c r="A167" s="1">
        <v>1166</v>
      </c>
      <c r="B167" s="1" t="s">
        <v>32</v>
      </c>
      <c r="C167" s="1" t="s">
        <v>31</v>
      </c>
      <c r="D167" s="1" t="s">
        <v>13</v>
      </c>
      <c r="E167" s="1" t="s">
        <v>37</v>
      </c>
      <c r="F167" s="1">
        <v>1</v>
      </c>
      <c r="G167" s="1">
        <v>396</v>
      </c>
      <c r="H167" s="1">
        <v>5</v>
      </c>
      <c r="I167" s="2">
        <v>46092</v>
      </c>
      <c r="J167" s="2">
        <v>46093</v>
      </c>
      <c r="K167" s="1" t="s">
        <v>20</v>
      </c>
    </row>
    <row r="168" spans="1:11" ht="15.75" customHeight="1" x14ac:dyDescent="0.3">
      <c r="A168" s="1">
        <v>1167</v>
      </c>
      <c r="B168" s="1" t="s">
        <v>48</v>
      </c>
      <c r="C168" s="1" t="s">
        <v>17</v>
      </c>
      <c r="D168" s="1" t="s">
        <v>13</v>
      </c>
      <c r="E168" s="1" t="s">
        <v>37</v>
      </c>
      <c r="F168" s="1">
        <v>20</v>
      </c>
      <c r="G168" s="1">
        <v>251</v>
      </c>
      <c r="H168" s="1">
        <v>5</v>
      </c>
      <c r="I168" s="2">
        <v>46160</v>
      </c>
      <c r="J168" s="2">
        <v>46170</v>
      </c>
      <c r="K168" s="1" t="s">
        <v>29</v>
      </c>
    </row>
    <row r="169" spans="1:11" ht="15.75" customHeight="1" x14ac:dyDescent="0.3">
      <c r="A169" s="1">
        <v>1168</v>
      </c>
      <c r="B169" s="1" t="s">
        <v>54</v>
      </c>
      <c r="C169" s="1" t="s">
        <v>12</v>
      </c>
      <c r="D169" s="1" t="s">
        <v>13</v>
      </c>
      <c r="E169" s="1" t="s">
        <v>37</v>
      </c>
      <c r="F169" s="1">
        <v>18</v>
      </c>
      <c r="G169" s="1">
        <v>335</v>
      </c>
      <c r="H169" s="1">
        <v>15</v>
      </c>
      <c r="I169" s="2">
        <v>46130</v>
      </c>
      <c r="J169" s="2">
        <v>46140</v>
      </c>
      <c r="K169" s="1" t="s">
        <v>29</v>
      </c>
    </row>
    <row r="170" spans="1:11" ht="15.75" customHeight="1" x14ac:dyDescent="0.3">
      <c r="A170" s="1">
        <v>1169</v>
      </c>
      <c r="B170" s="1" t="s">
        <v>47</v>
      </c>
      <c r="C170" s="1" t="s">
        <v>12</v>
      </c>
      <c r="D170" s="1" t="s">
        <v>18</v>
      </c>
      <c r="E170" s="1" t="s">
        <v>56</v>
      </c>
      <c r="F170" s="1">
        <v>12</v>
      </c>
      <c r="G170" s="1">
        <v>12104</v>
      </c>
      <c r="H170" s="1">
        <v>7</v>
      </c>
      <c r="I170" s="2">
        <v>46121</v>
      </c>
      <c r="J170" s="2">
        <v>46130</v>
      </c>
      <c r="K170" s="1" t="s">
        <v>24</v>
      </c>
    </row>
    <row r="171" spans="1:11" ht="15.75" customHeight="1" x14ac:dyDescent="0.3">
      <c r="A171" s="1">
        <v>1170</v>
      </c>
      <c r="B171" s="1" t="s">
        <v>49</v>
      </c>
      <c r="C171" s="1" t="s">
        <v>38</v>
      </c>
      <c r="D171" s="1" t="s">
        <v>13</v>
      </c>
      <c r="E171" s="1" t="s">
        <v>14</v>
      </c>
      <c r="F171" s="1">
        <v>6</v>
      </c>
      <c r="G171" s="1">
        <v>339</v>
      </c>
      <c r="H171" s="1">
        <v>12</v>
      </c>
      <c r="I171" s="2">
        <v>46105</v>
      </c>
      <c r="J171" s="2">
        <v>46106</v>
      </c>
      <c r="K171" s="1" t="s">
        <v>24</v>
      </c>
    </row>
    <row r="172" spans="1:11" ht="15.75" customHeight="1" x14ac:dyDescent="0.3">
      <c r="A172" s="1">
        <v>1171</v>
      </c>
      <c r="B172" s="1" t="s">
        <v>57</v>
      </c>
      <c r="C172" s="1" t="s">
        <v>25</v>
      </c>
      <c r="D172" s="1" t="s">
        <v>13</v>
      </c>
      <c r="E172" s="1" t="s">
        <v>50</v>
      </c>
      <c r="F172" s="1">
        <v>17</v>
      </c>
      <c r="G172" s="1">
        <v>147</v>
      </c>
      <c r="H172" s="1">
        <v>12</v>
      </c>
      <c r="I172" s="2">
        <v>46155</v>
      </c>
      <c r="J172" s="2">
        <v>46160</v>
      </c>
      <c r="K172" s="1" t="s">
        <v>20</v>
      </c>
    </row>
    <row r="173" spans="1:11" ht="15.75" customHeight="1" x14ac:dyDescent="0.3">
      <c r="A173" s="1">
        <v>1172</v>
      </c>
      <c r="B173" s="1" t="s">
        <v>16</v>
      </c>
      <c r="C173" s="1" t="s">
        <v>12</v>
      </c>
      <c r="D173" s="1" t="s">
        <v>34</v>
      </c>
      <c r="E173" s="1" t="s">
        <v>45</v>
      </c>
      <c r="F173" s="1">
        <v>13</v>
      </c>
      <c r="G173" s="1">
        <v>43163</v>
      </c>
      <c r="H173" s="1">
        <v>12</v>
      </c>
      <c r="I173" s="2">
        <v>46120</v>
      </c>
      <c r="J173" s="2">
        <v>46129</v>
      </c>
      <c r="K173" s="1" t="s">
        <v>24</v>
      </c>
    </row>
    <row r="174" spans="1:11" ht="15.75" customHeight="1" x14ac:dyDescent="0.3">
      <c r="A174" s="1">
        <v>1173</v>
      </c>
      <c r="B174" s="1" t="s">
        <v>40</v>
      </c>
      <c r="C174" s="1" t="s">
        <v>17</v>
      </c>
      <c r="D174" s="1" t="s">
        <v>13</v>
      </c>
      <c r="E174" s="1" t="s">
        <v>37</v>
      </c>
      <c r="F174" s="1">
        <v>15</v>
      </c>
      <c r="G174" s="1">
        <v>214</v>
      </c>
      <c r="H174" s="1">
        <v>10</v>
      </c>
      <c r="I174" s="2">
        <v>46050</v>
      </c>
      <c r="J174" s="2">
        <v>46060</v>
      </c>
      <c r="K174" s="1" t="s">
        <v>51</v>
      </c>
    </row>
    <row r="175" spans="1:11" ht="15.75" customHeight="1" x14ac:dyDescent="0.3">
      <c r="A175" s="1">
        <v>1174</v>
      </c>
      <c r="B175" s="1" t="s">
        <v>58</v>
      </c>
      <c r="C175" s="1" t="s">
        <v>38</v>
      </c>
      <c r="D175" s="1" t="s">
        <v>13</v>
      </c>
      <c r="E175" s="1" t="s">
        <v>14</v>
      </c>
      <c r="F175" s="1">
        <v>13</v>
      </c>
      <c r="G175" s="1">
        <v>155</v>
      </c>
      <c r="H175" s="1">
        <v>2</v>
      </c>
      <c r="I175" s="2">
        <v>46066</v>
      </c>
      <c r="J175" s="2">
        <v>46069</v>
      </c>
      <c r="K175" s="1" t="s">
        <v>24</v>
      </c>
    </row>
    <row r="176" spans="1:11" ht="15.75" customHeight="1" x14ac:dyDescent="0.3">
      <c r="A176" s="1">
        <v>1175</v>
      </c>
      <c r="B176" s="1" t="s">
        <v>26</v>
      </c>
      <c r="C176" s="1" t="s">
        <v>17</v>
      </c>
      <c r="D176" s="1" t="s">
        <v>34</v>
      </c>
      <c r="E176" s="1" t="s">
        <v>41</v>
      </c>
      <c r="F176" s="1">
        <v>10</v>
      </c>
      <c r="G176" s="1">
        <v>20339</v>
      </c>
      <c r="H176" s="1">
        <v>2</v>
      </c>
      <c r="I176" s="2">
        <v>46088</v>
      </c>
      <c r="J176" s="2">
        <v>46094</v>
      </c>
      <c r="K176" s="1" t="s">
        <v>20</v>
      </c>
    </row>
    <row r="177" spans="1:11" ht="15.75" customHeight="1" x14ac:dyDescent="0.3">
      <c r="A177" s="1">
        <v>1176</v>
      </c>
      <c r="B177" s="1" t="s">
        <v>58</v>
      </c>
      <c r="C177" s="1" t="s">
        <v>38</v>
      </c>
      <c r="D177" s="1" t="s">
        <v>34</v>
      </c>
      <c r="E177" s="1" t="s">
        <v>41</v>
      </c>
      <c r="F177" s="1">
        <v>17</v>
      </c>
      <c r="G177" s="1">
        <v>46937</v>
      </c>
      <c r="H177" s="1">
        <v>12</v>
      </c>
      <c r="I177" s="2">
        <v>46048</v>
      </c>
      <c r="J177" s="2">
        <v>46056</v>
      </c>
      <c r="K177" s="1" t="s">
        <v>29</v>
      </c>
    </row>
    <row r="178" spans="1:11" ht="15.75" customHeight="1" x14ac:dyDescent="0.3">
      <c r="A178" s="1">
        <v>1177</v>
      </c>
      <c r="B178" s="1" t="s">
        <v>29</v>
      </c>
      <c r="C178" s="1" t="s">
        <v>22</v>
      </c>
      <c r="D178" s="1" t="s">
        <v>18</v>
      </c>
      <c r="E178" s="1" t="s">
        <v>19</v>
      </c>
      <c r="F178" s="1">
        <v>14</v>
      </c>
      <c r="G178" s="1">
        <v>7501</v>
      </c>
      <c r="H178" s="1">
        <v>7</v>
      </c>
      <c r="I178" s="2">
        <v>46169</v>
      </c>
      <c r="J178" s="2">
        <v>46179</v>
      </c>
      <c r="K178" s="1" t="s">
        <v>20</v>
      </c>
    </row>
    <row r="179" spans="1:11" ht="15.75" customHeight="1" x14ac:dyDescent="0.3">
      <c r="A179" s="1">
        <v>1178</v>
      </c>
      <c r="B179" s="1" t="s">
        <v>57</v>
      </c>
      <c r="C179" s="1" t="s">
        <v>17</v>
      </c>
      <c r="D179" s="1" t="s">
        <v>13</v>
      </c>
      <c r="E179" s="1" t="s">
        <v>50</v>
      </c>
      <c r="F179" s="1">
        <v>5</v>
      </c>
      <c r="G179" s="1">
        <v>50</v>
      </c>
      <c r="H179" s="1">
        <v>0</v>
      </c>
      <c r="I179" s="2">
        <v>46111</v>
      </c>
      <c r="J179" s="2">
        <v>46117</v>
      </c>
      <c r="K179" s="1" t="s">
        <v>20</v>
      </c>
    </row>
    <row r="180" spans="1:11" ht="15.75" customHeight="1" x14ac:dyDescent="0.3">
      <c r="A180" s="1">
        <v>1179</v>
      </c>
      <c r="B180" s="1" t="s">
        <v>47</v>
      </c>
      <c r="C180" s="1" t="s">
        <v>17</v>
      </c>
      <c r="D180" s="1" t="s">
        <v>34</v>
      </c>
      <c r="E180" s="1" t="s">
        <v>39</v>
      </c>
      <c r="F180" s="1">
        <v>6</v>
      </c>
      <c r="G180" s="1">
        <v>10400</v>
      </c>
      <c r="H180" s="1">
        <v>2</v>
      </c>
      <c r="I180" s="2">
        <v>46155</v>
      </c>
      <c r="J180" s="2">
        <v>46158</v>
      </c>
      <c r="K180" s="1" t="s">
        <v>15</v>
      </c>
    </row>
    <row r="181" spans="1:11" ht="15.75" customHeight="1" x14ac:dyDescent="0.3">
      <c r="A181" s="1">
        <v>1180</v>
      </c>
      <c r="B181" s="1" t="s">
        <v>40</v>
      </c>
      <c r="C181" s="1" t="s">
        <v>31</v>
      </c>
      <c r="D181" s="1" t="s">
        <v>18</v>
      </c>
      <c r="E181" s="1" t="s">
        <v>28</v>
      </c>
      <c r="F181" s="1">
        <v>2</v>
      </c>
      <c r="G181" s="1">
        <v>2076</v>
      </c>
      <c r="H181" s="1">
        <v>2</v>
      </c>
      <c r="I181" s="2">
        <v>46111</v>
      </c>
      <c r="J181" s="2">
        <v>46121</v>
      </c>
      <c r="K181" s="1" t="s">
        <v>29</v>
      </c>
    </row>
    <row r="182" spans="1:11" ht="15.75" customHeight="1" x14ac:dyDescent="0.3">
      <c r="A182" s="1">
        <v>1181</v>
      </c>
      <c r="B182" s="1" t="s">
        <v>58</v>
      </c>
      <c r="C182" s="1" t="s">
        <v>33</v>
      </c>
      <c r="D182" s="1" t="s">
        <v>13</v>
      </c>
      <c r="E182" s="1" t="s">
        <v>36</v>
      </c>
      <c r="F182" s="1">
        <v>4</v>
      </c>
      <c r="G182" s="1">
        <v>357</v>
      </c>
      <c r="H182" s="1">
        <v>2</v>
      </c>
      <c r="I182" s="2">
        <v>46033</v>
      </c>
      <c r="J182" s="2">
        <v>46035</v>
      </c>
      <c r="K182" s="1" t="s">
        <v>15</v>
      </c>
    </row>
    <row r="183" spans="1:11" ht="15.75" customHeight="1" x14ac:dyDescent="0.3">
      <c r="A183" s="1">
        <v>1182</v>
      </c>
      <c r="B183" s="1" t="s">
        <v>42</v>
      </c>
      <c r="C183" s="1" t="s">
        <v>12</v>
      </c>
      <c r="D183" s="1" t="s">
        <v>34</v>
      </c>
      <c r="E183" s="1" t="s">
        <v>39</v>
      </c>
      <c r="F183" s="1">
        <v>8</v>
      </c>
      <c r="G183" s="1">
        <v>66022</v>
      </c>
      <c r="H183" s="1">
        <v>12</v>
      </c>
      <c r="I183" s="2">
        <v>46108</v>
      </c>
      <c r="J183" s="2">
        <v>46114</v>
      </c>
      <c r="K183" s="1" t="s">
        <v>24</v>
      </c>
    </row>
    <row r="184" spans="1:11" ht="15.75" customHeight="1" x14ac:dyDescent="0.3">
      <c r="A184" s="1">
        <v>1183</v>
      </c>
      <c r="B184" s="1" t="s">
        <v>52</v>
      </c>
      <c r="C184" s="1" t="s">
        <v>43</v>
      </c>
      <c r="D184" s="1" t="s">
        <v>13</v>
      </c>
      <c r="E184" s="1" t="s">
        <v>14</v>
      </c>
      <c r="F184" s="1">
        <v>2</v>
      </c>
      <c r="G184" s="1">
        <v>309</v>
      </c>
      <c r="H184" s="1">
        <v>2</v>
      </c>
      <c r="I184" s="2">
        <v>46109</v>
      </c>
      <c r="J184" s="2">
        <v>46111</v>
      </c>
      <c r="K184" s="1" t="s">
        <v>20</v>
      </c>
    </row>
    <row r="185" spans="1:11" ht="15.75" customHeight="1" x14ac:dyDescent="0.3">
      <c r="A185" s="1">
        <v>1184</v>
      </c>
      <c r="B185" s="1" t="s">
        <v>40</v>
      </c>
      <c r="C185" s="1" t="s">
        <v>31</v>
      </c>
      <c r="D185" s="1" t="s">
        <v>34</v>
      </c>
      <c r="E185" s="1" t="s">
        <v>39</v>
      </c>
      <c r="F185" s="1">
        <v>12</v>
      </c>
      <c r="G185" s="1">
        <v>50517</v>
      </c>
      <c r="H185" s="1">
        <v>15</v>
      </c>
      <c r="I185" s="2">
        <v>46145</v>
      </c>
      <c r="J185" s="2">
        <v>46153</v>
      </c>
      <c r="K185" s="1" t="s">
        <v>29</v>
      </c>
    </row>
    <row r="186" spans="1:11" ht="15.75" customHeight="1" x14ac:dyDescent="0.3">
      <c r="A186" s="1">
        <v>1185</v>
      </c>
      <c r="B186" s="1" t="s">
        <v>58</v>
      </c>
      <c r="C186" s="1" t="s">
        <v>22</v>
      </c>
      <c r="D186" s="1" t="s">
        <v>34</v>
      </c>
      <c r="E186" s="1" t="s">
        <v>60</v>
      </c>
      <c r="F186" s="1">
        <v>16</v>
      </c>
      <c r="G186" s="1">
        <v>15536</v>
      </c>
      <c r="H186" s="1">
        <v>2</v>
      </c>
      <c r="I186" s="2">
        <v>46153</v>
      </c>
      <c r="J186" s="2">
        <v>46156</v>
      </c>
      <c r="K186" s="1" t="s">
        <v>15</v>
      </c>
    </row>
    <row r="187" spans="1:11" ht="15.75" customHeight="1" x14ac:dyDescent="0.3">
      <c r="A187" s="1">
        <v>1186</v>
      </c>
      <c r="B187" s="1" t="s">
        <v>16</v>
      </c>
      <c r="C187" s="1" t="s">
        <v>25</v>
      </c>
      <c r="D187" s="1" t="s">
        <v>18</v>
      </c>
      <c r="E187" s="1" t="s">
        <v>44</v>
      </c>
      <c r="F187" s="1">
        <v>10</v>
      </c>
      <c r="G187" s="1">
        <v>14951</v>
      </c>
      <c r="H187" s="1">
        <v>2</v>
      </c>
      <c r="I187" s="2">
        <v>46188</v>
      </c>
      <c r="J187" s="2">
        <v>46196</v>
      </c>
      <c r="K187" s="1" t="s">
        <v>24</v>
      </c>
    </row>
    <row r="188" spans="1:11" ht="15.75" customHeight="1" x14ac:dyDescent="0.3">
      <c r="A188" s="1">
        <v>1187</v>
      </c>
      <c r="B188" s="1" t="s">
        <v>54</v>
      </c>
      <c r="C188" s="1" t="s">
        <v>22</v>
      </c>
      <c r="D188" s="1" t="s">
        <v>34</v>
      </c>
      <c r="E188" s="1" t="s">
        <v>45</v>
      </c>
      <c r="F188" s="1">
        <v>18</v>
      </c>
      <c r="G188" s="1">
        <v>68527</v>
      </c>
      <c r="H188" s="1">
        <v>12</v>
      </c>
      <c r="I188" s="2">
        <v>46178</v>
      </c>
      <c r="J188" s="2">
        <v>46184</v>
      </c>
      <c r="K188" s="1" t="s">
        <v>51</v>
      </c>
    </row>
    <row r="189" spans="1:11" ht="15.75" customHeight="1" x14ac:dyDescent="0.3">
      <c r="A189" s="1">
        <v>1188</v>
      </c>
      <c r="B189" s="1" t="s">
        <v>29</v>
      </c>
      <c r="C189" s="1" t="s">
        <v>22</v>
      </c>
      <c r="D189" s="1" t="s">
        <v>18</v>
      </c>
      <c r="E189" s="1" t="s">
        <v>56</v>
      </c>
      <c r="F189" s="1">
        <v>6</v>
      </c>
      <c r="G189" s="1">
        <v>10368</v>
      </c>
      <c r="H189" s="1">
        <v>7</v>
      </c>
      <c r="I189" s="2">
        <v>46137</v>
      </c>
      <c r="J189" s="2">
        <v>46142</v>
      </c>
      <c r="K189" s="1" t="s">
        <v>15</v>
      </c>
    </row>
    <row r="190" spans="1:11" ht="15.75" customHeight="1" x14ac:dyDescent="0.3">
      <c r="A190" s="1">
        <v>1189</v>
      </c>
      <c r="B190" s="1" t="s">
        <v>49</v>
      </c>
      <c r="C190" s="1" t="s">
        <v>31</v>
      </c>
      <c r="D190" s="1" t="s">
        <v>18</v>
      </c>
      <c r="E190" s="1" t="s">
        <v>56</v>
      </c>
      <c r="F190" s="1">
        <v>12</v>
      </c>
      <c r="G190" s="1">
        <v>8327</v>
      </c>
      <c r="H190" s="1">
        <v>10</v>
      </c>
      <c r="I190" s="2">
        <v>46184</v>
      </c>
      <c r="J190" s="2">
        <v>46185</v>
      </c>
      <c r="K190" s="1" t="s">
        <v>29</v>
      </c>
    </row>
    <row r="191" spans="1:11" ht="15.75" customHeight="1" x14ac:dyDescent="0.3">
      <c r="A191" s="1">
        <v>1190</v>
      </c>
      <c r="B191" s="1" t="s">
        <v>57</v>
      </c>
      <c r="C191" s="1" t="s">
        <v>17</v>
      </c>
      <c r="D191" s="1" t="s">
        <v>18</v>
      </c>
      <c r="E191" s="1" t="s">
        <v>28</v>
      </c>
      <c r="F191" s="1">
        <v>4</v>
      </c>
      <c r="G191" s="1">
        <v>10154</v>
      </c>
      <c r="H191" s="1">
        <v>7</v>
      </c>
      <c r="I191" s="2">
        <v>46052</v>
      </c>
      <c r="J191" s="2">
        <v>46062</v>
      </c>
      <c r="K191" s="1" t="s">
        <v>20</v>
      </c>
    </row>
    <row r="192" spans="1:11" ht="15.75" customHeight="1" x14ac:dyDescent="0.3">
      <c r="A192" s="1">
        <v>1191</v>
      </c>
      <c r="B192" s="1" t="s">
        <v>52</v>
      </c>
      <c r="C192" s="1" t="s">
        <v>33</v>
      </c>
      <c r="D192" s="1" t="s">
        <v>18</v>
      </c>
      <c r="E192" s="1" t="s">
        <v>56</v>
      </c>
      <c r="F192" s="1">
        <v>9</v>
      </c>
      <c r="G192" s="1">
        <v>8631</v>
      </c>
      <c r="H192" s="1">
        <v>10</v>
      </c>
      <c r="I192" s="2">
        <v>46149</v>
      </c>
      <c r="J192" s="2">
        <v>46156</v>
      </c>
      <c r="K192" s="1" t="s">
        <v>20</v>
      </c>
    </row>
    <row r="193" spans="1:11" ht="15.75" customHeight="1" x14ac:dyDescent="0.3">
      <c r="A193" s="1">
        <v>1192</v>
      </c>
      <c r="B193" s="1" t="s">
        <v>21</v>
      </c>
      <c r="C193" s="1" t="s">
        <v>33</v>
      </c>
      <c r="D193" s="1" t="s">
        <v>13</v>
      </c>
      <c r="E193" s="1" t="s">
        <v>53</v>
      </c>
      <c r="F193" s="1">
        <v>18</v>
      </c>
      <c r="G193" s="1">
        <v>49</v>
      </c>
      <c r="H193" s="1">
        <v>12</v>
      </c>
      <c r="I193" s="2">
        <v>46089</v>
      </c>
      <c r="J193" s="2">
        <v>46095</v>
      </c>
      <c r="K193" s="1" t="s">
        <v>24</v>
      </c>
    </row>
    <row r="194" spans="1:11" ht="15.75" customHeight="1" x14ac:dyDescent="0.3">
      <c r="A194" s="1">
        <v>1193</v>
      </c>
      <c r="B194" s="1" t="s">
        <v>57</v>
      </c>
      <c r="C194" s="1" t="s">
        <v>12</v>
      </c>
      <c r="D194" s="1" t="s">
        <v>18</v>
      </c>
      <c r="E194" s="1" t="s">
        <v>23</v>
      </c>
      <c r="F194" s="1">
        <v>19</v>
      </c>
      <c r="G194" s="1">
        <v>2699</v>
      </c>
      <c r="H194" s="1">
        <v>7</v>
      </c>
      <c r="I194" s="2">
        <v>46110</v>
      </c>
      <c r="J194" s="2">
        <v>46112</v>
      </c>
      <c r="K194" s="1" t="s">
        <v>29</v>
      </c>
    </row>
    <row r="195" spans="1:11" ht="15.75" customHeight="1" x14ac:dyDescent="0.3">
      <c r="A195" s="1">
        <v>1194</v>
      </c>
      <c r="B195" s="1" t="s">
        <v>57</v>
      </c>
      <c r="C195" s="1" t="s">
        <v>43</v>
      </c>
      <c r="D195" s="1" t="s">
        <v>18</v>
      </c>
      <c r="E195" s="1" t="s">
        <v>28</v>
      </c>
      <c r="F195" s="1">
        <v>13</v>
      </c>
      <c r="G195" s="1">
        <v>12856</v>
      </c>
      <c r="H195" s="1">
        <v>15</v>
      </c>
      <c r="I195" s="2">
        <v>46129</v>
      </c>
      <c r="J195" s="2">
        <v>46133</v>
      </c>
      <c r="K195" s="1" t="s">
        <v>51</v>
      </c>
    </row>
    <row r="196" spans="1:11" ht="15.75" customHeight="1" x14ac:dyDescent="0.3">
      <c r="A196" s="1">
        <v>1195</v>
      </c>
      <c r="B196" s="1" t="s">
        <v>59</v>
      </c>
      <c r="C196" s="1" t="s">
        <v>17</v>
      </c>
      <c r="D196" s="1" t="s">
        <v>13</v>
      </c>
      <c r="E196" s="1" t="s">
        <v>50</v>
      </c>
      <c r="F196" s="1">
        <v>19</v>
      </c>
      <c r="G196" s="1">
        <v>313</v>
      </c>
      <c r="H196" s="1">
        <v>2</v>
      </c>
      <c r="I196" s="2">
        <v>46198</v>
      </c>
      <c r="J196" s="2">
        <v>46206</v>
      </c>
      <c r="K196" s="1" t="s">
        <v>51</v>
      </c>
    </row>
    <row r="197" spans="1:11" ht="15.75" customHeight="1" x14ac:dyDescent="0.3">
      <c r="A197" s="1">
        <v>1196</v>
      </c>
      <c r="B197" s="1" t="s">
        <v>48</v>
      </c>
      <c r="C197" s="1" t="s">
        <v>22</v>
      </c>
      <c r="D197" s="1" t="s">
        <v>34</v>
      </c>
      <c r="E197" s="1" t="s">
        <v>35</v>
      </c>
      <c r="F197" s="1">
        <v>20</v>
      </c>
      <c r="G197" s="1">
        <v>3172</v>
      </c>
      <c r="H197" s="1">
        <v>5</v>
      </c>
      <c r="I197" s="2">
        <v>46155</v>
      </c>
      <c r="J197" s="2">
        <v>46159</v>
      </c>
      <c r="K197" s="1" t="s">
        <v>20</v>
      </c>
    </row>
    <row r="198" spans="1:11" ht="15.75" customHeight="1" x14ac:dyDescent="0.3">
      <c r="A198" s="1">
        <v>1197</v>
      </c>
      <c r="B198" s="1" t="s">
        <v>52</v>
      </c>
      <c r="C198" s="1" t="s">
        <v>31</v>
      </c>
      <c r="D198" s="1" t="s">
        <v>34</v>
      </c>
      <c r="E198" s="1" t="s">
        <v>35</v>
      </c>
      <c r="F198" s="1">
        <v>5</v>
      </c>
      <c r="G198" s="1">
        <v>45352</v>
      </c>
      <c r="H198" s="1">
        <v>12</v>
      </c>
      <c r="I198" s="2">
        <v>46045</v>
      </c>
      <c r="J198" s="2">
        <v>46048</v>
      </c>
      <c r="K198" s="1" t="s">
        <v>15</v>
      </c>
    </row>
    <row r="199" spans="1:11" ht="15.75" customHeight="1" x14ac:dyDescent="0.3">
      <c r="A199" s="1">
        <v>1198</v>
      </c>
      <c r="B199" s="1" t="s">
        <v>58</v>
      </c>
      <c r="C199" s="1" t="s">
        <v>12</v>
      </c>
      <c r="D199" s="1" t="s">
        <v>13</v>
      </c>
      <c r="E199" s="1" t="s">
        <v>14</v>
      </c>
      <c r="F199" s="1">
        <v>12</v>
      </c>
      <c r="G199" s="1">
        <v>491</v>
      </c>
      <c r="H199" s="1">
        <v>2</v>
      </c>
      <c r="I199" s="2">
        <v>46106</v>
      </c>
      <c r="J199" s="2">
        <v>46109</v>
      </c>
      <c r="K199" s="1" t="s">
        <v>51</v>
      </c>
    </row>
    <row r="200" spans="1:11" ht="15.75" customHeight="1" x14ac:dyDescent="0.3">
      <c r="A200" s="1">
        <v>1199</v>
      </c>
      <c r="B200" s="1" t="s">
        <v>11</v>
      </c>
      <c r="C200" s="1" t="s">
        <v>25</v>
      </c>
      <c r="D200" s="1" t="s">
        <v>34</v>
      </c>
      <c r="E200" s="1" t="s">
        <v>45</v>
      </c>
      <c r="F200" s="1">
        <v>2</v>
      </c>
      <c r="G200" s="1">
        <v>4375</v>
      </c>
      <c r="H200" s="1">
        <v>7</v>
      </c>
      <c r="I200" s="2">
        <v>46178</v>
      </c>
      <c r="J200" s="2">
        <v>46180</v>
      </c>
      <c r="K200" s="1" t="s">
        <v>24</v>
      </c>
    </row>
    <row r="201" spans="1:11" ht="15.75" customHeight="1" x14ac:dyDescent="0.3">
      <c r="A201" s="1">
        <v>1200</v>
      </c>
      <c r="B201" s="1" t="s">
        <v>29</v>
      </c>
      <c r="C201" s="1" t="s">
        <v>31</v>
      </c>
      <c r="D201" s="1" t="s">
        <v>34</v>
      </c>
      <c r="E201" s="1" t="s">
        <v>45</v>
      </c>
      <c r="F201" s="1">
        <v>13</v>
      </c>
      <c r="G201" s="1">
        <v>69422</v>
      </c>
      <c r="H201" s="1">
        <v>0</v>
      </c>
      <c r="I201" s="2">
        <v>46134</v>
      </c>
      <c r="J201" s="2">
        <v>46143</v>
      </c>
      <c r="K201" s="1" t="s">
        <v>29</v>
      </c>
    </row>
    <row r="202" spans="1:11" ht="15.75" customHeight="1" x14ac:dyDescent="0.3">
      <c r="A202" s="1">
        <v>1201</v>
      </c>
      <c r="B202" s="1" t="s">
        <v>54</v>
      </c>
      <c r="C202" s="1" t="s">
        <v>31</v>
      </c>
      <c r="D202" s="1" t="s">
        <v>13</v>
      </c>
      <c r="E202" s="1" t="s">
        <v>53</v>
      </c>
      <c r="F202" s="1">
        <v>18</v>
      </c>
      <c r="G202" s="1">
        <v>139</v>
      </c>
      <c r="H202" s="1">
        <v>12</v>
      </c>
      <c r="I202" s="2">
        <v>46075</v>
      </c>
      <c r="J202" s="2">
        <v>46076</v>
      </c>
      <c r="K202" s="1" t="s">
        <v>20</v>
      </c>
    </row>
    <row r="203" spans="1:11" ht="15.75" customHeight="1" x14ac:dyDescent="0.3">
      <c r="A203" s="1">
        <v>1202</v>
      </c>
      <c r="B203" s="1" t="s">
        <v>57</v>
      </c>
      <c r="C203" s="1" t="s">
        <v>22</v>
      </c>
      <c r="D203" s="1" t="s">
        <v>34</v>
      </c>
      <c r="E203" s="1" t="s">
        <v>35</v>
      </c>
      <c r="F203" s="1">
        <v>2</v>
      </c>
      <c r="G203" s="1">
        <v>20312</v>
      </c>
      <c r="H203" s="1">
        <v>12</v>
      </c>
      <c r="I203" s="2">
        <v>46082</v>
      </c>
      <c r="J203" s="2">
        <v>46091</v>
      </c>
      <c r="K203" s="1" t="s">
        <v>15</v>
      </c>
    </row>
    <row r="204" spans="1:11" ht="15.75" customHeight="1" x14ac:dyDescent="0.3">
      <c r="A204" s="1">
        <v>1203</v>
      </c>
      <c r="B204" s="1" t="s">
        <v>40</v>
      </c>
      <c r="C204" s="1" t="s">
        <v>22</v>
      </c>
      <c r="D204" s="1" t="s">
        <v>18</v>
      </c>
      <c r="E204" s="1" t="s">
        <v>23</v>
      </c>
      <c r="F204" s="1">
        <v>17</v>
      </c>
      <c r="G204" s="1">
        <v>6695</v>
      </c>
      <c r="H204" s="1">
        <v>2</v>
      </c>
      <c r="I204" s="2">
        <v>46119</v>
      </c>
      <c r="J204" s="2">
        <v>46122</v>
      </c>
      <c r="K204" s="1" t="s">
        <v>51</v>
      </c>
    </row>
    <row r="205" spans="1:11" ht="15.75" customHeight="1" x14ac:dyDescent="0.3">
      <c r="A205" s="1">
        <v>1204</v>
      </c>
      <c r="B205" s="1" t="s">
        <v>16</v>
      </c>
      <c r="C205" s="1" t="s">
        <v>31</v>
      </c>
      <c r="D205" s="1" t="s">
        <v>13</v>
      </c>
      <c r="E205" s="1" t="s">
        <v>37</v>
      </c>
      <c r="F205" s="1">
        <v>13</v>
      </c>
      <c r="G205" s="1">
        <v>416</v>
      </c>
      <c r="H205" s="1">
        <v>10</v>
      </c>
      <c r="I205" s="2">
        <v>46123</v>
      </c>
      <c r="J205" s="2">
        <v>46132</v>
      </c>
      <c r="K205" s="1" t="s">
        <v>20</v>
      </c>
    </row>
    <row r="206" spans="1:11" ht="15.75" customHeight="1" x14ac:dyDescent="0.3">
      <c r="A206" s="1">
        <v>1205</v>
      </c>
      <c r="B206" s="1" t="s">
        <v>21</v>
      </c>
      <c r="C206" s="1" t="s">
        <v>38</v>
      </c>
      <c r="D206" s="1" t="s">
        <v>13</v>
      </c>
      <c r="E206" s="1" t="s">
        <v>36</v>
      </c>
      <c r="F206" s="1">
        <v>1</v>
      </c>
      <c r="G206" s="1">
        <v>112</v>
      </c>
      <c r="H206" s="1">
        <v>7</v>
      </c>
      <c r="I206" s="2">
        <v>46033</v>
      </c>
      <c r="J206" s="2">
        <v>46040</v>
      </c>
      <c r="K206" s="1" t="s">
        <v>51</v>
      </c>
    </row>
    <row r="207" spans="1:11" ht="15.75" customHeight="1" x14ac:dyDescent="0.3">
      <c r="A207" s="1">
        <v>1206</v>
      </c>
      <c r="B207" s="1" t="s">
        <v>55</v>
      </c>
      <c r="C207" s="1" t="s">
        <v>33</v>
      </c>
      <c r="D207" s="1" t="s">
        <v>13</v>
      </c>
      <c r="E207" s="1" t="s">
        <v>14</v>
      </c>
      <c r="F207" s="1">
        <v>9</v>
      </c>
      <c r="G207" s="1">
        <v>60</v>
      </c>
      <c r="H207" s="1">
        <v>0</v>
      </c>
      <c r="I207" s="2">
        <v>46166</v>
      </c>
      <c r="J207" s="2">
        <v>46174</v>
      </c>
      <c r="K207" s="1" t="s">
        <v>15</v>
      </c>
    </row>
    <row r="208" spans="1:11" ht="15.75" customHeight="1" x14ac:dyDescent="0.3">
      <c r="A208" s="1">
        <v>1207</v>
      </c>
      <c r="B208" s="1" t="s">
        <v>55</v>
      </c>
      <c r="C208" s="1" t="s">
        <v>25</v>
      </c>
      <c r="D208" s="1" t="s">
        <v>13</v>
      </c>
      <c r="E208" s="1" t="s">
        <v>53</v>
      </c>
      <c r="F208" s="1">
        <v>7</v>
      </c>
      <c r="G208" s="1">
        <v>244</v>
      </c>
      <c r="H208" s="1">
        <v>2</v>
      </c>
      <c r="I208" s="2">
        <v>46164</v>
      </c>
      <c r="J208" s="2">
        <v>46173</v>
      </c>
      <c r="K208" s="1" t="s">
        <v>24</v>
      </c>
    </row>
    <row r="209" spans="1:11" ht="15.75" customHeight="1" x14ac:dyDescent="0.3">
      <c r="A209" s="1">
        <v>1208</v>
      </c>
      <c r="B209" s="1" t="s">
        <v>54</v>
      </c>
      <c r="C209" s="1" t="s">
        <v>43</v>
      </c>
      <c r="D209" s="1" t="s">
        <v>18</v>
      </c>
      <c r="E209" s="1" t="s">
        <v>44</v>
      </c>
      <c r="F209" s="1">
        <v>6</v>
      </c>
      <c r="G209" s="1">
        <v>7627</v>
      </c>
      <c r="H209" s="1">
        <v>10</v>
      </c>
      <c r="I209" s="2">
        <v>46042</v>
      </c>
      <c r="J209" s="2">
        <v>46047</v>
      </c>
      <c r="K209" s="1" t="s">
        <v>20</v>
      </c>
    </row>
    <row r="210" spans="1:11" ht="15.75" customHeight="1" x14ac:dyDescent="0.3">
      <c r="A210" s="1">
        <v>1209</v>
      </c>
      <c r="B210" s="1" t="s">
        <v>48</v>
      </c>
      <c r="C210" s="1" t="s">
        <v>38</v>
      </c>
      <c r="D210" s="1" t="s">
        <v>34</v>
      </c>
      <c r="E210" s="1" t="s">
        <v>35</v>
      </c>
      <c r="F210" s="1">
        <v>19</v>
      </c>
      <c r="G210" s="1">
        <v>20284</v>
      </c>
      <c r="H210" s="1">
        <v>10</v>
      </c>
      <c r="I210" s="2">
        <v>46103</v>
      </c>
      <c r="J210" s="2">
        <v>46110</v>
      </c>
      <c r="K210" s="1" t="s">
        <v>20</v>
      </c>
    </row>
    <row r="211" spans="1:11" ht="15.75" customHeight="1" x14ac:dyDescent="0.3">
      <c r="A211" s="1">
        <v>1210</v>
      </c>
      <c r="B211" s="1" t="s">
        <v>30</v>
      </c>
      <c r="C211" s="1" t="s">
        <v>31</v>
      </c>
      <c r="D211" s="1" t="s">
        <v>13</v>
      </c>
      <c r="E211" s="1" t="s">
        <v>53</v>
      </c>
      <c r="F211" s="1">
        <v>10</v>
      </c>
      <c r="G211" s="1">
        <v>349</v>
      </c>
      <c r="H211" s="1">
        <v>0</v>
      </c>
      <c r="I211" s="2">
        <v>46052</v>
      </c>
      <c r="J211" s="2">
        <v>46060</v>
      </c>
      <c r="K211" s="1" t="s">
        <v>29</v>
      </c>
    </row>
    <row r="212" spans="1:11" ht="15.75" customHeight="1" x14ac:dyDescent="0.3">
      <c r="A212" s="1">
        <v>1211</v>
      </c>
      <c r="B212" s="1" t="s">
        <v>48</v>
      </c>
      <c r="C212" s="1" t="s">
        <v>17</v>
      </c>
      <c r="D212" s="1" t="s">
        <v>34</v>
      </c>
      <c r="E212" s="1" t="s">
        <v>35</v>
      </c>
      <c r="F212" s="1">
        <v>3</v>
      </c>
      <c r="G212" s="1">
        <v>5962</v>
      </c>
      <c r="H212" s="1">
        <v>7</v>
      </c>
      <c r="I212" s="2">
        <v>46175</v>
      </c>
      <c r="J212" s="2">
        <v>46183</v>
      </c>
      <c r="K212" s="1" t="s">
        <v>15</v>
      </c>
    </row>
    <row r="213" spans="1:11" ht="15.75" customHeight="1" x14ac:dyDescent="0.3">
      <c r="A213" s="1">
        <v>1212</v>
      </c>
      <c r="B213" s="1" t="s">
        <v>59</v>
      </c>
      <c r="C213" s="1" t="s">
        <v>25</v>
      </c>
      <c r="D213" s="1" t="s">
        <v>34</v>
      </c>
      <c r="E213" s="1" t="s">
        <v>60</v>
      </c>
      <c r="F213" s="1">
        <v>10</v>
      </c>
      <c r="G213" s="1">
        <v>34380</v>
      </c>
      <c r="H213" s="1">
        <v>7</v>
      </c>
      <c r="I213" s="2">
        <v>46194</v>
      </c>
      <c r="J213" s="2">
        <v>46195</v>
      </c>
      <c r="K213" s="1" t="s">
        <v>29</v>
      </c>
    </row>
    <row r="214" spans="1:11" ht="15.75" customHeight="1" x14ac:dyDescent="0.3">
      <c r="A214" s="1">
        <v>1213</v>
      </c>
      <c r="B214" s="1" t="s">
        <v>32</v>
      </c>
      <c r="C214" s="1" t="s">
        <v>38</v>
      </c>
      <c r="D214" s="1" t="s">
        <v>34</v>
      </c>
      <c r="E214" s="1" t="s">
        <v>45</v>
      </c>
      <c r="F214" s="1">
        <v>16</v>
      </c>
      <c r="G214" s="1">
        <v>27741</v>
      </c>
      <c r="H214" s="1">
        <v>12</v>
      </c>
      <c r="I214" s="2">
        <v>46116</v>
      </c>
      <c r="J214" s="2">
        <v>46119</v>
      </c>
      <c r="K214" s="1" t="s">
        <v>15</v>
      </c>
    </row>
    <row r="215" spans="1:11" ht="15.75" customHeight="1" x14ac:dyDescent="0.3">
      <c r="A215" s="1">
        <v>1214</v>
      </c>
      <c r="B215" s="1" t="s">
        <v>42</v>
      </c>
      <c r="C215" s="1" t="s">
        <v>25</v>
      </c>
      <c r="D215" s="1" t="s">
        <v>18</v>
      </c>
      <c r="E215" s="1" t="s">
        <v>28</v>
      </c>
      <c r="F215" s="1">
        <v>19</v>
      </c>
      <c r="G215" s="1">
        <v>13832</v>
      </c>
      <c r="H215" s="1">
        <v>0</v>
      </c>
      <c r="I215" s="2">
        <v>46140</v>
      </c>
      <c r="J215" s="2">
        <v>46145</v>
      </c>
      <c r="K215" s="1" t="s">
        <v>51</v>
      </c>
    </row>
    <row r="216" spans="1:11" ht="15.75" customHeight="1" x14ac:dyDescent="0.3">
      <c r="A216" s="1">
        <v>1215</v>
      </c>
      <c r="B216" s="1" t="s">
        <v>27</v>
      </c>
      <c r="C216" s="1" t="s">
        <v>12</v>
      </c>
      <c r="D216" s="1" t="s">
        <v>18</v>
      </c>
      <c r="E216" s="1" t="s">
        <v>28</v>
      </c>
      <c r="F216" s="1">
        <v>6</v>
      </c>
      <c r="G216" s="1">
        <v>1254</v>
      </c>
      <c r="H216" s="1">
        <v>0</v>
      </c>
      <c r="I216" s="2">
        <v>46131</v>
      </c>
      <c r="J216" s="2">
        <v>46136</v>
      </c>
      <c r="K216" s="1" t="s">
        <v>29</v>
      </c>
    </row>
    <row r="217" spans="1:11" ht="15.75" customHeight="1" x14ac:dyDescent="0.3">
      <c r="A217" s="1">
        <v>1216</v>
      </c>
      <c r="B217" s="1" t="s">
        <v>40</v>
      </c>
      <c r="C217" s="1" t="s">
        <v>22</v>
      </c>
      <c r="D217" s="1" t="s">
        <v>34</v>
      </c>
      <c r="E217" s="1" t="s">
        <v>45</v>
      </c>
      <c r="F217" s="1">
        <v>10</v>
      </c>
      <c r="G217" s="1">
        <v>56709</v>
      </c>
      <c r="H217" s="1">
        <v>15</v>
      </c>
      <c r="I217" s="2">
        <v>46135</v>
      </c>
      <c r="J217" s="2">
        <v>46139</v>
      </c>
      <c r="K217" s="1" t="s">
        <v>29</v>
      </c>
    </row>
    <row r="218" spans="1:11" ht="15.75" customHeight="1" x14ac:dyDescent="0.3">
      <c r="A218" s="1">
        <v>1217</v>
      </c>
      <c r="B218" s="1" t="s">
        <v>30</v>
      </c>
      <c r="C218" s="1" t="s">
        <v>22</v>
      </c>
      <c r="D218" s="1" t="s">
        <v>13</v>
      </c>
      <c r="E218" s="1" t="s">
        <v>50</v>
      </c>
      <c r="F218" s="1">
        <v>18</v>
      </c>
      <c r="G218" s="1">
        <v>60</v>
      </c>
      <c r="H218" s="1">
        <v>0</v>
      </c>
      <c r="I218" s="2">
        <v>46171</v>
      </c>
      <c r="J218" s="2">
        <v>46172</v>
      </c>
      <c r="K218" s="1" t="s">
        <v>29</v>
      </c>
    </row>
    <row r="219" spans="1:11" ht="15.75" customHeight="1" x14ac:dyDescent="0.3">
      <c r="A219" s="1">
        <v>1218</v>
      </c>
      <c r="B219" s="1" t="s">
        <v>55</v>
      </c>
      <c r="C219" s="1" t="s">
        <v>38</v>
      </c>
      <c r="D219" s="1" t="s">
        <v>13</v>
      </c>
      <c r="E219" s="1" t="s">
        <v>14</v>
      </c>
      <c r="F219" s="1">
        <v>1</v>
      </c>
      <c r="G219" s="1">
        <v>134</v>
      </c>
      <c r="H219" s="1">
        <v>10</v>
      </c>
      <c r="I219" s="2">
        <v>46143</v>
      </c>
      <c r="J219" s="2">
        <v>46151</v>
      </c>
      <c r="K219" s="1" t="s">
        <v>51</v>
      </c>
    </row>
    <row r="220" spans="1:11" ht="15.75" customHeight="1" x14ac:dyDescent="0.3">
      <c r="A220" s="1">
        <v>1219</v>
      </c>
      <c r="B220" s="1" t="s">
        <v>46</v>
      </c>
      <c r="C220" s="1" t="s">
        <v>22</v>
      </c>
      <c r="D220" s="1" t="s">
        <v>13</v>
      </c>
      <c r="E220" s="1" t="s">
        <v>14</v>
      </c>
      <c r="F220" s="1">
        <v>4</v>
      </c>
      <c r="G220" s="1">
        <v>117</v>
      </c>
      <c r="H220" s="1">
        <v>15</v>
      </c>
      <c r="I220" s="2">
        <v>46202</v>
      </c>
      <c r="J220" s="2">
        <v>46206</v>
      </c>
      <c r="K220" s="1" t="s">
        <v>29</v>
      </c>
    </row>
    <row r="221" spans="1:11" ht="15.75" customHeight="1" x14ac:dyDescent="0.3">
      <c r="A221" s="1">
        <v>1220</v>
      </c>
      <c r="B221" s="1" t="s">
        <v>11</v>
      </c>
      <c r="C221" s="1" t="s">
        <v>25</v>
      </c>
      <c r="D221" s="1" t="s">
        <v>18</v>
      </c>
      <c r="E221" s="1" t="s">
        <v>56</v>
      </c>
      <c r="F221" s="1">
        <v>2</v>
      </c>
      <c r="G221" s="1">
        <v>8861</v>
      </c>
      <c r="H221" s="1">
        <v>2</v>
      </c>
      <c r="I221" s="2">
        <v>46170</v>
      </c>
      <c r="J221" s="2">
        <v>46174</v>
      </c>
      <c r="K221" s="1" t="s">
        <v>24</v>
      </c>
    </row>
    <row r="222" spans="1:11" ht="15.75" customHeight="1" x14ac:dyDescent="0.3">
      <c r="A222" s="1">
        <v>1221</v>
      </c>
      <c r="B222" s="1" t="s">
        <v>11</v>
      </c>
      <c r="C222" s="1" t="s">
        <v>31</v>
      </c>
      <c r="D222" s="1" t="s">
        <v>18</v>
      </c>
      <c r="E222" s="1" t="s">
        <v>56</v>
      </c>
      <c r="F222" s="1">
        <v>18</v>
      </c>
      <c r="G222" s="1">
        <v>2681</v>
      </c>
      <c r="H222" s="1">
        <v>10</v>
      </c>
      <c r="I222" s="2">
        <v>46122</v>
      </c>
      <c r="J222" s="2">
        <v>46125</v>
      </c>
      <c r="K222" s="1" t="s">
        <v>51</v>
      </c>
    </row>
    <row r="223" spans="1:11" ht="15.75" customHeight="1" x14ac:dyDescent="0.3">
      <c r="A223" s="1">
        <v>1222</v>
      </c>
      <c r="B223" s="1" t="s">
        <v>30</v>
      </c>
      <c r="C223" s="1" t="s">
        <v>33</v>
      </c>
      <c r="D223" s="1" t="s">
        <v>18</v>
      </c>
      <c r="E223" s="1" t="s">
        <v>23</v>
      </c>
      <c r="F223" s="1">
        <v>9</v>
      </c>
      <c r="G223" s="1">
        <v>2712</v>
      </c>
      <c r="H223" s="1">
        <v>12</v>
      </c>
      <c r="I223" s="2">
        <v>46154</v>
      </c>
      <c r="J223" s="2">
        <v>46163</v>
      </c>
      <c r="K223" s="1" t="s">
        <v>15</v>
      </c>
    </row>
    <row r="224" spans="1:11" ht="15.75" customHeight="1" x14ac:dyDescent="0.3">
      <c r="A224" s="1">
        <v>1223</v>
      </c>
      <c r="B224" s="1" t="s">
        <v>59</v>
      </c>
      <c r="C224" s="1" t="s">
        <v>17</v>
      </c>
      <c r="D224" s="1" t="s">
        <v>18</v>
      </c>
      <c r="E224" s="1" t="s">
        <v>23</v>
      </c>
      <c r="F224" s="1">
        <v>4</v>
      </c>
      <c r="G224" s="1">
        <v>2249</v>
      </c>
      <c r="H224" s="1">
        <v>7</v>
      </c>
      <c r="I224" s="2">
        <v>46077</v>
      </c>
      <c r="J224" s="2">
        <v>46084</v>
      </c>
      <c r="K224" s="1" t="s">
        <v>15</v>
      </c>
    </row>
    <row r="225" spans="1:11" ht="15.75" customHeight="1" x14ac:dyDescent="0.3">
      <c r="A225" s="1">
        <v>1224</v>
      </c>
      <c r="B225" s="1" t="s">
        <v>30</v>
      </c>
      <c r="C225" s="1" t="s">
        <v>38</v>
      </c>
      <c r="D225" s="1" t="s">
        <v>34</v>
      </c>
      <c r="E225" s="1" t="s">
        <v>45</v>
      </c>
      <c r="F225" s="1">
        <v>16</v>
      </c>
      <c r="G225" s="1">
        <v>18378</v>
      </c>
      <c r="H225" s="1">
        <v>10</v>
      </c>
      <c r="I225" s="2">
        <v>46045</v>
      </c>
      <c r="J225" s="2">
        <v>46052</v>
      </c>
      <c r="K225" s="1" t="s">
        <v>24</v>
      </c>
    </row>
    <row r="226" spans="1:11" ht="15.75" customHeight="1" x14ac:dyDescent="0.3">
      <c r="A226" s="1">
        <v>1225</v>
      </c>
      <c r="B226" s="1" t="s">
        <v>42</v>
      </c>
      <c r="C226" s="1" t="s">
        <v>31</v>
      </c>
      <c r="D226" s="1" t="s">
        <v>34</v>
      </c>
      <c r="E226" s="1" t="s">
        <v>35</v>
      </c>
      <c r="F226" s="1">
        <v>16</v>
      </c>
      <c r="G226" s="1">
        <v>32262</v>
      </c>
      <c r="H226" s="1">
        <v>12</v>
      </c>
      <c r="I226" s="2">
        <v>46125</v>
      </c>
      <c r="J226" s="2">
        <v>46126</v>
      </c>
      <c r="K226" s="1" t="s">
        <v>20</v>
      </c>
    </row>
    <row r="227" spans="1:11" ht="15.75" customHeight="1" x14ac:dyDescent="0.3">
      <c r="A227" s="1">
        <v>1226</v>
      </c>
      <c r="B227" s="1" t="s">
        <v>29</v>
      </c>
      <c r="C227" s="1" t="s">
        <v>31</v>
      </c>
      <c r="D227" s="1" t="s">
        <v>34</v>
      </c>
      <c r="E227" s="1" t="s">
        <v>41</v>
      </c>
      <c r="F227" s="1">
        <v>13</v>
      </c>
      <c r="G227" s="1">
        <v>21332</v>
      </c>
      <c r="H227" s="1">
        <v>0</v>
      </c>
      <c r="I227" s="2">
        <v>46044</v>
      </c>
      <c r="J227" s="2">
        <v>46048</v>
      </c>
      <c r="K227" s="1" t="s">
        <v>29</v>
      </c>
    </row>
    <row r="228" spans="1:11" ht="15.75" customHeight="1" x14ac:dyDescent="0.3">
      <c r="A228" s="1">
        <v>1227</v>
      </c>
      <c r="B228" s="1" t="s">
        <v>58</v>
      </c>
      <c r="C228" s="1" t="s">
        <v>22</v>
      </c>
      <c r="D228" s="1" t="s">
        <v>34</v>
      </c>
      <c r="E228" s="1" t="s">
        <v>45</v>
      </c>
      <c r="F228" s="1">
        <v>16</v>
      </c>
      <c r="G228" s="1">
        <v>1321</v>
      </c>
      <c r="H228" s="1">
        <v>12</v>
      </c>
      <c r="I228" s="2">
        <v>46113</v>
      </c>
      <c r="J228" s="2">
        <v>46116</v>
      </c>
      <c r="K228" s="1" t="s">
        <v>15</v>
      </c>
    </row>
    <row r="229" spans="1:11" ht="15.75" customHeight="1" x14ac:dyDescent="0.3">
      <c r="A229" s="1">
        <v>1228</v>
      </c>
      <c r="B229" s="1" t="s">
        <v>29</v>
      </c>
      <c r="C229" s="1" t="s">
        <v>25</v>
      </c>
      <c r="D229" s="1" t="s">
        <v>34</v>
      </c>
      <c r="E229" s="1" t="s">
        <v>45</v>
      </c>
      <c r="F229" s="1">
        <v>16</v>
      </c>
      <c r="G229" s="1">
        <v>17477</v>
      </c>
      <c r="H229" s="1">
        <v>10</v>
      </c>
      <c r="I229" s="2">
        <v>46041</v>
      </c>
      <c r="J229" s="2">
        <v>46043</v>
      </c>
      <c r="K229" s="1" t="s">
        <v>24</v>
      </c>
    </row>
    <row r="230" spans="1:11" ht="15.75" customHeight="1" x14ac:dyDescent="0.3">
      <c r="A230" s="1">
        <v>1229</v>
      </c>
      <c r="B230" s="1" t="s">
        <v>57</v>
      </c>
      <c r="C230" s="1" t="s">
        <v>12</v>
      </c>
      <c r="D230" s="1" t="s">
        <v>18</v>
      </c>
      <c r="E230" s="1" t="s">
        <v>56</v>
      </c>
      <c r="F230" s="1">
        <v>14</v>
      </c>
      <c r="G230" s="1">
        <v>5859</v>
      </c>
      <c r="H230" s="1">
        <v>12</v>
      </c>
      <c r="I230" s="2">
        <v>46027</v>
      </c>
      <c r="J230" s="2">
        <v>46036</v>
      </c>
      <c r="K230" s="1" t="s">
        <v>20</v>
      </c>
    </row>
    <row r="231" spans="1:11" ht="15.75" customHeight="1" x14ac:dyDescent="0.3">
      <c r="A231" s="1">
        <v>1230</v>
      </c>
      <c r="B231" s="1" t="s">
        <v>59</v>
      </c>
      <c r="C231" s="1" t="s">
        <v>33</v>
      </c>
      <c r="D231" s="1" t="s">
        <v>34</v>
      </c>
      <c r="E231" s="1" t="s">
        <v>60</v>
      </c>
      <c r="F231" s="1">
        <v>7</v>
      </c>
      <c r="G231" s="1">
        <v>2932</v>
      </c>
      <c r="H231" s="1">
        <v>7</v>
      </c>
      <c r="I231" s="2">
        <v>46050</v>
      </c>
      <c r="J231" s="2">
        <v>46059</v>
      </c>
      <c r="K231" s="1" t="s">
        <v>24</v>
      </c>
    </row>
    <row r="232" spans="1:11" ht="15.75" customHeight="1" x14ac:dyDescent="0.3">
      <c r="A232" s="1">
        <v>1231</v>
      </c>
      <c r="B232" s="1" t="s">
        <v>48</v>
      </c>
      <c r="C232" s="1" t="s">
        <v>38</v>
      </c>
      <c r="D232" s="1" t="s">
        <v>18</v>
      </c>
      <c r="E232" s="1" t="s">
        <v>19</v>
      </c>
      <c r="F232" s="1">
        <v>13</v>
      </c>
      <c r="G232" s="1">
        <v>10297</v>
      </c>
      <c r="H232" s="1">
        <v>12</v>
      </c>
      <c r="I232" s="2">
        <v>46178</v>
      </c>
      <c r="J232" s="2">
        <v>46186</v>
      </c>
      <c r="K232" s="1" t="s">
        <v>20</v>
      </c>
    </row>
    <row r="233" spans="1:11" ht="15.75" customHeight="1" x14ac:dyDescent="0.3">
      <c r="A233" s="1">
        <v>1232</v>
      </c>
      <c r="B233" s="1" t="s">
        <v>21</v>
      </c>
      <c r="C233" s="1" t="s">
        <v>12</v>
      </c>
      <c r="D233" s="1" t="s">
        <v>34</v>
      </c>
      <c r="E233" s="1" t="s">
        <v>60</v>
      </c>
      <c r="F233" s="1">
        <v>3</v>
      </c>
      <c r="G233" s="1">
        <v>13272</v>
      </c>
      <c r="H233" s="1">
        <v>2</v>
      </c>
      <c r="I233" s="2">
        <v>46060</v>
      </c>
      <c r="J233" s="2">
        <v>46065</v>
      </c>
      <c r="K233" s="1" t="s">
        <v>15</v>
      </c>
    </row>
    <row r="234" spans="1:11" ht="15.75" customHeight="1" x14ac:dyDescent="0.3">
      <c r="A234" s="1">
        <v>1233</v>
      </c>
      <c r="B234" s="1" t="s">
        <v>58</v>
      </c>
      <c r="C234" s="1" t="s">
        <v>22</v>
      </c>
      <c r="D234" s="1" t="s">
        <v>18</v>
      </c>
      <c r="E234" s="1" t="s">
        <v>19</v>
      </c>
      <c r="F234" s="1">
        <v>20</v>
      </c>
      <c r="G234" s="1">
        <v>13941</v>
      </c>
      <c r="H234" s="1">
        <v>15</v>
      </c>
      <c r="I234" s="2">
        <v>46198</v>
      </c>
      <c r="J234" s="2">
        <v>46202</v>
      </c>
      <c r="K234" s="1" t="s">
        <v>24</v>
      </c>
    </row>
    <row r="235" spans="1:11" ht="15.75" customHeight="1" x14ac:dyDescent="0.3">
      <c r="A235" s="1">
        <v>1234</v>
      </c>
      <c r="B235" s="1" t="s">
        <v>11</v>
      </c>
      <c r="C235" s="1" t="s">
        <v>25</v>
      </c>
      <c r="D235" s="1" t="s">
        <v>18</v>
      </c>
      <c r="E235" s="1" t="s">
        <v>28</v>
      </c>
      <c r="F235" s="1">
        <v>1</v>
      </c>
      <c r="G235" s="1">
        <v>14320</v>
      </c>
      <c r="H235" s="1">
        <v>12</v>
      </c>
      <c r="I235" s="2">
        <v>46114</v>
      </c>
      <c r="J235" s="2">
        <v>46121</v>
      </c>
      <c r="K235" s="1" t="s">
        <v>51</v>
      </c>
    </row>
    <row r="236" spans="1:11" ht="15.75" customHeight="1" x14ac:dyDescent="0.3">
      <c r="A236" s="1">
        <v>1235</v>
      </c>
      <c r="B236" s="1" t="s">
        <v>57</v>
      </c>
      <c r="C236" s="1" t="s">
        <v>25</v>
      </c>
      <c r="D236" s="1" t="s">
        <v>13</v>
      </c>
      <c r="E236" s="1" t="s">
        <v>50</v>
      </c>
      <c r="F236" s="1">
        <v>15</v>
      </c>
      <c r="G236" s="1">
        <v>267</v>
      </c>
      <c r="H236" s="1">
        <v>15</v>
      </c>
      <c r="I236" s="2">
        <v>46172</v>
      </c>
      <c r="J236" s="2">
        <v>46177</v>
      </c>
      <c r="K236" s="1" t="s">
        <v>29</v>
      </c>
    </row>
    <row r="237" spans="1:11" ht="15.75" customHeight="1" x14ac:dyDescent="0.3">
      <c r="A237" s="1">
        <v>1236</v>
      </c>
      <c r="B237" s="1" t="s">
        <v>54</v>
      </c>
      <c r="C237" s="1" t="s">
        <v>43</v>
      </c>
      <c r="D237" s="1" t="s">
        <v>13</v>
      </c>
      <c r="E237" s="1" t="s">
        <v>37</v>
      </c>
      <c r="F237" s="1">
        <v>12</v>
      </c>
      <c r="G237" s="1">
        <v>189</v>
      </c>
      <c r="H237" s="1">
        <v>7</v>
      </c>
      <c r="I237" s="2">
        <v>46164</v>
      </c>
      <c r="J237" s="2">
        <v>46169</v>
      </c>
      <c r="K237" s="1" t="s">
        <v>29</v>
      </c>
    </row>
    <row r="238" spans="1:11" ht="15.75" customHeight="1" x14ac:dyDescent="0.3">
      <c r="A238" s="1">
        <v>1237</v>
      </c>
      <c r="B238" s="1" t="s">
        <v>46</v>
      </c>
      <c r="C238" s="1" t="s">
        <v>38</v>
      </c>
      <c r="D238" s="1" t="s">
        <v>18</v>
      </c>
      <c r="E238" s="1" t="s">
        <v>56</v>
      </c>
      <c r="F238" s="1">
        <v>8</v>
      </c>
      <c r="G238" s="1">
        <v>12123</v>
      </c>
      <c r="H238" s="1">
        <v>2</v>
      </c>
      <c r="I238" s="2">
        <v>46137</v>
      </c>
      <c r="J238" s="2">
        <v>46145</v>
      </c>
      <c r="K238" s="1" t="s">
        <v>15</v>
      </c>
    </row>
    <row r="239" spans="1:11" ht="15.75" customHeight="1" x14ac:dyDescent="0.3">
      <c r="A239" s="1">
        <v>1238</v>
      </c>
      <c r="B239" s="1" t="s">
        <v>30</v>
      </c>
      <c r="C239" s="1" t="s">
        <v>31</v>
      </c>
      <c r="D239" s="1" t="s">
        <v>13</v>
      </c>
      <c r="E239" s="1" t="s">
        <v>14</v>
      </c>
      <c r="F239" s="1">
        <v>6</v>
      </c>
      <c r="G239" s="1">
        <v>180</v>
      </c>
      <c r="H239" s="1">
        <v>12</v>
      </c>
      <c r="I239" s="2">
        <v>46096</v>
      </c>
      <c r="J239" s="2">
        <v>46097</v>
      </c>
      <c r="K239" s="1" t="s">
        <v>51</v>
      </c>
    </row>
    <row r="240" spans="1:11" ht="15.75" customHeight="1" x14ac:dyDescent="0.3">
      <c r="A240" s="1">
        <v>1239</v>
      </c>
      <c r="B240" s="1" t="s">
        <v>48</v>
      </c>
      <c r="C240" s="1" t="s">
        <v>17</v>
      </c>
      <c r="D240" s="1" t="s">
        <v>18</v>
      </c>
      <c r="E240" s="1" t="s">
        <v>56</v>
      </c>
      <c r="F240" s="1">
        <v>2</v>
      </c>
      <c r="G240" s="1">
        <v>12330</v>
      </c>
      <c r="H240" s="1">
        <v>12</v>
      </c>
      <c r="I240" s="2">
        <v>46122</v>
      </c>
      <c r="J240" s="2">
        <v>46125</v>
      </c>
      <c r="K240" s="1" t="s">
        <v>15</v>
      </c>
    </row>
    <row r="241" spans="1:11" ht="15.75" customHeight="1" x14ac:dyDescent="0.3">
      <c r="A241" s="1">
        <v>1240</v>
      </c>
      <c r="B241" s="1" t="s">
        <v>55</v>
      </c>
      <c r="C241" s="1" t="s">
        <v>33</v>
      </c>
      <c r="D241" s="1" t="s">
        <v>18</v>
      </c>
      <c r="E241" s="1" t="s">
        <v>23</v>
      </c>
      <c r="F241" s="1">
        <v>2</v>
      </c>
      <c r="G241" s="1">
        <v>5475</v>
      </c>
      <c r="H241" s="1">
        <v>2</v>
      </c>
      <c r="I241" s="2">
        <v>46142</v>
      </c>
      <c r="J241" s="2">
        <v>46146</v>
      </c>
      <c r="K241" s="1" t="s">
        <v>29</v>
      </c>
    </row>
    <row r="242" spans="1:11" ht="15.75" customHeight="1" x14ac:dyDescent="0.3">
      <c r="A242" s="1">
        <v>1241</v>
      </c>
      <c r="B242" s="1" t="s">
        <v>46</v>
      </c>
      <c r="C242" s="1" t="s">
        <v>31</v>
      </c>
      <c r="D242" s="1" t="s">
        <v>18</v>
      </c>
      <c r="E242" s="1" t="s">
        <v>44</v>
      </c>
      <c r="F242" s="1">
        <v>1</v>
      </c>
      <c r="G242" s="1">
        <v>12537</v>
      </c>
      <c r="H242" s="1">
        <v>0</v>
      </c>
      <c r="I242" s="2">
        <v>46119</v>
      </c>
      <c r="J242" s="2">
        <v>46122</v>
      </c>
      <c r="K242" s="1" t="s">
        <v>15</v>
      </c>
    </row>
    <row r="243" spans="1:11" ht="15.75" customHeight="1" x14ac:dyDescent="0.3">
      <c r="A243" s="1">
        <v>1242</v>
      </c>
      <c r="B243" s="1" t="s">
        <v>54</v>
      </c>
      <c r="C243" s="1" t="s">
        <v>38</v>
      </c>
      <c r="D243" s="1" t="s">
        <v>13</v>
      </c>
      <c r="E243" s="1" t="s">
        <v>50</v>
      </c>
      <c r="F243" s="1">
        <v>7</v>
      </c>
      <c r="G243" s="1">
        <v>168</v>
      </c>
      <c r="H243" s="1">
        <v>10</v>
      </c>
      <c r="I243" s="2">
        <v>46191</v>
      </c>
      <c r="J243" s="2">
        <v>46196</v>
      </c>
      <c r="K243" s="1" t="s">
        <v>51</v>
      </c>
    </row>
    <row r="244" spans="1:11" ht="15.75" customHeight="1" x14ac:dyDescent="0.3">
      <c r="A244" s="1">
        <v>1243</v>
      </c>
      <c r="B244" s="1" t="s">
        <v>30</v>
      </c>
      <c r="C244" s="1" t="s">
        <v>31</v>
      </c>
      <c r="D244" s="1" t="s">
        <v>34</v>
      </c>
      <c r="E244" s="1" t="s">
        <v>41</v>
      </c>
      <c r="F244" s="1">
        <v>5</v>
      </c>
      <c r="G244" s="1">
        <v>11570</v>
      </c>
      <c r="H244" s="1">
        <v>15</v>
      </c>
      <c r="I244" s="2">
        <v>46069</v>
      </c>
      <c r="J244" s="2">
        <v>46077</v>
      </c>
      <c r="K244" s="1" t="s">
        <v>24</v>
      </c>
    </row>
    <row r="245" spans="1:11" ht="15.75" customHeight="1" x14ac:dyDescent="0.3">
      <c r="A245" s="1">
        <v>1244</v>
      </c>
      <c r="B245" s="1" t="s">
        <v>57</v>
      </c>
      <c r="C245" s="1" t="s">
        <v>38</v>
      </c>
      <c r="D245" s="1" t="s">
        <v>18</v>
      </c>
      <c r="E245" s="1" t="s">
        <v>28</v>
      </c>
      <c r="F245" s="1">
        <v>10</v>
      </c>
      <c r="G245" s="1">
        <v>6339</v>
      </c>
      <c r="H245" s="1">
        <v>12</v>
      </c>
      <c r="I245" s="2">
        <v>46200</v>
      </c>
      <c r="J245" s="2">
        <v>46205</v>
      </c>
      <c r="K245" s="1" t="s">
        <v>15</v>
      </c>
    </row>
    <row r="246" spans="1:11" ht="15.75" customHeight="1" x14ac:dyDescent="0.3">
      <c r="A246" s="1">
        <v>1245</v>
      </c>
      <c r="B246" s="1" t="s">
        <v>55</v>
      </c>
      <c r="C246" s="1" t="s">
        <v>43</v>
      </c>
      <c r="D246" s="1" t="s">
        <v>34</v>
      </c>
      <c r="E246" s="1" t="s">
        <v>41</v>
      </c>
      <c r="F246" s="1">
        <v>19</v>
      </c>
      <c r="G246" s="1">
        <v>69029</v>
      </c>
      <c r="H246" s="1">
        <v>7</v>
      </c>
      <c r="I246" s="2">
        <v>46176</v>
      </c>
      <c r="J246" s="2">
        <v>46179</v>
      </c>
      <c r="K246" s="1" t="s">
        <v>29</v>
      </c>
    </row>
    <row r="247" spans="1:11" ht="15.75" customHeight="1" x14ac:dyDescent="0.3">
      <c r="A247" s="1">
        <v>1246</v>
      </c>
      <c r="B247" s="1" t="s">
        <v>55</v>
      </c>
      <c r="C247" s="1" t="s">
        <v>22</v>
      </c>
      <c r="D247" s="1" t="s">
        <v>34</v>
      </c>
      <c r="E247" s="1" t="s">
        <v>35</v>
      </c>
      <c r="F247" s="1">
        <v>13</v>
      </c>
      <c r="G247" s="1">
        <v>1825</v>
      </c>
      <c r="H247" s="1">
        <v>2</v>
      </c>
      <c r="I247" s="2">
        <v>46039</v>
      </c>
      <c r="J247" s="2">
        <v>46045</v>
      </c>
      <c r="K247" s="1" t="s">
        <v>51</v>
      </c>
    </row>
    <row r="248" spans="1:11" ht="15.75" customHeight="1" x14ac:dyDescent="0.3">
      <c r="A248" s="1">
        <v>1247</v>
      </c>
      <c r="B248" s="1" t="s">
        <v>26</v>
      </c>
      <c r="C248" s="1" t="s">
        <v>12</v>
      </c>
      <c r="D248" s="1" t="s">
        <v>13</v>
      </c>
      <c r="E248" s="1" t="s">
        <v>50</v>
      </c>
      <c r="F248" s="1">
        <v>10</v>
      </c>
      <c r="G248" s="1">
        <v>336</v>
      </c>
      <c r="H248" s="1">
        <v>7</v>
      </c>
      <c r="I248" s="2">
        <v>46173</v>
      </c>
      <c r="J248" s="2">
        <v>46175</v>
      </c>
      <c r="K248" s="1" t="s">
        <v>20</v>
      </c>
    </row>
    <row r="249" spans="1:11" ht="15.75" customHeight="1" x14ac:dyDescent="0.3">
      <c r="A249" s="1">
        <v>1248</v>
      </c>
      <c r="B249" s="1" t="s">
        <v>27</v>
      </c>
      <c r="C249" s="1" t="s">
        <v>43</v>
      </c>
      <c r="D249" s="1" t="s">
        <v>13</v>
      </c>
      <c r="E249" s="1" t="s">
        <v>37</v>
      </c>
      <c r="F249" s="1">
        <v>5</v>
      </c>
      <c r="G249" s="1">
        <v>398</v>
      </c>
      <c r="H249" s="1">
        <v>7</v>
      </c>
      <c r="I249" s="2">
        <v>46161</v>
      </c>
      <c r="J249" s="2">
        <v>46171</v>
      </c>
      <c r="K249" s="1" t="s">
        <v>29</v>
      </c>
    </row>
    <row r="250" spans="1:11" ht="15.75" customHeight="1" x14ac:dyDescent="0.3">
      <c r="A250" s="1">
        <v>1249</v>
      </c>
      <c r="B250" s="1" t="s">
        <v>16</v>
      </c>
      <c r="C250" s="1" t="s">
        <v>25</v>
      </c>
      <c r="D250" s="1" t="s">
        <v>34</v>
      </c>
      <c r="E250" s="1" t="s">
        <v>41</v>
      </c>
      <c r="F250" s="1">
        <v>18</v>
      </c>
      <c r="G250" s="1">
        <v>6360</v>
      </c>
      <c r="H250" s="1">
        <v>12</v>
      </c>
      <c r="I250" s="2">
        <v>46163</v>
      </c>
      <c r="J250" s="2">
        <v>46165</v>
      </c>
      <c r="K250" s="1" t="s">
        <v>20</v>
      </c>
    </row>
    <row r="251" spans="1:11" ht="15.75" customHeight="1" x14ac:dyDescent="0.3">
      <c r="A251" s="1">
        <v>1250</v>
      </c>
      <c r="B251" s="1" t="s">
        <v>11</v>
      </c>
      <c r="C251" s="1" t="s">
        <v>17</v>
      </c>
      <c r="D251" s="1" t="s">
        <v>34</v>
      </c>
      <c r="E251" s="1" t="s">
        <v>45</v>
      </c>
      <c r="F251" s="1">
        <v>2</v>
      </c>
      <c r="G251" s="1">
        <v>65953</v>
      </c>
      <c r="H251" s="1">
        <v>7</v>
      </c>
      <c r="I251" s="2">
        <v>46051</v>
      </c>
      <c r="J251" s="2">
        <v>46053</v>
      </c>
      <c r="K251" s="1" t="s">
        <v>29</v>
      </c>
    </row>
    <row r="252" spans="1:11" ht="15.75" customHeight="1" x14ac:dyDescent="0.3">
      <c r="A252" s="1">
        <v>1251</v>
      </c>
      <c r="B252" s="1" t="s">
        <v>55</v>
      </c>
      <c r="C252" s="1" t="s">
        <v>38</v>
      </c>
      <c r="D252" s="1" t="s">
        <v>34</v>
      </c>
      <c r="E252" s="1" t="s">
        <v>61</v>
      </c>
      <c r="F252" s="1">
        <v>19</v>
      </c>
      <c r="G252" s="1">
        <v>48548</v>
      </c>
      <c r="H252" s="1">
        <v>0</v>
      </c>
      <c r="I252" s="2">
        <v>46112</v>
      </c>
      <c r="J252" s="2">
        <v>46121</v>
      </c>
      <c r="K252" s="1" t="s">
        <v>51</v>
      </c>
    </row>
    <row r="253" spans="1:11" ht="15.75" customHeight="1" x14ac:dyDescent="0.3">
      <c r="A253" s="1">
        <v>1252</v>
      </c>
      <c r="B253" s="1" t="s">
        <v>47</v>
      </c>
      <c r="C253" s="1" t="s">
        <v>25</v>
      </c>
      <c r="D253" s="1" t="s">
        <v>13</v>
      </c>
      <c r="E253" s="1" t="s">
        <v>36</v>
      </c>
      <c r="F253" s="1">
        <v>15</v>
      </c>
      <c r="G253" s="1">
        <v>257</v>
      </c>
      <c r="H253" s="1">
        <v>5</v>
      </c>
      <c r="I253" s="2">
        <v>46166</v>
      </c>
      <c r="J253" s="2">
        <v>46173</v>
      </c>
      <c r="K253" s="1" t="s">
        <v>20</v>
      </c>
    </row>
    <row r="254" spans="1:11" ht="15.75" customHeight="1" x14ac:dyDescent="0.3">
      <c r="A254" s="1">
        <v>1253</v>
      </c>
      <c r="B254" s="1" t="s">
        <v>21</v>
      </c>
      <c r="C254" s="1" t="s">
        <v>31</v>
      </c>
      <c r="D254" s="1" t="s">
        <v>34</v>
      </c>
      <c r="E254" s="1" t="s">
        <v>45</v>
      </c>
      <c r="F254" s="1">
        <v>20</v>
      </c>
      <c r="G254" s="1">
        <v>47880</v>
      </c>
      <c r="H254" s="1">
        <v>7</v>
      </c>
      <c r="I254" s="2">
        <v>46074</v>
      </c>
      <c r="J254" s="2">
        <v>46075</v>
      </c>
      <c r="K254" s="1" t="s">
        <v>29</v>
      </c>
    </row>
    <row r="255" spans="1:11" ht="15.75" customHeight="1" x14ac:dyDescent="0.3">
      <c r="A255" s="1">
        <v>1254</v>
      </c>
      <c r="B255" s="1" t="s">
        <v>52</v>
      </c>
      <c r="C255" s="1" t="s">
        <v>22</v>
      </c>
      <c r="D255" s="1" t="s">
        <v>13</v>
      </c>
      <c r="E255" s="1" t="s">
        <v>50</v>
      </c>
      <c r="F255" s="1">
        <v>18</v>
      </c>
      <c r="G255" s="1">
        <v>447</v>
      </c>
      <c r="H255" s="1">
        <v>15</v>
      </c>
      <c r="I255" s="2">
        <v>46141</v>
      </c>
      <c r="J255" s="2">
        <v>46149</v>
      </c>
      <c r="K255" s="1" t="s">
        <v>24</v>
      </c>
    </row>
    <row r="256" spans="1:11" ht="15.75" customHeight="1" x14ac:dyDescent="0.3">
      <c r="A256" s="1">
        <v>1255</v>
      </c>
      <c r="B256" s="1" t="s">
        <v>32</v>
      </c>
      <c r="C256" s="1" t="s">
        <v>17</v>
      </c>
      <c r="D256" s="1" t="s">
        <v>18</v>
      </c>
      <c r="E256" s="1" t="s">
        <v>19</v>
      </c>
      <c r="F256" s="1">
        <v>1</v>
      </c>
      <c r="G256" s="1">
        <v>2240</v>
      </c>
      <c r="H256" s="1">
        <v>5</v>
      </c>
      <c r="I256" s="2">
        <v>46091</v>
      </c>
      <c r="J256" s="2">
        <v>46095</v>
      </c>
      <c r="K256" s="1" t="s">
        <v>20</v>
      </c>
    </row>
    <row r="257" spans="1:11" ht="15.75" customHeight="1" x14ac:dyDescent="0.3">
      <c r="A257" s="1">
        <v>1256</v>
      </c>
      <c r="B257" s="1" t="s">
        <v>48</v>
      </c>
      <c r="C257" s="1" t="s">
        <v>31</v>
      </c>
      <c r="D257" s="1" t="s">
        <v>13</v>
      </c>
      <c r="E257" s="1" t="s">
        <v>50</v>
      </c>
      <c r="F257" s="1">
        <v>19</v>
      </c>
      <c r="G257" s="1">
        <v>406</v>
      </c>
      <c r="H257" s="1">
        <v>7</v>
      </c>
      <c r="I257" s="2">
        <v>46057</v>
      </c>
      <c r="J257" s="2">
        <v>46061</v>
      </c>
      <c r="K257" s="1" t="s">
        <v>15</v>
      </c>
    </row>
    <row r="258" spans="1:11" ht="15.75" customHeight="1" x14ac:dyDescent="0.3">
      <c r="A258" s="1">
        <v>1257</v>
      </c>
      <c r="B258" s="1" t="s">
        <v>54</v>
      </c>
      <c r="C258" s="1" t="s">
        <v>25</v>
      </c>
      <c r="D258" s="1" t="s">
        <v>34</v>
      </c>
      <c r="E258" s="1" t="s">
        <v>61</v>
      </c>
      <c r="F258" s="1">
        <v>7</v>
      </c>
      <c r="G258" s="1">
        <v>53243</v>
      </c>
      <c r="H258" s="1">
        <v>12</v>
      </c>
      <c r="I258" s="2">
        <v>46161</v>
      </c>
      <c r="J258" s="2">
        <v>46171</v>
      </c>
      <c r="K258" s="1" t="s">
        <v>15</v>
      </c>
    </row>
    <row r="259" spans="1:11" ht="15.75" customHeight="1" x14ac:dyDescent="0.3">
      <c r="A259" s="1">
        <v>1258</v>
      </c>
      <c r="B259" s="1" t="s">
        <v>32</v>
      </c>
      <c r="C259" s="1" t="s">
        <v>31</v>
      </c>
      <c r="D259" s="1" t="s">
        <v>34</v>
      </c>
      <c r="E259" s="1" t="s">
        <v>60</v>
      </c>
      <c r="F259" s="1">
        <v>1</v>
      </c>
      <c r="G259" s="1">
        <v>10600</v>
      </c>
      <c r="H259" s="1">
        <v>5</v>
      </c>
      <c r="I259" s="2">
        <v>46137</v>
      </c>
      <c r="J259" s="2">
        <v>46138</v>
      </c>
      <c r="K259" s="1" t="s">
        <v>29</v>
      </c>
    </row>
    <row r="260" spans="1:11" ht="15.75" customHeight="1" x14ac:dyDescent="0.3">
      <c r="A260" s="1">
        <v>1259</v>
      </c>
      <c r="B260" s="1" t="s">
        <v>42</v>
      </c>
      <c r="C260" s="1" t="s">
        <v>22</v>
      </c>
      <c r="D260" s="1" t="s">
        <v>34</v>
      </c>
      <c r="E260" s="1" t="s">
        <v>45</v>
      </c>
      <c r="F260" s="1">
        <v>10</v>
      </c>
      <c r="G260" s="1">
        <v>38771</v>
      </c>
      <c r="H260" s="1">
        <v>15</v>
      </c>
      <c r="I260" s="2">
        <v>46172</v>
      </c>
      <c r="J260" s="2">
        <v>46182</v>
      </c>
      <c r="K260" s="1" t="s">
        <v>15</v>
      </c>
    </row>
    <row r="261" spans="1:11" ht="15.75" customHeight="1" x14ac:dyDescent="0.3">
      <c r="A261" s="1">
        <v>1260</v>
      </c>
      <c r="B261" s="1" t="s">
        <v>54</v>
      </c>
      <c r="C261" s="1" t="s">
        <v>38</v>
      </c>
      <c r="D261" s="1" t="s">
        <v>34</v>
      </c>
      <c r="E261" s="1" t="s">
        <v>41</v>
      </c>
      <c r="F261" s="1">
        <v>19</v>
      </c>
      <c r="G261" s="1">
        <v>54981</v>
      </c>
      <c r="H261" s="1">
        <v>10</v>
      </c>
      <c r="I261" s="2">
        <v>46040</v>
      </c>
      <c r="J261" s="2">
        <v>46045</v>
      </c>
      <c r="K261" s="1" t="s">
        <v>29</v>
      </c>
    </row>
    <row r="262" spans="1:11" ht="15.75" customHeight="1" x14ac:dyDescent="0.3">
      <c r="A262" s="1">
        <v>1261</v>
      </c>
      <c r="B262" s="1" t="s">
        <v>40</v>
      </c>
      <c r="C262" s="1" t="s">
        <v>17</v>
      </c>
      <c r="D262" s="1" t="s">
        <v>13</v>
      </c>
      <c r="E262" s="1" t="s">
        <v>50</v>
      </c>
      <c r="F262" s="1">
        <v>20</v>
      </c>
      <c r="G262" s="1">
        <v>162</v>
      </c>
      <c r="H262" s="1">
        <v>7</v>
      </c>
      <c r="I262" s="2">
        <v>46119</v>
      </c>
      <c r="J262" s="2">
        <v>46120</v>
      </c>
      <c r="K262" s="1" t="s">
        <v>51</v>
      </c>
    </row>
    <row r="263" spans="1:11" ht="15.75" customHeight="1" x14ac:dyDescent="0.3">
      <c r="A263" s="1">
        <v>1262</v>
      </c>
      <c r="B263" s="1" t="s">
        <v>16</v>
      </c>
      <c r="C263" s="1" t="s">
        <v>22</v>
      </c>
      <c r="D263" s="1" t="s">
        <v>18</v>
      </c>
      <c r="E263" s="1" t="s">
        <v>28</v>
      </c>
      <c r="F263" s="1">
        <v>9</v>
      </c>
      <c r="G263" s="1">
        <v>2231</v>
      </c>
      <c r="H263" s="1">
        <v>15</v>
      </c>
      <c r="I263" s="2">
        <v>46174</v>
      </c>
      <c r="J263" s="2">
        <v>46183</v>
      </c>
      <c r="K263" s="1" t="s">
        <v>15</v>
      </c>
    </row>
    <row r="264" spans="1:11" ht="15.75" customHeight="1" x14ac:dyDescent="0.3">
      <c r="A264" s="1">
        <v>1263</v>
      </c>
      <c r="B264" s="1" t="s">
        <v>29</v>
      </c>
      <c r="C264" s="1" t="s">
        <v>38</v>
      </c>
      <c r="D264" s="1" t="s">
        <v>18</v>
      </c>
      <c r="E264" s="1" t="s">
        <v>28</v>
      </c>
      <c r="F264" s="1">
        <v>10</v>
      </c>
      <c r="G264" s="1">
        <v>1505</v>
      </c>
      <c r="H264" s="1">
        <v>0</v>
      </c>
      <c r="I264" s="2">
        <v>46130</v>
      </c>
      <c r="J264" s="2">
        <v>46138</v>
      </c>
      <c r="K264" s="1" t="s">
        <v>51</v>
      </c>
    </row>
    <row r="265" spans="1:11" ht="15.75" customHeight="1" x14ac:dyDescent="0.3">
      <c r="A265" s="1">
        <v>1264</v>
      </c>
      <c r="B265" s="1" t="s">
        <v>11</v>
      </c>
      <c r="C265" s="1" t="s">
        <v>22</v>
      </c>
      <c r="D265" s="1" t="s">
        <v>18</v>
      </c>
      <c r="E265" s="1" t="s">
        <v>28</v>
      </c>
      <c r="F265" s="1">
        <v>15</v>
      </c>
      <c r="G265" s="1">
        <v>6365</v>
      </c>
      <c r="H265" s="1">
        <v>10</v>
      </c>
      <c r="I265" s="2">
        <v>46200</v>
      </c>
      <c r="J265" s="2">
        <v>46206</v>
      </c>
      <c r="K265" s="1" t="s">
        <v>20</v>
      </c>
    </row>
    <row r="266" spans="1:11" ht="15.75" customHeight="1" x14ac:dyDescent="0.3">
      <c r="A266" s="1">
        <v>1265</v>
      </c>
      <c r="B266" s="1" t="s">
        <v>58</v>
      </c>
      <c r="C266" s="1" t="s">
        <v>22</v>
      </c>
      <c r="D266" s="1" t="s">
        <v>18</v>
      </c>
      <c r="E266" s="1" t="s">
        <v>19</v>
      </c>
      <c r="F266" s="1">
        <v>1</v>
      </c>
      <c r="G266" s="1">
        <v>1052</v>
      </c>
      <c r="H266" s="1">
        <v>7</v>
      </c>
      <c r="I266" s="2">
        <v>46117</v>
      </c>
      <c r="J266" s="2">
        <v>46127</v>
      </c>
      <c r="K266" s="1" t="s">
        <v>51</v>
      </c>
    </row>
    <row r="267" spans="1:11" ht="15.75" customHeight="1" x14ac:dyDescent="0.3">
      <c r="A267" s="1">
        <v>1266</v>
      </c>
      <c r="B267" s="1" t="s">
        <v>29</v>
      </c>
      <c r="C267" s="1" t="s">
        <v>33</v>
      </c>
      <c r="D267" s="1" t="s">
        <v>13</v>
      </c>
      <c r="E267" s="1" t="s">
        <v>14</v>
      </c>
      <c r="F267" s="1">
        <v>17</v>
      </c>
      <c r="G267" s="1">
        <v>365</v>
      </c>
      <c r="H267" s="1">
        <v>2</v>
      </c>
      <c r="I267" s="2">
        <v>46096</v>
      </c>
      <c r="J267" s="2">
        <v>46104</v>
      </c>
      <c r="K267" s="1" t="s">
        <v>51</v>
      </c>
    </row>
    <row r="268" spans="1:11" ht="15.75" customHeight="1" x14ac:dyDescent="0.3">
      <c r="A268" s="1">
        <v>1267</v>
      </c>
      <c r="B268" s="1" t="s">
        <v>27</v>
      </c>
      <c r="C268" s="1" t="s">
        <v>38</v>
      </c>
      <c r="D268" s="1" t="s">
        <v>13</v>
      </c>
      <c r="E268" s="1" t="s">
        <v>50</v>
      </c>
      <c r="F268" s="1">
        <v>1</v>
      </c>
      <c r="G268" s="1">
        <v>50</v>
      </c>
      <c r="H268" s="1">
        <v>0</v>
      </c>
      <c r="I268" s="2">
        <v>46129</v>
      </c>
      <c r="J268" s="2">
        <v>46138</v>
      </c>
      <c r="K268" s="1" t="s">
        <v>20</v>
      </c>
    </row>
    <row r="269" spans="1:11" ht="15.75" customHeight="1" x14ac:dyDescent="0.3">
      <c r="A269" s="1">
        <v>1268</v>
      </c>
      <c r="B269" s="1" t="s">
        <v>42</v>
      </c>
      <c r="C269" s="1" t="s">
        <v>38</v>
      </c>
      <c r="D269" s="1" t="s">
        <v>34</v>
      </c>
      <c r="E269" s="1" t="s">
        <v>45</v>
      </c>
      <c r="F269" s="1">
        <v>10</v>
      </c>
      <c r="G269" s="1">
        <v>46291</v>
      </c>
      <c r="H269" s="1">
        <v>12</v>
      </c>
      <c r="I269" s="2">
        <v>46199</v>
      </c>
      <c r="J269" s="2">
        <v>46202</v>
      </c>
      <c r="K269" s="1" t="s">
        <v>20</v>
      </c>
    </row>
    <row r="270" spans="1:11" ht="15.75" customHeight="1" x14ac:dyDescent="0.3">
      <c r="A270" s="1">
        <v>1269</v>
      </c>
      <c r="B270" s="1" t="s">
        <v>52</v>
      </c>
      <c r="C270" s="1" t="s">
        <v>43</v>
      </c>
      <c r="D270" s="1" t="s">
        <v>18</v>
      </c>
      <c r="E270" s="1" t="s">
        <v>19</v>
      </c>
      <c r="F270" s="1">
        <v>14</v>
      </c>
      <c r="G270" s="1">
        <v>5704</v>
      </c>
      <c r="H270" s="1">
        <v>2</v>
      </c>
      <c r="I270" s="2">
        <v>46129</v>
      </c>
      <c r="J270" s="2">
        <v>46131</v>
      </c>
      <c r="K270" s="1" t="s">
        <v>15</v>
      </c>
    </row>
    <row r="271" spans="1:11" ht="15.75" customHeight="1" x14ac:dyDescent="0.3">
      <c r="A271" s="1">
        <v>1270</v>
      </c>
      <c r="B271" s="1" t="s">
        <v>49</v>
      </c>
      <c r="C271" s="1" t="s">
        <v>43</v>
      </c>
      <c r="D271" s="1" t="s">
        <v>34</v>
      </c>
      <c r="E271" s="1" t="s">
        <v>35</v>
      </c>
      <c r="F271" s="1">
        <v>16</v>
      </c>
      <c r="G271" s="1">
        <v>62941</v>
      </c>
      <c r="H271" s="1">
        <v>7</v>
      </c>
      <c r="I271" s="2">
        <v>46135</v>
      </c>
      <c r="J271" s="2">
        <v>46141</v>
      </c>
      <c r="K271" s="1" t="s">
        <v>51</v>
      </c>
    </row>
    <row r="272" spans="1:11" ht="15.75" customHeight="1" x14ac:dyDescent="0.3">
      <c r="A272" s="1">
        <v>1271</v>
      </c>
      <c r="B272" s="1" t="s">
        <v>40</v>
      </c>
      <c r="C272" s="1" t="s">
        <v>33</v>
      </c>
      <c r="D272" s="1" t="s">
        <v>34</v>
      </c>
      <c r="E272" s="1" t="s">
        <v>60</v>
      </c>
      <c r="F272" s="1">
        <v>20</v>
      </c>
      <c r="G272" s="1">
        <v>36941</v>
      </c>
      <c r="H272" s="1">
        <v>15</v>
      </c>
      <c r="I272" s="2">
        <v>46083</v>
      </c>
      <c r="J272" s="2">
        <v>46085</v>
      </c>
      <c r="K272" s="1" t="s">
        <v>29</v>
      </c>
    </row>
    <row r="273" spans="1:11" ht="15.75" customHeight="1" x14ac:dyDescent="0.3">
      <c r="A273" s="1">
        <v>1272</v>
      </c>
      <c r="B273" s="1" t="s">
        <v>52</v>
      </c>
      <c r="C273" s="1" t="s">
        <v>38</v>
      </c>
      <c r="D273" s="1" t="s">
        <v>34</v>
      </c>
      <c r="E273" s="1" t="s">
        <v>41</v>
      </c>
      <c r="F273" s="1">
        <v>13</v>
      </c>
      <c r="G273" s="1">
        <v>42179</v>
      </c>
      <c r="H273" s="1">
        <v>0</v>
      </c>
      <c r="I273" s="2">
        <v>46078</v>
      </c>
      <c r="J273" s="2">
        <v>46084</v>
      </c>
      <c r="K273" s="1" t="s">
        <v>20</v>
      </c>
    </row>
    <row r="274" spans="1:11" ht="15.75" customHeight="1" x14ac:dyDescent="0.3">
      <c r="A274" s="1">
        <v>1273</v>
      </c>
      <c r="B274" s="1" t="s">
        <v>46</v>
      </c>
      <c r="C274" s="1" t="s">
        <v>25</v>
      </c>
      <c r="D274" s="1" t="s">
        <v>34</v>
      </c>
      <c r="E274" s="1" t="s">
        <v>39</v>
      </c>
      <c r="F274" s="1">
        <v>12</v>
      </c>
      <c r="G274" s="1">
        <v>20618</v>
      </c>
      <c r="H274" s="1">
        <v>12</v>
      </c>
      <c r="I274" s="2">
        <v>46172</v>
      </c>
      <c r="J274" s="2">
        <v>46174</v>
      </c>
      <c r="K274" s="1" t="s">
        <v>20</v>
      </c>
    </row>
    <row r="275" spans="1:11" ht="15.75" customHeight="1" x14ac:dyDescent="0.3">
      <c r="A275" s="1">
        <v>1274</v>
      </c>
      <c r="B275" s="1" t="s">
        <v>26</v>
      </c>
      <c r="C275" s="1" t="s">
        <v>25</v>
      </c>
      <c r="D275" s="1" t="s">
        <v>34</v>
      </c>
      <c r="E275" s="1" t="s">
        <v>41</v>
      </c>
      <c r="F275" s="1">
        <v>13</v>
      </c>
      <c r="G275" s="1">
        <v>36652</v>
      </c>
      <c r="H275" s="1">
        <v>12</v>
      </c>
      <c r="I275" s="2">
        <v>46179</v>
      </c>
      <c r="J275" s="2">
        <v>46186</v>
      </c>
      <c r="K275" s="1" t="s">
        <v>20</v>
      </c>
    </row>
    <row r="276" spans="1:11" ht="15.75" customHeight="1" x14ac:dyDescent="0.3">
      <c r="A276" s="1">
        <v>1275</v>
      </c>
      <c r="B276" s="1" t="s">
        <v>16</v>
      </c>
      <c r="C276" s="1" t="s">
        <v>31</v>
      </c>
      <c r="D276" s="1" t="s">
        <v>13</v>
      </c>
      <c r="E276" s="1" t="s">
        <v>50</v>
      </c>
      <c r="F276" s="1">
        <v>20</v>
      </c>
      <c r="G276" s="1">
        <v>451</v>
      </c>
      <c r="H276" s="1">
        <v>15</v>
      </c>
      <c r="I276" s="2">
        <v>46092</v>
      </c>
      <c r="J276" s="2">
        <v>46094</v>
      </c>
      <c r="K276" s="1" t="s">
        <v>20</v>
      </c>
    </row>
    <row r="277" spans="1:11" ht="15.75" customHeight="1" x14ac:dyDescent="0.3">
      <c r="A277" s="1">
        <v>1276</v>
      </c>
      <c r="B277" s="1" t="s">
        <v>40</v>
      </c>
      <c r="C277" s="1" t="s">
        <v>12</v>
      </c>
      <c r="D277" s="1" t="s">
        <v>18</v>
      </c>
      <c r="E277" s="1" t="s">
        <v>19</v>
      </c>
      <c r="F277" s="1">
        <v>1</v>
      </c>
      <c r="G277" s="1">
        <v>13437</v>
      </c>
      <c r="H277" s="1">
        <v>15</v>
      </c>
      <c r="I277" s="2">
        <v>46097</v>
      </c>
      <c r="J277" s="2">
        <v>46099</v>
      </c>
      <c r="K277" s="1" t="s">
        <v>24</v>
      </c>
    </row>
    <row r="278" spans="1:11" ht="15.75" customHeight="1" x14ac:dyDescent="0.3">
      <c r="A278" s="1">
        <v>1277</v>
      </c>
      <c r="B278" s="1" t="s">
        <v>59</v>
      </c>
      <c r="C278" s="1" t="s">
        <v>17</v>
      </c>
      <c r="D278" s="1" t="s">
        <v>13</v>
      </c>
      <c r="E278" s="1" t="s">
        <v>36</v>
      </c>
      <c r="F278" s="1">
        <v>14</v>
      </c>
      <c r="G278" s="1">
        <v>276</v>
      </c>
      <c r="H278" s="1">
        <v>0</v>
      </c>
      <c r="I278" s="2">
        <v>46086</v>
      </c>
      <c r="J278" s="2">
        <v>46089</v>
      </c>
      <c r="K278" s="1" t="s">
        <v>15</v>
      </c>
    </row>
    <row r="279" spans="1:11" ht="15.75" customHeight="1" x14ac:dyDescent="0.3">
      <c r="A279" s="1">
        <v>1278</v>
      </c>
      <c r="B279" s="1" t="s">
        <v>47</v>
      </c>
      <c r="C279" s="1" t="s">
        <v>22</v>
      </c>
      <c r="D279" s="1" t="s">
        <v>34</v>
      </c>
      <c r="E279" s="1" t="s">
        <v>61</v>
      </c>
      <c r="F279" s="1">
        <v>4</v>
      </c>
      <c r="G279" s="1">
        <v>20639</v>
      </c>
      <c r="H279" s="1">
        <v>7</v>
      </c>
      <c r="I279" s="2">
        <v>46180</v>
      </c>
      <c r="J279" s="2">
        <v>46186</v>
      </c>
      <c r="K279" s="1" t="s">
        <v>20</v>
      </c>
    </row>
    <row r="280" spans="1:11" ht="15.75" customHeight="1" x14ac:dyDescent="0.3">
      <c r="A280" s="1">
        <v>1279</v>
      </c>
      <c r="B280" s="1" t="s">
        <v>55</v>
      </c>
      <c r="C280" s="1" t="s">
        <v>33</v>
      </c>
      <c r="D280" s="1" t="s">
        <v>34</v>
      </c>
      <c r="E280" s="1" t="s">
        <v>45</v>
      </c>
      <c r="F280" s="1">
        <v>20</v>
      </c>
      <c r="G280" s="1">
        <v>49042</v>
      </c>
      <c r="H280" s="1">
        <v>2</v>
      </c>
      <c r="I280" s="2">
        <v>46124</v>
      </c>
      <c r="J280" s="2">
        <v>46126</v>
      </c>
      <c r="K280" s="1" t="s">
        <v>15</v>
      </c>
    </row>
    <row r="281" spans="1:11" ht="15.75" customHeight="1" x14ac:dyDescent="0.3">
      <c r="A281" s="1">
        <v>1280</v>
      </c>
      <c r="B281" s="1" t="s">
        <v>59</v>
      </c>
      <c r="C281" s="1" t="s">
        <v>38</v>
      </c>
      <c r="D281" s="1" t="s">
        <v>13</v>
      </c>
      <c r="E281" s="1" t="s">
        <v>53</v>
      </c>
      <c r="F281" s="1">
        <v>9</v>
      </c>
      <c r="G281" s="1">
        <v>50</v>
      </c>
      <c r="H281" s="1">
        <v>7</v>
      </c>
      <c r="I281" s="2">
        <v>46085</v>
      </c>
      <c r="J281" s="2">
        <v>46095</v>
      </c>
      <c r="K281" s="1" t="s">
        <v>51</v>
      </c>
    </row>
    <row r="282" spans="1:11" ht="15.75" customHeight="1" x14ac:dyDescent="0.3">
      <c r="A282" s="1">
        <v>1281</v>
      </c>
      <c r="B282" s="1" t="s">
        <v>55</v>
      </c>
      <c r="C282" s="1" t="s">
        <v>17</v>
      </c>
      <c r="D282" s="1" t="s">
        <v>13</v>
      </c>
      <c r="E282" s="1" t="s">
        <v>50</v>
      </c>
      <c r="F282" s="1">
        <v>6</v>
      </c>
      <c r="G282" s="1">
        <v>253</v>
      </c>
      <c r="H282" s="1">
        <v>0</v>
      </c>
      <c r="I282" s="2">
        <v>46055</v>
      </c>
      <c r="J282" s="2">
        <v>46063</v>
      </c>
      <c r="K282" s="1" t="s">
        <v>24</v>
      </c>
    </row>
    <row r="283" spans="1:11" ht="15.75" customHeight="1" x14ac:dyDescent="0.3">
      <c r="A283" s="1">
        <v>1282</v>
      </c>
      <c r="B283" s="1" t="s">
        <v>57</v>
      </c>
      <c r="C283" s="1" t="s">
        <v>43</v>
      </c>
      <c r="D283" s="1" t="s">
        <v>18</v>
      </c>
      <c r="E283" s="1" t="s">
        <v>44</v>
      </c>
      <c r="F283" s="1">
        <v>12</v>
      </c>
      <c r="G283" s="1">
        <v>3178</v>
      </c>
      <c r="H283" s="1">
        <v>10</v>
      </c>
      <c r="I283" s="2">
        <v>46176</v>
      </c>
      <c r="J283" s="2">
        <v>46177</v>
      </c>
      <c r="K283" s="1" t="s">
        <v>29</v>
      </c>
    </row>
    <row r="284" spans="1:11" ht="15.75" customHeight="1" x14ac:dyDescent="0.3">
      <c r="A284" s="1">
        <v>1283</v>
      </c>
      <c r="B284" s="1" t="s">
        <v>40</v>
      </c>
      <c r="C284" s="1" t="s">
        <v>12</v>
      </c>
      <c r="D284" s="1" t="s">
        <v>18</v>
      </c>
      <c r="E284" s="1" t="s">
        <v>23</v>
      </c>
      <c r="F284" s="1">
        <v>6</v>
      </c>
      <c r="G284" s="1">
        <v>1167</v>
      </c>
      <c r="H284" s="1">
        <v>2</v>
      </c>
      <c r="I284" s="2">
        <v>46100</v>
      </c>
      <c r="J284" s="2">
        <v>46106</v>
      </c>
      <c r="K284" s="1" t="s">
        <v>15</v>
      </c>
    </row>
    <row r="285" spans="1:11" ht="15.75" customHeight="1" x14ac:dyDescent="0.3">
      <c r="A285" s="1">
        <v>1284</v>
      </c>
      <c r="B285" s="1" t="s">
        <v>40</v>
      </c>
      <c r="C285" s="1" t="s">
        <v>25</v>
      </c>
      <c r="D285" s="1" t="s">
        <v>13</v>
      </c>
      <c r="E285" s="1" t="s">
        <v>37</v>
      </c>
      <c r="F285" s="1">
        <v>16</v>
      </c>
      <c r="G285" s="1">
        <v>419</v>
      </c>
      <c r="H285" s="1">
        <v>2</v>
      </c>
      <c r="I285" s="2">
        <v>46082</v>
      </c>
      <c r="J285" s="2">
        <v>46090</v>
      </c>
      <c r="K285" s="1" t="s">
        <v>15</v>
      </c>
    </row>
    <row r="286" spans="1:11" ht="15.75" customHeight="1" x14ac:dyDescent="0.3">
      <c r="A286" s="1">
        <v>1285</v>
      </c>
      <c r="B286" s="1" t="s">
        <v>32</v>
      </c>
      <c r="C286" s="1" t="s">
        <v>38</v>
      </c>
      <c r="D286" s="1" t="s">
        <v>13</v>
      </c>
      <c r="E286" s="1" t="s">
        <v>36</v>
      </c>
      <c r="F286" s="1">
        <v>7</v>
      </c>
      <c r="G286" s="1">
        <v>439</v>
      </c>
      <c r="H286" s="1">
        <v>15</v>
      </c>
      <c r="I286" s="2">
        <v>46055</v>
      </c>
      <c r="J286" s="2">
        <v>46058</v>
      </c>
      <c r="K286" s="1" t="s">
        <v>20</v>
      </c>
    </row>
    <row r="287" spans="1:11" ht="15.75" customHeight="1" x14ac:dyDescent="0.3">
      <c r="A287" s="1">
        <v>1286</v>
      </c>
      <c r="B287" s="1" t="s">
        <v>46</v>
      </c>
      <c r="C287" s="1" t="s">
        <v>17</v>
      </c>
      <c r="D287" s="1" t="s">
        <v>18</v>
      </c>
      <c r="E287" s="1" t="s">
        <v>56</v>
      </c>
      <c r="F287" s="1">
        <v>9</v>
      </c>
      <c r="G287" s="1">
        <v>1340</v>
      </c>
      <c r="H287" s="1">
        <v>2</v>
      </c>
      <c r="I287" s="2">
        <v>46168</v>
      </c>
      <c r="J287" s="2">
        <v>46173</v>
      </c>
      <c r="K287" s="1" t="s">
        <v>15</v>
      </c>
    </row>
    <row r="288" spans="1:11" ht="15.75" customHeight="1" x14ac:dyDescent="0.3">
      <c r="A288" s="1">
        <v>1287</v>
      </c>
      <c r="B288" s="1" t="s">
        <v>59</v>
      </c>
      <c r="C288" s="1" t="s">
        <v>31</v>
      </c>
      <c r="D288" s="1" t="s">
        <v>13</v>
      </c>
      <c r="E288" s="1" t="s">
        <v>14</v>
      </c>
      <c r="F288" s="1">
        <v>15</v>
      </c>
      <c r="G288" s="1">
        <v>251</v>
      </c>
      <c r="H288" s="1">
        <v>2</v>
      </c>
      <c r="I288" s="2">
        <v>46116</v>
      </c>
      <c r="J288" s="2">
        <v>46122</v>
      </c>
      <c r="K288" s="1" t="s">
        <v>51</v>
      </c>
    </row>
    <row r="289" spans="1:11" ht="15.75" customHeight="1" x14ac:dyDescent="0.3">
      <c r="A289" s="1">
        <v>1288</v>
      </c>
      <c r="B289" s="1" t="s">
        <v>54</v>
      </c>
      <c r="C289" s="1" t="s">
        <v>22</v>
      </c>
      <c r="D289" s="1" t="s">
        <v>34</v>
      </c>
      <c r="E289" s="1" t="s">
        <v>60</v>
      </c>
      <c r="F289" s="1">
        <v>14</v>
      </c>
      <c r="G289" s="1">
        <v>35601</v>
      </c>
      <c r="H289" s="1">
        <v>10</v>
      </c>
      <c r="I289" s="2">
        <v>46179</v>
      </c>
      <c r="J289" s="2">
        <v>46187</v>
      </c>
      <c r="K289" s="1" t="s">
        <v>29</v>
      </c>
    </row>
    <row r="290" spans="1:11" ht="15.75" customHeight="1" x14ac:dyDescent="0.3">
      <c r="A290" s="1">
        <v>1289</v>
      </c>
      <c r="B290" s="1" t="s">
        <v>26</v>
      </c>
      <c r="C290" s="1" t="s">
        <v>22</v>
      </c>
      <c r="D290" s="1" t="s">
        <v>34</v>
      </c>
      <c r="E290" s="1" t="s">
        <v>45</v>
      </c>
      <c r="F290" s="1">
        <v>19</v>
      </c>
      <c r="G290" s="1">
        <v>25336</v>
      </c>
      <c r="H290" s="1">
        <v>2</v>
      </c>
      <c r="I290" s="2">
        <v>46122</v>
      </c>
      <c r="J290" s="2">
        <v>46130</v>
      </c>
      <c r="K290" s="1" t="s">
        <v>24</v>
      </c>
    </row>
    <row r="291" spans="1:11" ht="15.75" customHeight="1" x14ac:dyDescent="0.3">
      <c r="A291" s="1">
        <v>1290</v>
      </c>
      <c r="B291" s="1" t="s">
        <v>26</v>
      </c>
      <c r="C291" s="1" t="s">
        <v>22</v>
      </c>
      <c r="D291" s="1" t="s">
        <v>34</v>
      </c>
      <c r="E291" s="1" t="s">
        <v>35</v>
      </c>
      <c r="F291" s="1">
        <v>3</v>
      </c>
      <c r="G291" s="1">
        <v>69793</v>
      </c>
      <c r="H291" s="1">
        <v>15</v>
      </c>
      <c r="I291" s="2">
        <v>46110</v>
      </c>
      <c r="J291" s="2">
        <v>46111</v>
      </c>
      <c r="K291" s="1" t="s">
        <v>29</v>
      </c>
    </row>
    <row r="292" spans="1:11" ht="15.75" customHeight="1" x14ac:dyDescent="0.3">
      <c r="A292" s="1">
        <v>1291</v>
      </c>
      <c r="B292" s="1" t="s">
        <v>21</v>
      </c>
      <c r="C292" s="1" t="s">
        <v>17</v>
      </c>
      <c r="D292" s="1" t="s">
        <v>13</v>
      </c>
      <c r="E292" s="1" t="s">
        <v>36</v>
      </c>
      <c r="F292" s="1">
        <v>17</v>
      </c>
      <c r="G292" s="1">
        <v>415</v>
      </c>
      <c r="H292" s="1">
        <v>5</v>
      </c>
      <c r="I292" s="2">
        <v>46137</v>
      </c>
      <c r="J292" s="2">
        <v>46141</v>
      </c>
      <c r="K292" s="1" t="s">
        <v>20</v>
      </c>
    </row>
    <row r="293" spans="1:11" ht="15.75" customHeight="1" x14ac:dyDescent="0.3">
      <c r="A293" s="1">
        <v>1292</v>
      </c>
      <c r="B293" s="1" t="s">
        <v>54</v>
      </c>
      <c r="C293" s="1" t="s">
        <v>33</v>
      </c>
      <c r="D293" s="1" t="s">
        <v>34</v>
      </c>
      <c r="E293" s="1" t="s">
        <v>61</v>
      </c>
      <c r="F293" s="1">
        <v>11</v>
      </c>
      <c r="G293" s="1">
        <v>25158</v>
      </c>
      <c r="H293" s="1">
        <v>5</v>
      </c>
      <c r="I293" s="2">
        <v>46186</v>
      </c>
      <c r="J293" s="2">
        <v>46193</v>
      </c>
      <c r="K293" s="1" t="s">
        <v>20</v>
      </c>
    </row>
    <row r="294" spans="1:11" ht="15.75" customHeight="1" x14ac:dyDescent="0.3">
      <c r="A294" s="1">
        <v>1293</v>
      </c>
      <c r="B294" s="1" t="s">
        <v>49</v>
      </c>
      <c r="C294" s="1" t="s">
        <v>43</v>
      </c>
      <c r="D294" s="1" t="s">
        <v>18</v>
      </c>
      <c r="E294" s="1" t="s">
        <v>23</v>
      </c>
      <c r="F294" s="1">
        <v>7</v>
      </c>
      <c r="G294" s="1">
        <v>11481</v>
      </c>
      <c r="H294" s="1">
        <v>15</v>
      </c>
      <c r="I294" s="2">
        <v>46045</v>
      </c>
      <c r="J294" s="2">
        <v>46050</v>
      </c>
      <c r="K294" s="1" t="s">
        <v>20</v>
      </c>
    </row>
    <row r="295" spans="1:11" ht="15.75" customHeight="1" x14ac:dyDescent="0.3">
      <c r="A295" s="1">
        <v>1294</v>
      </c>
      <c r="B295" s="1" t="s">
        <v>21</v>
      </c>
      <c r="C295" s="1" t="s">
        <v>12</v>
      </c>
      <c r="D295" s="1" t="s">
        <v>18</v>
      </c>
      <c r="E295" s="1" t="s">
        <v>19</v>
      </c>
      <c r="F295" s="1">
        <v>8</v>
      </c>
      <c r="G295" s="1">
        <v>14448</v>
      </c>
      <c r="H295" s="1">
        <v>10</v>
      </c>
      <c r="I295" s="2">
        <v>46181</v>
      </c>
      <c r="J295" s="2">
        <v>46189</v>
      </c>
      <c r="K295" s="1" t="s">
        <v>15</v>
      </c>
    </row>
    <row r="296" spans="1:11" ht="15.75" customHeight="1" x14ac:dyDescent="0.3">
      <c r="A296" s="1">
        <v>1295</v>
      </c>
      <c r="B296" s="1" t="s">
        <v>52</v>
      </c>
      <c r="C296" s="1" t="s">
        <v>38</v>
      </c>
      <c r="D296" s="1" t="s">
        <v>18</v>
      </c>
      <c r="E296" s="1" t="s">
        <v>28</v>
      </c>
      <c r="F296" s="1">
        <v>16</v>
      </c>
      <c r="G296" s="1">
        <v>11935</v>
      </c>
      <c r="H296" s="1">
        <v>12</v>
      </c>
      <c r="I296" s="2">
        <v>46157</v>
      </c>
      <c r="J296" s="2">
        <v>46162</v>
      </c>
      <c r="K296" s="1" t="s">
        <v>15</v>
      </c>
    </row>
    <row r="297" spans="1:11" ht="15.75" customHeight="1" x14ac:dyDescent="0.3">
      <c r="A297" s="1">
        <v>1296</v>
      </c>
      <c r="B297" s="1" t="s">
        <v>26</v>
      </c>
      <c r="C297" s="1" t="s">
        <v>38</v>
      </c>
      <c r="D297" s="1" t="s">
        <v>13</v>
      </c>
      <c r="E297" s="1" t="s">
        <v>50</v>
      </c>
      <c r="F297" s="1">
        <v>6</v>
      </c>
      <c r="G297" s="1">
        <v>201</v>
      </c>
      <c r="H297" s="1">
        <v>0</v>
      </c>
      <c r="I297" s="2">
        <v>46063</v>
      </c>
      <c r="J297" s="2">
        <v>46072</v>
      </c>
      <c r="K297" s="1" t="s">
        <v>51</v>
      </c>
    </row>
    <row r="298" spans="1:11" ht="15.75" customHeight="1" x14ac:dyDescent="0.3">
      <c r="A298" s="1">
        <v>1297</v>
      </c>
      <c r="B298" s="1" t="s">
        <v>54</v>
      </c>
      <c r="C298" s="1" t="s">
        <v>25</v>
      </c>
      <c r="D298" s="1" t="s">
        <v>34</v>
      </c>
      <c r="E298" s="1" t="s">
        <v>35</v>
      </c>
      <c r="F298" s="1">
        <v>14</v>
      </c>
      <c r="G298" s="1">
        <v>24524</v>
      </c>
      <c r="H298" s="1">
        <v>10</v>
      </c>
      <c r="I298" s="2">
        <v>46178</v>
      </c>
      <c r="J298" s="2">
        <v>46187</v>
      </c>
      <c r="K298" s="1" t="s">
        <v>29</v>
      </c>
    </row>
    <row r="299" spans="1:11" ht="15.75" customHeight="1" x14ac:dyDescent="0.3">
      <c r="A299" s="1">
        <v>1298</v>
      </c>
      <c r="B299" s="1" t="s">
        <v>21</v>
      </c>
      <c r="C299" s="1" t="s">
        <v>12</v>
      </c>
      <c r="D299" s="1" t="s">
        <v>34</v>
      </c>
      <c r="E299" s="1" t="s">
        <v>61</v>
      </c>
      <c r="F299" s="1">
        <v>19</v>
      </c>
      <c r="G299" s="1">
        <v>20745</v>
      </c>
      <c r="H299" s="1">
        <v>2</v>
      </c>
      <c r="I299" s="2">
        <v>46083</v>
      </c>
      <c r="J299" s="2">
        <v>46093</v>
      </c>
      <c r="K299" s="1" t="s">
        <v>24</v>
      </c>
    </row>
    <row r="300" spans="1:11" ht="15.75" customHeight="1" x14ac:dyDescent="0.3">
      <c r="A300" s="1">
        <v>1299</v>
      </c>
      <c r="B300" s="1" t="s">
        <v>26</v>
      </c>
      <c r="C300" s="1" t="s">
        <v>17</v>
      </c>
      <c r="D300" s="1" t="s">
        <v>18</v>
      </c>
      <c r="E300" s="1" t="s">
        <v>56</v>
      </c>
      <c r="F300" s="1">
        <v>8</v>
      </c>
      <c r="G300" s="1">
        <v>8783</v>
      </c>
      <c r="H300" s="1">
        <v>2</v>
      </c>
      <c r="I300" s="2">
        <v>46123</v>
      </c>
      <c r="J300" s="2">
        <v>46132</v>
      </c>
      <c r="K300" s="1" t="s">
        <v>15</v>
      </c>
    </row>
    <row r="301" spans="1:11" ht="15.75" customHeight="1" x14ac:dyDescent="0.3">
      <c r="A301" s="1">
        <v>1300</v>
      </c>
      <c r="B301" s="1" t="s">
        <v>47</v>
      </c>
      <c r="C301" s="1" t="s">
        <v>33</v>
      </c>
      <c r="D301" s="1" t="s">
        <v>34</v>
      </c>
      <c r="E301" s="1" t="s">
        <v>45</v>
      </c>
      <c r="F301" s="1">
        <v>20</v>
      </c>
      <c r="G301" s="1">
        <v>1392</v>
      </c>
      <c r="H301" s="1">
        <v>2</v>
      </c>
      <c r="I301" s="2">
        <v>46110</v>
      </c>
      <c r="J301" s="2">
        <v>46117</v>
      </c>
      <c r="K301" s="1" t="s">
        <v>24</v>
      </c>
    </row>
    <row r="302" spans="1:11" ht="15.75" customHeight="1" x14ac:dyDescent="0.3">
      <c r="A302" s="1">
        <v>1301</v>
      </c>
      <c r="B302" s="1" t="s">
        <v>54</v>
      </c>
      <c r="C302" s="1" t="s">
        <v>17</v>
      </c>
      <c r="D302" s="1" t="s">
        <v>18</v>
      </c>
      <c r="E302" s="1" t="s">
        <v>28</v>
      </c>
      <c r="F302" s="1">
        <v>3</v>
      </c>
      <c r="G302" s="1">
        <v>7020</v>
      </c>
      <c r="H302" s="1">
        <v>10</v>
      </c>
      <c r="I302" s="2">
        <v>46028</v>
      </c>
      <c r="J302" s="2">
        <v>46038</v>
      </c>
      <c r="K302" s="1" t="s">
        <v>24</v>
      </c>
    </row>
    <row r="303" spans="1:11" ht="15.75" customHeight="1" x14ac:dyDescent="0.3">
      <c r="A303" s="1">
        <v>1302</v>
      </c>
      <c r="B303" s="1" t="s">
        <v>57</v>
      </c>
      <c r="C303" s="1" t="s">
        <v>12</v>
      </c>
      <c r="D303" s="1" t="s">
        <v>34</v>
      </c>
      <c r="E303" s="1" t="s">
        <v>35</v>
      </c>
      <c r="F303" s="1">
        <v>9</v>
      </c>
      <c r="G303" s="1">
        <v>8500</v>
      </c>
      <c r="H303" s="1">
        <v>15</v>
      </c>
      <c r="I303" s="2">
        <v>46163</v>
      </c>
      <c r="J303" s="2">
        <v>46172</v>
      </c>
      <c r="K303" s="1" t="s">
        <v>24</v>
      </c>
    </row>
    <row r="304" spans="1:11" ht="15.75" customHeight="1" x14ac:dyDescent="0.3">
      <c r="A304" s="1">
        <v>1303</v>
      </c>
      <c r="B304" s="1" t="s">
        <v>57</v>
      </c>
      <c r="C304" s="1" t="s">
        <v>38</v>
      </c>
      <c r="D304" s="1" t="s">
        <v>34</v>
      </c>
      <c r="E304" s="1" t="s">
        <v>35</v>
      </c>
      <c r="F304" s="1">
        <v>13</v>
      </c>
      <c r="G304" s="1">
        <v>5170</v>
      </c>
      <c r="H304" s="1">
        <v>2</v>
      </c>
      <c r="I304" s="2">
        <v>46124</v>
      </c>
      <c r="J304" s="2">
        <v>46127</v>
      </c>
      <c r="K304" s="1" t="s">
        <v>15</v>
      </c>
    </row>
    <row r="305" spans="1:11" ht="15.75" customHeight="1" x14ac:dyDescent="0.3">
      <c r="A305" s="1">
        <v>1304</v>
      </c>
      <c r="B305" s="1" t="s">
        <v>59</v>
      </c>
      <c r="C305" s="1" t="s">
        <v>25</v>
      </c>
      <c r="D305" s="1" t="s">
        <v>13</v>
      </c>
      <c r="E305" s="1" t="s">
        <v>36</v>
      </c>
      <c r="F305" s="1">
        <v>20</v>
      </c>
      <c r="G305" s="1">
        <v>368</v>
      </c>
      <c r="H305" s="1">
        <v>7</v>
      </c>
      <c r="I305" s="2">
        <v>46042</v>
      </c>
      <c r="J305" s="2">
        <v>46051</v>
      </c>
      <c r="K305" s="1" t="s">
        <v>51</v>
      </c>
    </row>
    <row r="306" spans="1:11" ht="15.75" customHeight="1" x14ac:dyDescent="0.3">
      <c r="A306" s="1">
        <v>1305</v>
      </c>
      <c r="B306" s="1" t="s">
        <v>58</v>
      </c>
      <c r="C306" s="1" t="s">
        <v>31</v>
      </c>
      <c r="D306" s="1" t="s">
        <v>34</v>
      </c>
      <c r="E306" s="1" t="s">
        <v>60</v>
      </c>
      <c r="F306" s="1">
        <v>20</v>
      </c>
      <c r="G306" s="1">
        <v>31406</v>
      </c>
      <c r="H306" s="1">
        <v>15</v>
      </c>
      <c r="I306" s="2">
        <v>46146</v>
      </c>
      <c r="J306" s="2">
        <v>46154</v>
      </c>
      <c r="K306" s="1" t="s">
        <v>51</v>
      </c>
    </row>
    <row r="307" spans="1:11" ht="15.75" customHeight="1" x14ac:dyDescent="0.3">
      <c r="A307" s="1">
        <v>1306</v>
      </c>
      <c r="B307" s="1" t="s">
        <v>54</v>
      </c>
      <c r="C307" s="1" t="s">
        <v>43</v>
      </c>
      <c r="D307" s="1" t="s">
        <v>13</v>
      </c>
      <c r="E307" s="1" t="s">
        <v>36</v>
      </c>
      <c r="F307" s="1">
        <v>1</v>
      </c>
      <c r="G307" s="1">
        <v>332</v>
      </c>
      <c r="H307" s="1">
        <v>0</v>
      </c>
      <c r="I307" s="2">
        <v>46191</v>
      </c>
      <c r="J307" s="2">
        <v>46194</v>
      </c>
      <c r="K307" s="1" t="s">
        <v>20</v>
      </c>
    </row>
    <row r="308" spans="1:11" ht="15.75" customHeight="1" x14ac:dyDescent="0.3">
      <c r="A308" s="1">
        <v>1307</v>
      </c>
      <c r="B308" s="1" t="s">
        <v>57</v>
      </c>
      <c r="C308" s="1" t="s">
        <v>43</v>
      </c>
      <c r="D308" s="1" t="s">
        <v>34</v>
      </c>
      <c r="E308" s="1" t="s">
        <v>35</v>
      </c>
      <c r="F308" s="1">
        <v>18</v>
      </c>
      <c r="G308" s="1">
        <v>7541</v>
      </c>
      <c r="H308" s="1">
        <v>12</v>
      </c>
      <c r="I308" s="2">
        <v>46048</v>
      </c>
      <c r="J308" s="2">
        <v>46051</v>
      </c>
      <c r="K308" s="1" t="s">
        <v>51</v>
      </c>
    </row>
    <row r="309" spans="1:11" ht="15.75" customHeight="1" x14ac:dyDescent="0.3">
      <c r="A309" s="1">
        <v>1308</v>
      </c>
      <c r="B309" s="1" t="s">
        <v>30</v>
      </c>
      <c r="C309" s="1" t="s">
        <v>22</v>
      </c>
      <c r="D309" s="1" t="s">
        <v>34</v>
      </c>
      <c r="E309" s="1" t="s">
        <v>41</v>
      </c>
      <c r="F309" s="1">
        <v>12</v>
      </c>
      <c r="G309" s="1">
        <v>66075</v>
      </c>
      <c r="H309" s="1">
        <v>5</v>
      </c>
      <c r="I309" s="2">
        <v>46129</v>
      </c>
      <c r="J309" s="2">
        <v>46135</v>
      </c>
      <c r="K309" s="1" t="s">
        <v>20</v>
      </c>
    </row>
    <row r="310" spans="1:11" ht="15.75" customHeight="1" x14ac:dyDescent="0.3">
      <c r="A310" s="1">
        <v>1309</v>
      </c>
      <c r="B310" s="1" t="s">
        <v>29</v>
      </c>
      <c r="C310" s="1" t="s">
        <v>31</v>
      </c>
      <c r="D310" s="1" t="s">
        <v>13</v>
      </c>
      <c r="E310" s="1" t="s">
        <v>50</v>
      </c>
      <c r="F310" s="1">
        <v>2</v>
      </c>
      <c r="G310" s="1">
        <v>35</v>
      </c>
      <c r="H310" s="1">
        <v>5</v>
      </c>
      <c r="I310" s="2">
        <v>46197</v>
      </c>
      <c r="J310" s="2">
        <v>46198</v>
      </c>
      <c r="K310" s="1" t="s">
        <v>24</v>
      </c>
    </row>
    <row r="311" spans="1:11" ht="15.75" customHeight="1" x14ac:dyDescent="0.3">
      <c r="A311" s="1">
        <v>1310</v>
      </c>
      <c r="B311" s="1" t="s">
        <v>49</v>
      </c>
      <c r="C311" s="1" t="s">
        <v>17</v>
      </c>
      <c r="D311" s="1" t="s">
        <v>18</v>
      </c>
      <c r="E311" s="1" t="s">
        <v>56</v>
      </c>
      <c r="F311" s="1">
        <v>19</v>
      </c>
      <c r="G311" s="1">
        <v>12691</v>
      </c>
      <c r="H311" s="1">
        <v>0</v>
      </c>
      <c r="I311" s="2">
        <v>46181</v>
      </c>
      <c r="J311" s="2">
        <v>46189</v>
      </c>
      <c r="K311" s="1" t="s">
        <v>29</v>
      </c>
    </row>
    <row r="312" spans="1:11" ht="15.75" customHeight="1" x14ac:dyDescent="0.3">
      <c r="A312" s="1">
        <v>1311</v>
      </c>
      <c r="B312" s="1" t="s">
        <v>55</v>
      </c>
      <c r="C312" s="1" t="s">
        <v>12</v>
      </c>
      <c r="D312" s="1" t="s">
        <v>13</v>
      </c>
      <c r="E312" s="1" t="s">
        <v>14</v>
      </c>
      <c r="F312" s="1">
        <v>2</v>
      </c>
      <c r="G312" s="1">
        <v>209</v>
      </c>
      <c r="H312" s="1">
        <v>0</v>
      </c>
      <c r="I312" s="2">
        <v>46173</v>
      </c>
      <c r="J312" s="2">
        <v>46176</v>
      </c>
      <c r="K312" s="1" t="s">
        <v>20</v>
      </c>
    </row>
    <row r="313" spans="1:11" ht="15.75" customHeight="1" x14ac:dyDescent="0.3">
      <c r="A313" s="1">
        <v>1312</v>
      </c>
      <c r="B313" s="1" t="s">
        <v>57</v>
      </c>
      <c r="C313" s="1" t="s">
        <v>22</v>
      </c>
      <c r="D313" s="1" t="s">
        <v>18</v>
      </c>
      <c r="E313" s="1" t="s">
        <v>56</v>
      </c>
      <c r="F313" s="1">
        <v>20</v>
      </c>
      <c r="G313" s="1">
        <v>3274</v>
      </c>
      <c r="H313" s="1">
        <v>2</v>
      </c>
      <c r="I313" s="2">
        <v>46148</v>
      </c>
      <c r="J313" s="2">
        <v>46156</v>
      </c>
      <c r="K313" s="1" t="s">
        <v>24</v>
      </c>
    </row>
    <row r="314" spans="1:11" ht="15.75" customHeight="1" x14ac:dyDescent="0.3">
      <c r="A314" s="1">
        <v>1313</v>
      </c>
      <c r="B314" s="1" t="s">
        <v>59</v>
      </c>
      <c r="C314" s="1" t="s">
        <v>22</v>
      </c>
      <c r="D314" s="1" t="s">
        <v>18</v>
      </c>
      <c r="E314" s="1" t="s">
        <v>56</v>
      </c>
      <c r="F314" s="1">
        <v>6</v>
      </c>
      <c r="G314" s="1">
        <v>10864</v>
      </c>
      <c r="H314" s="1">
        <v>10</v>
      </c>
      <c r="I314" s="2">
        <v>46041</v>
      </c>
      <c r="J314" s="2">
        <v>46049</v>
      </c>
      <c r="K314" s="1" t="s">
        <v>15</v>
      </c>
    </row>
    <row r="315" spans="1:11" ht="15.75" customHeight="1" x14ac:dyDescent="0.3">
      <c r="A315" s="1">
        <v>1314</v>
      </c>
      <c r="B315" s="1" t="s">
        <v>52</v>
      </c>
      <c r="C315" s="1" t="s">
        <v>33</v>
      </c>
      <c r="D315" s="1" t="s">
        <v>18</v>
      </c>
      <c r="E315" s="1" t="s">
        <v>19</v>
      </c>
      <c r="F315" s="1">
        <v>10</v>
      </c>
      <c r="G315" s="1">
        <v>6328</v>
      </c>
      <c r="H315" s="1">
        <v>2</v>
      </c>
      <c r="I315" s="2">
        <v>46196</v>
      </c>
      <c r="J315" s="2">
        <v>46197</v>
      </c>
      <c r="K315" s="1" t="s">
        <v>29</v>
      </c>
    </row>
    <row r="316" spans="1:11" ht="15.75" customHeight="1" x14ac:dyDescent="0.3">
      <c r="A316" s="1">
        <v>1315</v>
      </c>
      <c r="B316" s="1" t="s">
        <v>49</v>
      </c>
      <c r="C316" s="1" t="s">
        <v>31</v>
      </c>
      <c r="D316" s="1" t="s">
        <v>34</v>
      </c>
      <c r="E316" s="1" t="s">
        <v>41</v>
      </c>
      <c r="F316" s="1">
        <v>14</v>
      </c>
      <c r="G316" s="1">
        <v>57670</v>
      </c>
      <c r="H316" s="1">
        <v>2</v>
      </c>
      <c r="I316" s="2">
        <v>46186</v>
      </c>
      <c r="J316" s="2">
        <v>46196</v>
      </c>
      <c r="K316" s="1" t="s">
        <v>15</v>
      </c>
    </row>
    <row r="317" spans="1:11" ht="15.75" customHeight="1" x14ac:dyDescent="0.3">
      <c r="A317" s="1">
        <v>1316</v>
      </c>
      <c r="B317" s="1" t="s">
        <v>46</v>
      </c>
      <c r="C317" s="1" t="s">
        <v>12</v>
      </c>
      <c r="D317" s="1" t="s">
        <v>18</v>
      </c>
      <c r="E317" s="1" t="s">
        <v>28</v>
      </c>
      <c r="F317" s="1">
        <v>7</v>
      </c>
      <c r="G317" s="1">
        <v>9838</v>
      </c>
      <c r="H317" s="1">
        <v>7</v>
      </c>
      <c r="I317" s="2">
        <v>46078</v>
      </c>
      <c r="J317" s="2">
        <v>46085</v>
      </c>
      <c r="K317" s="1" t="s">
        <v>20</v>
      </c>
    </row>
    <row r="318" spans="1:11" ht="15.75" customHeight="1" x14ac:dyDescent="0.3">
      <c r="A318" s="1">
        <v>1317</v>
      </c>
      <c r="B318" s="1" t="s">
        <v>59</v>
      </c>
      <c r="C318" s="1" t="s">
        <v>33</v>
      </c>
      <c r="D318" s="1" t="s">
        <v>34</v>
      </c>
      <c r="E318" s="1" t="s">
        <v>41</v>
      </c>
      <c r="F318" s="1">
        <v>7</v>
      </c>
      <c r="G318" s="1">
        <v>67339</v>
      </c>
      <c r="H318" s="1">
        <v>5</v>
      </c>
      <c r="I318" s="2">
        <v>46159</v>
      </c>
      <c r="J318" s="2">
        <v>46169</v>
      </c>
      <c r="K318" s="1" t="s">
        <v>51</v>
      </c>
    </row>
    <row r="319" spans="1:11" ht="15.75" customHeight="1" x14ac:dyDescent="0.3">
      <c r="A319" s="1">
        <v>1318</v>
      </c>
      <c r="B319" s="1" t="s">
        <v>11</v>
      </c>
      <c r="C319" s="1" t="s">
        <v>43</v>
      </c>
      <c r="D319" s="1" t="s">
        <v>13</v>
      </c>
      <c r="E319" s="1" t="s">
        <v>50</v>
      </c>
      <c r="F319" s="1">
        <v>4</v>
      </c>
      <c r="G319" s="1">
        <v>38</v>
      </c>
      <c r="H319" s="1">
        <v>12</v>
      </c>
      <c r="I319" s="2">
        <v>46169</v>
      </c>
      <c r="J319" s="2">
        <v>46175</v>
      </c>
      <c r="K319" s="1" t="s">
        <v>29</v>
      </c>
    </row>
    <row r="320" spans="1:11" ht="15.75" customHeight="1" x14ac:dyDescent="0.3">
      <c r="A320" s="1">
        <v>1319</v>
      </c>
      <c r="B320" s="1" t="s">
        <v>21</v>
      </c>
      <c r="C320" s="1" t="s">
        <v>17</v>
      </c>
      <c r="D320" s="1" t="s">
        <v>34</v>
      </c>
      <c r="E320" s="1" t="s">
        <v>61</v>
      </c>
      <c r="F320" s="1">
        <v>17</v>
      </c>
      <c r="G320" s="1">
        <v>58407</v>
      </c>
      <c r="H320" s="1">
        <v>7</v>
      </c>
      <c r="I320" s="2">
        <v>46094</v>
      </c>
      <c r="J320" s="2">
        <v>46102</v>
      </c>
      <c r="K320" s="1" t="s">
        <v>15</v>
      </c>
    </row>
    <row r="321" spans="1:11" ht="15.75" customHeight="1" x14ac:dyDescent="0.3">
      <c r="A321" s="1">
        <v>1320</v>
      </c>
      <c r="B321" s="1" t="s">
        <v>47</v>
      </c>
      <c r="C321" s="1" t="s">
        <v>38</v>
      </c>
      <c r="D321" s="1" t="s">
        <v>13</v>
      </c>
      <c r="E321" s="1" t="s">
        <v>36</v>
      </c>
      <c r="F321" s="1">
        <v>20</v>
      </c>
      <c r="G321" s="1">
        <v>55</v>
      </c>
      <c r="H321" s="1">
        <v>7</v>
      </c>
      <c r="I321" s="2">
        <v>46183</v>
      </c>
      <c r="J321" s="2">
        <v>46186</v>
      </c>
      <c r="K321" s="1" t="s">
        <v>20</v>
      </c>
    </row>
    <row r="322" spans="1:11" ht="15.75" customHeight="1" x14ac:dyDescent="0.3">
      <c r="A322" s="1">
        <v>1321</v>
      </c>
      <c r="B322" s="1" t="s">
        <v>32</v>
      </c>
      <c r="C322" s="1" t="s">
        <v>22</v>
      </c>
      <c r="D322" s="1" t="s">
        <v>18</v>
      </c>
      <c r="E322" s="1" t="s">
        <v>19</v>
      </c>
      <c r="F322" s="1">
        <v>8</v>
      </c>
      <c r="G322" s="1">
        <v>5619</v>
      </c>
      <c r="H322" s="1">
        <v>7</v>
      </c>
      <c r="I322" s="2">
        <v>46107</v>
      </c>
      <c r="J322" s="2">
        <v>46109</v>
      </c>
      <c r="K322" s="1" t="s">
        <v>51</v>
      </c>
    </row>
    <row r="323" spans="1:11" ht="15.75" customHeight="1" x14ac:dyDescent="0.3">
      <c r="A323" s="1">
        <v>1322</v>
      </c>
      <c r="B323" s="1" t="s">
        <v>27</v>
      </c>
      <c r="C323" s="1" t="s">
        <v>12</v>
      </c>
      <c r="D323" s="1" t="s">
        <v>18</v>
      </c>
      <c r="E323" s="1" t="s">
        <v>23</v>
      </c>
      <c r="F323" s="1">
        <v>14</v>
      </c>
      <c r="G323" s="1">
        <v>9081</v>
      </c>
      <c r="H323" s="1">
        <v>15</v>
      </c>
      <c r="I323" s="2">
        <v>46141</v>
      </c>
      <c r="J323" s="2">
        <v>46146</v>
      </c>
      <c r="K323" s="1" t="s">
        <v>15</v>
      </c>
    </row>
    <row r="324" spans="1:11" ht="15.75" customHeight="1" x14ac:dyDescent="0.3">
      <c r="A324" s="1">
        <v>1323</v>
      </c>
      <c r="B324" s="1" t="s">
        <v>57</v>
      </c>
      <c r="C324" s="1" t="s">
        <v>38</v>
      </c>
      <c r="D324" s="1" t="s">
        <v>34</v>
      </c>
      <c r="E324" s="1" t="s">
        <v>61</v>
      </c>
      <c r="F324" s="1">
        <v>2</v>
      </c>
      <c r="G324" s="1">
        <v>32074</v>
      </c>
      <c r="H324" s="1">
        <v>10</v>
      </c>
      <c r="I324" s="2">
        <v>46073</v>
      </c>
      <c r="J324" s="2">
        <v>46078</v>
      </c>
      <c r="K324" s="1" t="s">
        <v>15</v>
      </c>
    </row>
    <row r="325" spans="1:11" ht="15.75" customHeight="1" x14ac:dyDescent="0.3">
      <c r="A325" s="1">
        <v>1324</v>
      </c>
      <c r="B325" s="1" t="s">
        <v>32</v>
      </c>
      <c r="C325" s="1" t="s">
        <v>22</v>
      </c>
      <c r="D325" s="1" t="s">
        <v>18</v>
      </c>
      <c r="E325" s="1" t="s">
        <v>19</v>
      </c>
      <c r="F325" s="1">
        <v>1</v>
      </c>
      <c r="G325" s="1">
        <v>4286</v>
      </c>
      <c r="H325" s="1">
        <v>15</v>
      </c>
      <c r="I325" s="2">
        <v>46053</v>
      </c>
      <c r="J325" s="2">
        <v>46056</v>
      </c>
      <c r="K325" s="1" t="s">
        <v>20</v>
      </c>
    </row>
    <row r="326" spans="1:11" ht="15.75" customHeight="1" x14ac:dyDescent="0.3">
      <c r="A326" s="1">
        <v>1325</v>
      </c>
      <c r="B326" s="1" t="s">
        <v>48</v>
      </c>
      <c r="C326" s="1" t="s">
        <v>43</v>
      </c>
      <c r="D326" s="1" t="s">
        <v>34</v>
      </c>
      <c r="E326" s="1" t="s">
        <v>39</v>
      </c>
      <c r="F326" s="1">
        <v>9</v>
      </c>
      <c r="G326" s="1">
        <v>58442</v>
      </c>
      <c r="H326" s="1">
        <v>12</v>
      </c>
      <c r="I326" s="2">
        <v>46076</v>
      </c>
      <c r="J326" s="2">
        <v>46085</v>
      </c>
      <c r="K326" s="1" t="s">
        <v>20</v>
      </c>
    </row>
    <row r="327" spans="1:11" ht="15.75" customHeight="1" x14ac:dyDescent="0.3">
      <c r="A327" s="1">
        <v>1326</v>
      </c>
      <c r="B327" s="1" t="s">
        <v>26</v>
      </c>
      <c r="C327" s="1" t="s">
        <v>17</v>
      </c>
      <c r="D327" s="1" t="s">
        <v>18</v>
      </c>
      <c r="E327" s="1" t="s">
        <v>44</v>
      </c>
      <c r="F327" s="1">
        <v>18</v>
      </c>
      <c r="G327" s="1">
        <v>1830</v>
      </c>
      <c r="H327" s="1">
        <v>10</v>
      </c>
      <c r="I327" s="2">
        <v>46165</v>
      </c>
      <c r="J327" s="2">
        <v>46172</v>
      </c>
      <c r="K327" s="1" t="s">
        <v>15</v>
      </c>
    </row>
    <row r="328" spans="1:11" ht="15.75" customHeight="1" x14ac:dyDescent="0.3">
      <c r="A328" s="1">
        <v>1327</v>
      </c>
      <c r="B328" s="1" t="s">
        <v>48</v>
      </c>
      <c r="C328" s="1" t="s">
        <v>12</v>
      </c>
      <c r="D328" s="1" t="s">
        <v>13</v>
      </c>
      <c r="E328" s="1" t="s">
        <v>53</v>
      </c>
      <c r="F328" s="1">
        <v>15</v>
      </c>
      <c r="G328" s="1">
        <v>449</v>
      </c>
      <c r="H328" s="1">
        <v>5</v>
      </c>
      <c r="I328" s="2">
        <v>46152</v>
      </c>
      <c r="J328" s="2">
        <v>46153</v>
      </c>
      <c r="K328" s="1" t="s">
        <v>15</v>
      </c>
    </row>
    <row r="329" spans="1:11" ht="15.75" customHeight="1" x14ac:dyDescent="0.3">
      <c r="A329" s="1">
        <v>1328</v>
      </c>
      <c r="B329" s="1" t="s">
        <v>16</v>
      </c>
      <c r="C329" s="1" t="s">
        <v>38</v>
      </c>
      <c r="D329" s="1" t="s">
        <v>13</v>
      </c>
      <c r="E329" s="1" t="s">
        <v>36</v>
      </c>
      <c r="F329" s="1">
        <v>4</v>
      </c>
      <c r="G329" s="1">
        <v>132</v>
      </c>
      <c r="H329" s="1">
        <v>0</v>
      </c>
      <c r="I329" s="2">
        <v>46109</v>
      </c>
      <c r="J329" s="2">
        <v>46114</v>
      </c>
      <c r="K329" s="1" t="s">
        <v>29</v>
      </c>
    </row>
    <row r="330" spans="1:11" ht="15.75" customHeight="1" x14ac:dyDescent="0.3">
      <c r="A330" s="1">
        <v>1329</v>
      </c>
      <c r="B330" s="1" t="s">
        <v>30</v>
      </c>
      <c r="C330" s="1" t="s">
        <v>43</v>
      </c>
      <c r="D330" s="1" t="s">
        <v>13</v>
      </c>
      <c r="E330" s="1" t="s">
        <v>53</v>
      </c>
      <c r="F330" s="1">
        <v>18</v>
      </c>
      <c r="G330" s="1">
        <v>227</v>
      </c>
      <c r="H330" s="1">
        <v>5</v>
      </c>
      <c r="I330" s="2">
        <v>46126</v>
      </c>
      <c r="J330" s="2">
        <v>46136</v>
      </c>
      <c r="K330" s="1" t="s">
        <v>29</v>
      </c>
    </row>
    <row r="331" spans="1:11" ht="15.75" customHeight="1" x14ac:dyDescent="0.3">
      <c r="A331" s="1">
        <v>1330</v>
      </c>
      <c r="B331" s="1" t="s">
        <v>49</v>
      </c>
      <c r="C331" s="1" t="s">
        <v>17</v>
      </c>
      <c r="D331" s="1" t="s">
        <v>18</v>
      </c>
      <c r="E331" s="1" t="s">
        <v>19</v>
      </c>
      <c r="F331" s="1">
        <v>13</v>
      </c>
      <c r="G331" s="1">
        <v>12071</v>
      </c>
      <c r="H331" s="1">
        <v>0</v>
      </c>
      <c r="I331" s="2">
        <v>46032</v>
      </c>
      <c r="J331" s="2">
        <v>46036</v>
      </c>
      <c r="K331" s="1" t="s">
        <v>51</v>
      </c>
    </row>
    <row r="332" spans="1:11" ht="15.75" customHeight="1" x14ac:dyDescent="0.3">
      <c r="A332" s="1">
        <v>1331</v>
      </c>
      <c r="B332" s="1" t="s">
        <v>21</v>
      </c>
      <c r="C332" s="1" t="s">
        <v>25</v>
      </c>
      <c r="D332" s="1" t="s">
        <v>34</v>
      </c>
      <c r="E332" s="1" t="s">
        <v>61</v>
      </c>
      <c r="F332" s="1">
        <v>2</v>
      </c>
      <c r="G332" s="1">
        <v>43557</v>
      </c>
      <c r="H332" s="1">
        <v>2</v>
      </c>
      <c r="I332" s="2">
        <v>46190</v>
      </c>
      <c r="J332" s="2">
        <v>46200</v>
      </c>
      <c r="K332" s="1" t="s">
        <v>15</v>
      </c>
    </row>
    <row r="333" spans="1:11" ht="15.75" customHeight="1" x14ac:dyDescent="0.3">
      <c r="A333" s="1">
        <v>1332</v>
      </c>
      <c r="B333" s="1" t="s">
        <v>29</v>
      </c>
      <c r="C333" s="1" t="s">
        <v>43</v>
      </c>
      <c r="D333" s="1" t="s">
        <v>13</v>
      </c>
      <c r="E333" s="1" t="s">
        <v>50</v>
      </c>
      <c r="F333" s="1">
        <v>7</v>
      </c>
      <c r="G333" s="1">
        <v>439</v>
      </c>
      <c r="H333" s="1">
        <v>2</v>
      </c>
      <c r="I333" s="2">
        <v>46154</v>
      </c>
      <c r="J333" s="2">
        <v>46157</v>
      </c>
      <c r="K333" s="1" t="s">
        <v>15</v>
      </c>
    </row>
    <row r="334" spans="1:11" ht="15.75" customHeight="1" x14ac:dyDescent="0.3">
      <c r="A334" s="1">
        <v>1333</v>
      </c>
      <c r="B334" s="1" t="s">
        <v>29</v>
      </c>
      <c r="C334" s="1" t="s">
        <v>38</v>
      </c>
      <c r="D334" s="1" t="s">
        <v>13</v>
      </c>
      <c r="E334" s="1" t="s">
        <v>53</v>
      </c>
      <c r="F334" s="1">
        <v>20</v>
      </c>
      <c r="G334" s="1">
        <v>416</v>
      </c>
      <c r="H334" s="1">
        <v>12</v>
      </c>
      <c r="I334" s="2">
        <v>46145</v>
      </c>
      <c r="J334" s="2">
        <v>46146</v>
      </c>
      <c r="K334" s="1" t="s">
        <v>51</v>
      </c>
    </row>
    <row r="335" spans="1:11" ht="15.75" customHeight="1" x14ac:dyDescent="0.3">
      <c r="A335" s="1">
        <v>1334</v>
      </c>
      <c r="B335" s="1" t="s">
        <v>40</v>
      </c>
      <c r="C335" s="1" t="s">
        <v>12</v>
      </c>
      <c r="D335" s="1" t="s">
        <v>34</v>
      </c>
      <c r="E335" s="1" t="s">
        <v>41</v>
      </c>
      <c r="F335" s="1">
        <v>15</v>
      </c>
      <c r="G335" s="1">
        <v>39853</v>
      </c>
      <c r="H335" s="1">
        <v>7</v>
      </c>
      <c r="I335" s="2">
        <v>46038</v>
      </c>
      <c r="J335" s="2">
        <v>46047</v>
      </c>
      <c r="K335" s="1" t="s">
        <v>51</v>
      </c>
    </row>
    <row r="336" spans="1:11" ht="15.75" customHeight="1" x14ac:dyDescent="0.3">
      <c r="A336" s="1">
        <v>1335</v>
      </c>
      <c r="B336" s="1" t="s">
        <v>47</v>
      </c>
      <c r="C336" s="1" t="s">
        <v>17</v>
      </c>
      <c r="D336" s="1" t="s">
        <v>18</v>
      </c>
      <c r="E336" s="1" t="s">
        <v>19</v>
      </c>
      <c r="F336" s="1">
        <v>9</v>
      </c>
      <c r="G336" s="1">
        <v>1495</v>
      </c>
      <c r="H336" s="1">
        <v>12</v>
      </c>
      <c r="I336" s="2">
        <v>46168</v>
      </c>
      <c r="J336" s="2">
        <v>46173</v>
      </c>
      <c r="K336" s="1" t="s">
        <v>15</v>
      </c>
    </row>
    <row r="337" spans="1:11" ht="15.75" customHeight="1" x14ac:dyDescent="0.3">
      <c r="A337" s="1">
        <v>1336</v>
      </c>
      <c r="B337" s="1" t="s">
        <v>16</v>
      </c>
      <c r="C337" s="1" t="s">
        <v>25</v>
      </c>
      <c r="D337" s="1" t="s">
        <v>18</v>
      </c>
      <c r="E337" s="1" t="s">
        <v>56</v>
      </c>
      <c r="F337" s="1">
        <v>10</v>
      </c>
      <c r="G337" s="1">
        <v>5624</v>
      </c>
      <c r="H337" s="1">
        <v>0</v>
      </c>
      <c r="I337" s="2">
        <v>46086</v>
      </c>
      <c r="J337" s="2">
        <v>46092</v>
      </c>
      <c r="K337" s="1" t="s">
        <v>29</v>
      </c>
    </row>
    <row r="338" spans="1:11" ht="15.75" customHeight="1" x14ac:dyDescent="0.3">
      <c r="A338" s="1">
        <v>1337</v>
      </c>
      <c r="B338" s="1" t="s">
        <v>16</v>
      </c>
      <c r="C338" s="1" t="s">
        <v>12</v>
      </c>
      <c r="D338" s="1" t="s">
        <v>13</v>
      </c>
      <c r="E338" s="1" t="s">
        <v>53</v>
      </c>
      <c r="F338" s="1">
        <v>14</v>
      </c>
      <c r="G338" s="1">
        <v>373</v>
      </c>
      <c r="H338" s="1">
        <v>10</v>
      </c>
      <c r="I338" s="2">
        <v>46074</v>
      </c>
      <c r="J338" s="2">
        <v>46080</v>
      </c>
      <c r="K338" s="1" t="s">
        <v>29</v>
      </c>
    </row>
    <row r="339" spans="1:11" ht="15.75" customHeight="1" x14ac:dyDescent="0.3">
      <c r="A339" s="1">
        <v>1338</v>
      </c>
      <c r="B339" s="1" t="s">
        <v>59</v>
      </c>
      <c r="C339" s="1" t="s">
        <v>25</v>
      </c>
      <c r="D339" s="1" t="s">
        <v>34</v>
      </c>
      <c r="E339" s="1" t="s">
        <v>60</v>
      </c>
      <c r="F339" s="1">
        <v>10</v>
      </c>
      <c r="G339" s="1">
        <v>16719</v>
      </c>
      <c r="H339" s="1">
        <v>5</v>
      </c>
      <c r="I339" s="2">
        <v>46177</v>
      </c>
      <c r="J339" s="2">
        <v>46179</v>
      </c>
      <c r="K339" s="1" t="s">
        <v>15</v>
      </c>
    </row>
    <row r="340" spans="1:11" ht="15.75" customHeight="1" x14ac:dyDescent="0.3">
      <c r="A340" s="1">
        <v>1339</v>
      </c>
      <c r="B340" s="1" t="s">
        <v>32</v>
      </c>
      <c r="C340" s="1" t="s">
        <v>25</v>
      </c>
      <c r="D340" s="1" t="s">
        <v>13</v>
      </c>
      <c r="E340" s="1" t="s">
        <v>14</v>
      </c>
      <c r="F340" s="1">
        <v>6</v>
      </c>
      <c r="G340" s="1">
        <v>302</v>
      </c>
      <c r="H340" s="1">
        <v>5</v>
      </c>
      <c r="I340" s="2">
        <v>46142</v>
      </c>
      <c r="J340" s="2">
        <v>46148</v>
      </c>
      <c r="K340" s="1" t="s">
        <v>20</v>
      </c>
    </row>
    <row r="341" spans="1:11" ht="15.75" customHeight="1" x14ac:dyDescent="0.3">
      <c r="A341" s="1">
        <v>1340</v>
      </c>
      <c r="B341" s="1" t="s">
        <v>48</v>
      </c>
      <c r="C341" s="1" t="s">
        <v>17</v>
      </c>
      <c r="D341" s="1" t="s">
        <v>18</v>
      </c>
      <c r="E341" s="1" t="s">
        <v>19</v>
      </c>
      <c r="F341" s="1">
        <v>12</v>
      </c>
      <c r="G341" s="1">
        <v>3857</v>
      </c>
      <c r="H341" s="1">
        <v>12</v>
      </c>
      <c r="I341" s="2">
        <v>46196</v>
      </c>
      <c r="J341" s="2">
        <v>46198</v>
      </c>
      <c r="K341" s="1" t="s">
        <v>51</v>
      </c>
    </row>
    <row r="342" spans="1:11" ht="15.75" customHeight="1" x14ac:dyDescent="0.3">
      <c r="A342" s="1">
        <v>1341</v>
      </c>
      <c r="B342" s="1" t="s">
        <v>57</v>
      </c>
      <c r="C342" s="1" t="s">
        <v>38</v>
      </c>
      <c r="D342" s="1" t="s">
        <v>18</v>
      </c>
      <c r="E342" s="1" t="s">
        <v>19</v>
      </c>
      <c r="F342" s="1">
        <v>19</v>
      </c>
      <c r="G342" s="1">
        <v>6488</v>
      </c>
      <c r="H342" s="1">
        <v>15</v>
      </c>
      <c r="I342" s="2">
        <v>46026</v>
      </c>
      <c r="J342" s="2">
        <v>46030</v>
      </c>
      <c r="K342" s="1" t="s">
        <v>20</v>
      </c>
    </row>
    <row r="343" spans="1:11" ht="15.75" customHeight="1" x14ac:dyDescent="0.3">
      <c r="A343" s="1">
        <v>1342</v>
      </c>
      <c r="B343" s="1" t="s">
        <v>59</v>
      </c>
      <c r="C343" s="1" t="s">
        <v>31</v>
      </c>
      <c r="D343" s="1" t="s">
        <v>34</v>
      </c>
      <c r="E343" s="1" t="s">
        <v>35</v>
      </c>
      <c r="F343" s="1">
        <v>13</v>
      </c>
      <c r="G343" s="1">
        <v>47881</v>
      </c>
      <c r="H343" s="1">
        <v>15</v>
      </c>
      <c r="I343" s="2">
        <v>46132</v>
      </c>
      <c r="J343" s="2">
        <v>46139</v>
      </c>
      <c r="K343" s="1" t="s">
        <v>29</v>
      </c>
    </row>
    <row r="344" spans="1:11" ht="15.75" customHeight="1" x14ac:dyDescent="0.3">
      <c r="A344" s="1">
        <v>1343</v>
      </c>
      <c r="B344" s="1" t="s">
        <v>59</v>
      </c>
      <c r="C344" s="1" t="s">
        <v>31</v>
      </c>
      <c r="D344" s="1" t="s">
        <v>34</v>
      </c>
      <c r="E344" s="1" t="s">
        <v>39</v>
      </c>
      <c r="F344" s="1">
        <v>14</v>
      </c>
      <c r="G344" s="1">
        <v>32719</v>
      </c>
      <c r="H344" s="1">
        <v>15</v>
      </c>
      <c r="I344" s="2">
        <v>46174</v>
      </c>
      <c r="J344" s="2">
        <v>46179</v>
      </c>
      <c r="K344" s="1" t="s">
        <v>15</v>
      </c>
    </row>
    <row r="345" spans="1:11" ht="15.75" customHeight="1" x14ac:dyDescent="0.3">
      <c r="A345" s="1">
        <v>1344</v>
      </c>
      <c r="B345" s="1" t="s">
        <v>30</v>
      </c>
      <c r="C345" s="1" t="s">
        <v>17</v>
      </c>
      <c r="D345" s="1" t="s">
        <v>13</v>
      </c>
      <c r="E345" s="1" t="s">
        <v>53</v>
      </c>
      <c r="F345" s="1">
        <v>18</v>
      </c>
      <c r="G345" s="1">
        <v>240</v>
      </c>
      <c r="H345" s="1">
        <v>10</v>
      </c>
      <c r="I345" s="2">
        <v>46155</v>
      </c>
      <c r="J345" s="2">
        <v>46156</v>
      </c>
      <c r="K345" s="1" t="s">
        <v>24</v>
      </c>
    </row>
    <row r="346" spans="1:11" ht="15.75" customHeight="1" x14ac:dyDescent="0.3">
      <c r="A346" s="1">
        <v>1345</v>
      </c>
      <c r="B346" s="1" t="s">
        <v>32</v>
      </c>
      <c r="C346" s="1" t="s">
        <v>12</v>
      </c>
      <c r="D346" s="1" t="s">
        <v>34</v>
      </c>
      <c r="E346" s="1" t="s">
        <v>45</v>
      </c>
      <c r="F346" s="1">
        <v>12</v>
      </c>
      <c r="G346" s="1">
        <v>50544</v>
      </c>
      <c r="H346" s="1">
        <v>10</v>
      </c>
      <c r="I346" s="2">
        <v>46095</v>
      </c>
      <c r="J346" s="2">
        <v>46097</v>
      </c>
      <c r="K346" s="1" t="s">
        <v>29</v>
      </c>
    </row>
    <row r="347" spans="1:11" ht="15.75" customHeight="1" x14ac:dyDescent="0.3">
      <c r="A347" s="1">
        <v>1346</v>
      </c>
      <c r="B347" s="1" t="s">
        <v>32</v>
      </c>
      <c r="C347" s="1" t="s">
        <v>22</v>
      </c>
      <c r="D347" s="1" t="s">
        <v>18</v>
      </c>
      <c r="E347" s="1" t="s">
        <v>19</v>
      </c>
      <c r="F347" s="1">
        <v>16</v>
      </c>
      <c r="G347" s="1">
        <v>6910</v>
      </c>
      <c r="H347" s="1">
        <v>15</v>
      </c>
      <c r="I347" s="2">
        <v>46140</v>
      </c>
      <c r="J347" s="2">
        <v>46142</v>
      </c>
      <c r="K347" s="1" t="s">
        <v>29</v>
      </c>
    </row>
    <row r="348" spans="1:11" ht="15.75" customHeight="1" x14ac:dyDescent="0.3">
      <c r="A348" s="1">
        <v>1347</v>
      </c>
      <c r="B348" s="1" t="s">
        <v>29</v>
      </c>
      <c r="C348" s="1" t="s">
        <v>22</v>
      </c>
      <c r="D348" s="1" t="s">
        <v>34</v>
      </c>
      <c r="E348" s="1" t="s">
        <v>35</v>
      </c>
      <c r="F348" s="1">
        <v>16</v>
      </c>
      <c r="G348" s="1">
        <v>6034</v>
      </c>
      <c r="H348" s="1">
        <v>15</v>
      </c>
      <c r="I348" s="2">
        <v>46037</v>
      </c>
      <c r="J348" s="2">
        <v>46044</v>
      </c>
      <c r="K348" s="1" t="s">
        <v>24</v>
      </c>
    </row>
    <row r="349" spans="1:11" ht="15.75" customHeight="1" x14ac:dyDescent="0.3">
      <c r="A349" s="1">
        <v>1348</v>
      </c>
      <c r="B349" s="1" t="s">
        <v>11</v>
      </c>
      <c r="C349" s="1" t="s">
        <v>33</v>
      </c>
      <c r="D349" s="1" t="s">
        <v>13</v>
      </c>
      <c r="E349" s="1" t="s">
        <v>50</v>
      </c>
      <c r="F349" s="1">
        <v>12</v>
      </c>
      <c r="G349" s="1">
        <v>244</v>
      </c>
      <c r="H349" s="1">
        <v>7</v>
      </c>
      <c r="I349" s="2">
        <v>46048</v>
      </c>
      <c r="J349" s="2">
        <v>46053</v>
      </c>
      <c r="K349" s="1" t="s">
        <v>15</v>
      </c>
    </row>
    <row r="350" spans="1:11" ht="15.75" customHeight="1" x14ac:dyDescent="0.3">
      <c r="A350" s="1">
        <v>1349</v>
      </c>
      <c r="B350" s="1" t="s">
        <v>40</v>
      </c>
      <c r="C350" s="1" t="s">
        <v>33</v>
      </c>
      <c r="D350" s="1" t="s">
        <v>34</v>
      </c>
      <c r="E350" s="1" t="s">
        <v>35</v>
      </c>
      <c r="F350" s="1">
        <v>20</v>
      </c>
      <c r="G350" s="1">
        <v>62721</v>
      </c>
      <c r="H350" s="1">
        <v>7</v>
      </c>
      <c r="I350" s="2">
        <v>46079</v>
      </c>
      <c r="J350" s="2">
        <v>46083</v>
      </c>
      <c r="K350" s="1" t="s">
        <v>20</v>
      </c>
    </row>
    <row r="351" spans="1:11" ht="15.75" customHeight="1" x14ac:dyDescent="0.3">
      <c r="A351" s="1">
        <v>1350</v>
      </c>
      <c r="B351" s="1" t="s">
        <v>26</v>
      </c>
      <c r="C351" s="1" t="s">
        <v>43</v>
      </c>
      <c r="D351" s="1" t="s">
        <v>18</v>
      </c>
      <c r="E351" s="1" t="s">
        <v>28</v>
      </c>
      <c r="F351" s="1">
        <v>16</v>
      </c>
      <c r="G351" s="1">
        <v>11790</v>
      </c>
      <c r="H351" s="1">
        <v>12</v>
      </c>
      <c r="I351" s="2">
        <v>46185</v>
      </c>
      <c r="J351" s="2">
        <v>46190</v>
      </c>
      <c r="K351" s="1" t="s">
        <v>29</v>
      </c>
    </row>
    <row r="352" spans="1:11" ht="15.75" customHeight="1" x14ac:dyDescent="0.3">
      <c r="A352" s="1">
        <v>1351</v>
      </c>
      <c r="B352" s="1" t="s">
        <v>42</v>
      </c>
      <c r="C352" s="1" t="s">
        <v>33</v>
      </c>
      <c r="D352" s="1" t="s">
        <v>34</v>
      </c>
      <c r="E352" s="1" t="s">
        <v>45</v>
      </c>
      <c r="F352" s="1">
        <v>12</v>
      </c>
      <c r="G352" s="1">
        <v>1272</v>
      </c>
      <c r="H352" s="1">
        <v>0</v>
      </c>
      <c r="I352" s="2">
        <v>46026</v>
      </c>
      <c r="J352" s="2">
        <v>46029</v>
      </c>
      <c r="K352" s="1" t="s">
        <v>15</v>
      </c>
    </row>
    <row r="353" spans="1:11" ht="15.75" customHeight="1" x14ac:dyDescent="0.3">
      <c r="A353" s="1">
        <v>1352</v>
      </c>
      <c r="B353" s="1" t="s">
        <v>54</v>
      </c>
      <c r="C353" s="1" t="s">
        <v>22</v>
      </c>
      <c r="D353" s="1" t="s">
        <v>13</v>
      </c>
      <c r="E353" s="1" t="s">
        <v>14</v>
      </c>
      <c r="F353" s="1">
        <v>12</v>
      </c>
      <c r="G353" s="1">
        <v>203</v>
      </c>
      <c r="H353" s="1">
        <v>5</v>
      </c>
      <c r="I353" s="2">
        <v>46024</v>
      </c>
      <c r="J353" s="2">
        <v>46033</v>
      </c>
      <c r="K353" s="1" t="s">
        <v>15</v>
      </c>
    </row>
    <row r="354" spans="1:11" ht="15.75" customHeight="1" x14ac:dyDescent="0.3">
      <c r="A354" s="1">
        <v>1353</v>
      </c>
      <c r="B354" s="1" t="s">
        <v>47</v>
      </c>
      <c r="C354" s="1" t="s">
        <v>43</v>
      </c>
      <c r="D354" s="1" t="s">
        <v>13</v>
      </c>
      <c r="E354" s="1" t="s">
        <v>14</v>
      </c>
      <c r="F354" s="1">
        <v>6</v>
      </c>
      <c r="G354" s="1">
        <v>495</v>
      </c>
      <c r="H354" s="1">
        <v>2</v>
      </c>
      <c r="I354" s="2">
        <v>46194</v>
      </c>
      <c r="J354" s="2">
        <v>46200</v>
      </c>
      <c r="K354" s="1" t="s">
        <v>24</v>
      </c>
    </row>
    <row r="355" spans="1:11" ht="15.75" customHeight="1" x14ac:dyDescent="0.3">
      <c r="A355" s="1">
        <v>1354</v>
      </c>
      <c r="B355" s="1" t="s">
        <v>47</v>
      </c>
      <c r="C355" s="1" t="s">
        <v>43</v>
      </c>
      <c r="D355" s="1" t="s">
        <v>34</v>
      </c>
      <c r="E355" s="1" t="s">
        <v>35</v>
      </c>
      <c r="F355" s="1">
        <v>15</v>
      </c>
      <c r="G355" s="1">
        <v>14927</v>
      </c>
      <c r="H355" s="1">
        <v>15</v>
      </c>
      <c r="I355" s="2">
        <v>46118</v>
      </c>
      <c r="J355" s="2">
        <v>46120</v>
      </c>
      <c r="K355" s="1" t="s">
        <v>51</v>
      </c>
    </row>
    <row r="356" spans="1:11" ht="15.75" customHeight="1" x14ac:dyDescent="0.3">
      <c r="A356" s="1">
        <v>1355</v>
      </c>
      <c r="B356" s="1" t="s">
        <v>27</v>
      </c>
      <c r="C356" s="1" t="s">
        <v>12</v>
      </c>
      <c r="D356" s="1" t="s">
        <v>34</v>
      </c>
      <c r="E356" s="1" t="s">
        <v>60</v>
      </c>
      <c r="F356" s="1">
        <v>18</v>
      </c>
      <c r="G356" s="1">
        <v>35997</v>
      </c>
      <c r="H356" s="1">
        <v>2</v>
      </c>
      <c r="I356" s="2">
        <v>46024</v>
      </c>
      <c r="J356" s="2">
        <v>46031</v>
      </c>
      <c r="K356" s="1" t="s">
        <v>51</v>
      </c>
    </row>
    <row r="357" spans="1:11" ht="15.75" customHeight="1" x14ac:dyDescent="0.3">
      <c r="A357" s="1">
        <v>1356</v>
      </c>
      <c r="B357" s="1" t="s">
        <v>26</v>
      </c>
      <c r="C357" s="1" t="s">
        <v>38</v>
      </c>
      <c r="D357" s="1" t="s">
        <v>34</v>
      </c>
      <c r="E357" s="1" t="s">
        <v>60</v>
      </c>
      <c r="F357" s="1">
        <v>16</v>
      </c>
      <c r="G357" s="1">
        <v>53457</v>
      </c>
      <c r="H357" s="1">
        <v>10</v>
      </c>
      <c r="I357" s="2">
        <v>46201</v>
      </c>
      <c r="J357" s="2">
        <v>46204</v>
      </c>
      <c r="K357" s="1" t="s">
        <v>15</v>
      </c>
    </row>
    <row r="358" spans="1:11" ht="15.75" customHeight="1" x14ac:dyDescent="0.3">
      <c r="A358" s="1">
        <v>1357</v>
      </c>
      <c r="B358" s="1" t="s">
        <v>59</v>
      </c>
      <c r="C358" s="1" t="s">
        <v>25</v>
      </c>
      <c r="D358" s="1" t="s">
        <v>13</v>
      </c>
      <c r="E358" s="1" t="s">
        <v>37</v>
      </c>
      <c r="F358" s="1">
        <v>6</v>
      </c>
      <c r="G358" s="1">
        <v>365</v>
      </c>
      <c r="H358" s="1">
        <v>7</v>
      </c>
      <c r="I358" s="2">
        <v>46133</v>
      </c>
      <c r="J358" s="2">
        <v>46140</v>
      </c>
      <c r="K358" s="1" t="s">
        <v>51</v>
      </c>
    </row>
    <row r="359" spans="1:11" ht="15.75" customHeight="1" x14ac:dyDescent="0.3">
      <c r="A359" s="1">
        <v>1358</v>
      </c>
      <c r="B359" s="1" t="s">
        <v>40</v>
      </c>
      <c r="C359" s="1" t="s">
        <v>38</v>
      </c>
      <c r="D359" s="1" t="s">
        <v>18</v>
      </c>
      <c r="E359" s="1" t="s">
        <v>19</v>
      </c>
      <c r="F359" s="1">
        <v>7</v>
      </c>
      <c r="G359" s="1">
        <v>6618</v>
      </c>
      <c r="H359" s="1">
        <v>0</v>
      </c>
      <c r="I359" s="2">
        <v>46127</v>
      </c>
      <c r="J359" s="2">
        <v>46129</v>
      </c>
      <c r="K359" s="1" t="s">
        <v>20</v>
      </c>
    </row>
    <row r="360" spans="1:11" ht="15.75" customHeight="1" x14ac:dyDescent="0.3">
      <c r="A360" s="1">
        <v>1359</v>
      </c>
      <c r="B360" s="1" t="s">
        <v>54</v>
      </c>
      <c r="C360" s="1" t="s">
        <v>12</v>
      </c>
      <c r="D360" s="1" t="s">
        <v>34</v>
      </c>
      <c r="E360" s="1" t="s">
        <v>61</v>
      </c>
      <c r="F360" s="1">
        <v>9</v>
      </c>
      <c r="G360" s="1">
        <v>38179</v>
      </c>
      <c r="H360" s="1">
        <v>0</v>
      </c>
      <c r="I360" s="2">
        <v>46096</v>
      </c>
      <c r="J360" s="2">
        <v>46099</v>
      </c>
      <c r="K360" s="1" t="s">
        <v>15</v>
      </c>
    </row>
    <row r="361" spans="1:11" ht="15.75" customHeight="1" x14ac:dyDescent="0.3">
      <c r="A361" s="1">
        <v>1360</v>
      </c>
      <c r="B361" s="1" t="s">
        <v>11</v>
      </c>
      <c r="C361" s="1" t="s">
        <v>43</v>
      </c>
      <c r="D361" s="1" t="s">
        <v>18</v>
      </c>
      <c r="E361" s="1" t="s">
        <v>23</v>
      </c>
      <c r="F361" s="1">
        <v>19</v>
      </c>
      <c r="G361" s="1">
        <v>6681</v>
      </c>
      <c r="H361" s="1">
        <v>2</v>
      </c>
      <c r="I361" s="2">
        <v>46146</v>
      </c>
      <c r="J361" s="2">
        <v>46150</v>
      </c>
      <c r="K361" s="1" t="s">
        <v>15</v>
      </c>
    </row>
    <row r="362" spans="1:11" ht="15.75" customHeight="1" x14ac:dyDescent="0.3">
      <c r="A362" s="1">
        <v>1361</v>
      </c>
      <c r="B362" s="1" t="s">
        <v>42</v>
      </c>
      <c r="C362" s="1" t="s">
        <v>17</v>
      </c>
      <c r="D362" s="1" t="s">
        <v>18</v>
      </c>
      <c r="E362" s="1" t="s">
        <v>23</v>
      </c>
      <c r="F362" s="1">
        <v>2</v>
      </c>
      <c r="G362" s="1">
        <v>1822</v>
      </c>
      <c r="H362" s="1">
        <v>5</v>
      </c>
      <c r="I362" s="2">
        <v>46141</v>
      </c>
      <c r="J362" s="2">
        <v>46145</v>
      </c>
      <c r="K362" s="1" t="s">
        <v>20</v>
      </c>
    </row>
    <row r="363" spans="1:11" ht="15.75" customHeight="1" x14ac:dyDescent="0.3">
      <c r="A363" s="1">
        <v>1362</v>
      </c>
      <c r="B363" s="1" t="s">
        <v>16</v>
      </c>
      <c r="C363" s="1" t="s">
        <v>12</v>
      </c>
      <c r="D363" s="1" t="s">
        <v>18</v>
      </c>
      <c r="E363" s="1" t="s">
        <v>28</v>
      </c>
      <c r="F363" s="1">
        <v>1</v>
      </c>
      <c r="G363" s="1">
        <v>10474</v>
      </c>
      <c r="H363" s="1">
        <v>0</v>
      </c>
      <c r="I363" s="2">
        <v>46094</v>
      </c>
      <c r="J363" s="2">
        <v>46096</v>
      </c>
      <c r="K363" s="1" t="s">
        <v>29</v>
      </c>
    </row>
    <row r="364" spans="1:11" ht="15.75" customHeight="1" x14ac:dyDescent="0.3">
      <c r="A364" s="1">
        <v>1363</v>
      </c>
      <c r="B364" s="1" t="s">
        <v>27</v>
      </c>
      <c r="C364" s="1" t="s">
        <v>25</v>
      </c>
      <c r="D364" s="1" t="s">
        <v>34</v>
      </c>
      <c r="E364" s="1" t="s">
        <v>35</v>
      </c>
      <c r="F364" s="1">
        <v>7</v>
      </c>
      <c r="G364" s="1">
        <v>45381</v>
      </c>
      <c r="H364" s="1">
        <v>0</v>
      </c>
      <c r="I364" s="2">
        <v>46122</v>
      </c>
      <c r="J364" s="2">
        <v>46128</v>
      </c>
      <c r="K364" s="1" t="s">
        <v>15</v>
      </c>
    </row>
    <row r="365" spans="1:11" ht="15.75" customHeight="1" x14ac:dyDescent="0.3">
      <c r="A365" s="1">
        <v>1364</v>
      </c>
      <c r="B365" s="1" t="s">
        <v>30</v>
      </c>
      <c r="C365" s="1" t="s">
        <v>22</v>
      </c>
      <c r="D365" s="1" t="s">
        <v>18</v>
      </c>
      <c r="E365" s="1" t="s">
        <v>56</v>
      </c>
      <c r="F365" s="1">
        <v>16</v>
      </c>
      <c r="G365" s="1">
        <v>1744</v>
      </c>
      <c r="H365" s="1">
        <v>15</v>
      </c>
      <c r="I365" s="2">
        <v>46031</v>
      </c>
      <c r="J365" s="2">
        <v>46033</v>
      </c>
      <c r="K365" s="1" t="s">
        <v>51</v>
      </c>
    </row>
    <row r="366" spans="1:11" ht="15.75" customHeight="1" x14ac:dyDescent="0.3">
      <c r="A366" s="1">
        <v>1365</v>
      </c>
      <c r="B366" s="1" t="s">
        <v>46</v>
      </c>
      <c r="C366" s="1" t="s">
        <v>33</v>
      </c>
      <c r="D366" s="1" t="s">
        <v>13</v>
      </c>
      <c r="E366" s="1" t="s">
        <v>50</v>
      </c>
      <c r="F366" s="1">
        <v>17</v>
      </c>
      <c r="G366" s="1">
        <v>119</v>
      </c>
      <c r="H366" s="1">
        <v>7</v>
      </c>
      <c r="I366" s="2">
        <v>46070</v>
      </c>
      <c r="J366" s="2">
        <v>46072</v>
      </c>
      <c r="K366" s="1" t="s">
        <v>20</v>
      </c>
    </row>
    <row r="367" spans="1:11" ht="15.75" customHeight="1" x14ac:dyDescent="0.3">
      <c r="A367" s="1">
        <v>1366</v>
      </c>
      <c r="B367" s="1" t="s">
        <v>26</v>
      </c>
      <c r="C367" s="1" t="s">
        <v>17</v>
      </c>
      <c r="D367" s="1" t="s">
        <v>34</v>
      </c>
      <c r="E367" s="1" t="s">
        <v>61</v>
      </c>
      <c r="F367" s="1">
        <v>20</v>
      </c>
      <c r="G367" s="1">
        <v>44312</v>
      </c>
      <c r="H367" s="1">
        <v>10</v>
      </c>
      <c r="I367" s="2">
        <v>46047</v>
      </c>
      <c r="J367" s="2">
        <v>46054</v>
      </c>
      <c r="K367" s="1" t="s">
        <v>29</v>
      </c>
    </row>
    <row r="368" spans="1:11" ht="15.75" customHeight="1" x14ac:dyDescent="0.3">
      <c r="A368" s="1">
        <v>1367</v>
      </c>
      <c r="B368" s="1" t="s">
        <v>54</v>
      </c>
      <c r="C368" s="1" t="s">
        <v>25</v>
      </c>
      <c r="D368" s="1" t="s">
        <v>13</v>
      </c>
      <c r="E368" s="1" t="s">
        <v>53</v>
      </c>
      <c r="F368" s="1">
        <v>1</v>
      </c>
      <c r="G368" s="1">
        <v>371</v>
      </c>
      <c r="H368" s="1">
        <v>5</v>
      </c>
      <c r="I368" s="2">
        <v>46158</v>
      </c>
      <c r="J368" s="2">
        <v>46168</v>
      </c>
      <c r="K368" s="1" t="s">
        <v>29</v>
      </c>
    </row>
    <row r="369" spans="1:11" ht="15.75" customHeight="1" x14ac:dyDescent="0.3">
      <c r="A369" s="1">
        <v>1368</v>
      </c>
      <c r="B369" s="1" t="s">
        <v>55</v>
      </c>
      <c r="C369" s="1" t="s">
        <v>38</v>
      </c>
      <c r="D369" s="1" t="s">
        <v>13</v>
      </c>
      <c r="E369" s="1" t="s">
        <v>36</v>
      </c>
      <c r="F369" s="1">
        <v>9</v>
      </c>
      <c r="G369" s="1">
        <v>115</v>
      </c>
      <c r="H369" s="1">
        <v>0</v>
      </c>
      <c r="I369" s="2">
        <v>46036</v>
      </c>
      <c r="J369" s="2">
        <v>46045</v>
      </c>
      <c r="K369" s="1" t="s">
        <v>24</v>
      </c>
    </row>
    <row r="370" spans="1:11" ht="15.75" customHeight="1" x14ac:dyDescent="0.3">
      <c r="A370" s="1">
        <v>1369</v>
      </c>
      <c r="B370" s="1" t="s">
        <v>57</v>
      </c>
      <c r="C370" s="1" t="s">
        <v>25</v>
      </c>
      <c r="D370" s="1" t="s">
        <v>18</v>
      </c>
      <c r="E370" s="1" t="s">
        <v>19</v>
      </c>
      <c r="F370" s="1">
        <v>19</v>
      </c>
      <c r="G370" s="1">
        <v>5840</v>
      </c>
      <c r="H370" s="1">
        <v>5</v>
      </c>
      <c r="I370" s="2">
        <v>46062</v>
      </c>
      <c r="J370" s="2">
        <v>46067</v>
      </c>
      <c r="K370" s="1" t="s">
        <v>15</v>
      </c>
    </row>
    <row r="371" spans="1:11" ht="15.75" customHeight="1" x14ac:dyDescent="0.3">
      <c r="A371" s="1">
        <v>1370</v>
      </c>
      <c r="B371" s="1" t="s">
        <v>59</v>
      </c>
      <c r="C371" s="1" t="s">
        <v>38</v>
      </c>
      <c r="D371" s="1" t="s">
        <v>13</v>
      </c>
      <c r="E371" s="1" t="s">
        <v>53</v>
      </c>
      <c r="F371" s="1">
        <v>13</v>
      </c>
      <c r="G371" s="1">
        <v>337</v>
      </c>
      <c r="H371" s="1">
        <v>7</v>
      </c>
      <c r="I371" s="2">
        <v>46184</v>
      </c>
      <c r="J371" s="2">
        <v>46188</v>
      </c>
      <c r="K371" s="1" t="s">
        <v>15</v>
      </c>
    </row>
    <row r="372" spans="1:11" ht="15.75" customHeight="1" x14ac:dyDescent="0.3">
      <c r="A372" s="1">
        <v>1371</v>
      </c>
      <c r="B372" s="1" t="s">
        <v>48</v>
      </c>
      <c r="C372" s="1" t="s">
        <v>38</v>
      </c>
      <c r="D372" s="1" t="s">
        <v>18</v>
      </c>
      <c r="E372" s="1" t="s">
        <v>19</v>
      </c>
      <c r="F372" s="1">
        <v>19</v>
      </c>
      <c r="G372" s="1">
        <v>1087</v>
      </c>
      <c r="H372" s="1">
        <v>15</v>
      </c>
      <c r="I372" s="2">
        <v>46072</v>
      </c>
      <c r="J372" s="2">
        <v>46082</v>
      </c>
      <c r="K372" s="1" t="s">
        <v>20</v>
      </c>
    </row>
    <row r="373" spans="1:11" ht="15.75" customHeight="1" x14ac:dyDescent="0.3">
      <c r="A373" s="1">
        <v>1372</v>
      </c>
      <c r="B373" s="1" t="s">
        <v>48</v>
      </c>
      <c r="C373" s="1" t="s">
        <v>17</v>
      </c>
      <c r="D373" s="1" t="s">
        <v>34</v>
      </c>
      <c r="E373" s="1" t="s">
        <v>39</v>
      </c>
      <c r="F373" s="1">
        <v>9</v>
      </c>
      <c r="G373" s="1">
        <v>9551</v>
      </c>
      <c r="H373" s="1">
        <v>10</v>
      </c>
      <c r="I373" s="2">
        <v>46161</v>
      </c>
      <c r="J373" s="2">
        <v>46168</v>
      </c>
      <c r="K373" s="1" t="s">
        <v>15</v>
      </c>
    </row>
    <row r="374" spans="1:11" ht="15.75" customHeight="1" x14ac:dyDescent="0.3">
      <c r="A374" s="1">
        <v>1373</v>
      </c>
      <c r="B374" s="1" t="s">
        <v>54</v>
      </c>
      <c r="C374" s="1" t="s">
        <v>25</v>
      </c>
      <c r="D374" s="1" t="s">
        <v>34</v>
      </c>
      <c r="E374" s="1" t="s">
        <v>60</v>
      </c>
      <c r="F374" s="1">
        <v>11</v>
      </c>
      <c r="G374" s="1">
        <v>47930</v>
      </c>
      <c r="H374" s="1">
        <v>12</v>
      </c>
      <c r="I374" s="2">
        <v>46191</v>
      </c>
      <c r="J374" s="2">
        <v>46201</v>
      </c>
      <c r="K374" s="1" t="s">
        <v>20</v>
      </c>
    </row>
    <row r="375" spans="1:11" ht="15.75" customHeight="1" x14ac:dyDescent="0.3">
      <c r="A375" s="1">
        <v>1374</v>
      </c>
      <c r="B375" s="1" t="s">
        <v>57</v>
      </c>
      <c r="C375" s="1" t="s">
        <v>33</v>
      </c>
      <c r="D375" s="1" t="s">
        <v>34</v>
      </c>
      <c r="E375" s="1" t="s">
        <v>35</v>
      </c>
      <c r="F375" s="1">
        <v>12</v>
      </c>
      <c r="G375" s="1">
        <v>66052</v>
      </c>
      <c r="H375" s="1">
        <v>2</v>
      </c>
      <c r="I375" s="2">
        <v>46063</v>
      </c>
      <c r="J375" s="2">
        <v>46066</v>
      </c>
      <c r="K375" s="1" t="s">
        <v>51</v>
      </c>
    </row>
    <row r="376" spans="1:11" ht="15.75" customHeight="1" x14ac:dyDescent="0.3">
      <c r="A376" s="1">
        <v>1375</v>
      </c>
      <c r="B376" s="1" t="s">
        <v>46</v>
      </c>
      <c r="C376" s="1" t="s">
        <v>43</v>
      </c>
      <c r="D376" s="1" t="s">
        <v>34</v>
      </c>
      <c r="E376" s="1" t="s">
        <v>45</v>
      </c>
      <c r="F376" s="1">
        <v>20</v>
      </c>
      <c r="G376" s="1">
        <v>56766</v>
      </c>
      <c r="H376" s="1">
        <v>0</v>
      </c>
      <c r="I376" s="2">
        <v>46052</v>
      </c>
      <c r="J376" s="2">
        <v>46061</v>
      </c>
      <c r="K376" s="1" t="s">
        <v>24</v>
      </c>
    </row>
    <row r="377" spans="1:11" ht="15.75" customHeight="1" x14ac:dyDescent="0.3">
      <c r="A377" s="1">
        <v>1376</v>
      </c>
      <c r="B377" s="1" t="s">
        <v>52</v>
      </c>
      <c r="C377" s="1" t="s">
        <v>31</v>
      </c>
      <c r="D377" s="1" t="s">
        <v>13</v>
      </c>
      <c r="E377" s="1" t="s">
        <v>50</v>
      </c>
      <c r="F377" s="1">
        <v>20</v>
      </c>
      <c r="G377" s="1">
        <v>429</v>
      </c>
      <c r="H377" s="1">
        <v>5</v>
      </c>
      <c r="I377" s="2">
        <v>46178</v>
      </c>
      <c r="J377" s="2">
        <v>46184</v>
      </c>
      <c r="K377" s="1" t="s">
        <v>20</v>
      </c>
    </row>
    <row r="378" spans="1:11" ht="15.75" customHeight="1" x14ac:dyDescent="0.3">
      <c r="A378" s="1">
        <v>1377</v>
      </c>
      <c r="B378" s="1" t="s">
        <v>32</v>
      </c>
      <c r="C378" s="1" t="s">
        <v>38</v>
      </c>
      <c r="D378" s="1" t="s">
        <v>18</v>
      </c>
      <c r="E378" s="1" t="s">
        <v>19</v>
      </c>
      <c r="F378" s="1">
        <v>3</v>
      </c>
      <c r="G378" s="1">
        <v>5480</v>
      </c>
      <c r="H378" s="1">
        <v>12</v>
      </c>
      <c r="I378" s="2">
        <v>46105</v>
      </c>
      <c r="J378" s="2">
        <v>46111</v>
      </c>
      <c r="K378" s="1" t="s">
        <v>24</v>
      </c>
    </row>
    <row r="379" spans="1:11" ht="15.75" customHeight="1" x14ac:dyDescent="0.3">
      <c r="A379" s="1">
        <v>1378</v>
      </c>
      <c r="B379" s="1" t="s">
        <v>55</v>
      </c>
      <c r="C379" s="1" t="s">
        <v>22</v>
      </c>
      <c r="D379" s="1" t="s">
        <v>34</v>
      </c>
      <c r="E379" s="1" t="s">
        <v>45</v>
      </c>
      <c r="F379" s="1">
        <v>15</v>
      </c>
      <c r="G379" s="1">
        <v>22693</v>
      </c>
      <c r="H379" s="1">
        <v>12</v>
      </c>
      <c r="I379" s="2">
        <v>46074</v>
      </c>
      <c r="J379" s="2">
        <v>46080</v>
      </c>
      <c r="K379" s="1" t="s">
        <v>51</v>
      </c>
    </row>
    <row r="380" spans="1:11" ht="15.75" customHeight="1" x14ac:dyDescent="0.3">
      <c r="A380" s="1">
        <v>1379</v>
      </c>
      <c r="B380" s="1" t="s">
        <v>47</v>
      </c>
      <c r="C380" s="1" t="s">
        <v>17</v>
      </c>
      <c r="D380" s="1" t="s">
        <v>13</v>
      </c>
      <c r="E380" s="1" t="s">
        <v>14</v>
      </c>
      <c r="F380" s="1">
        <v>11</v>
      </c>
      <c r="G380" s="1">
        <v>136</v>
      </c>
      <c r="H380" s="1">
        <v>15</v>
      </c>
      <c r="I380" s="2">
        <v>46106</v>
      </c>
      <c r="J380" s="2">
        <v>46107</v>
      </c>
      <c r="K380" s="1" t="s">
        <v>20</v>
      </c>
    </row>
    <row r="381" spans="1:11" ht="15.75" customHeight="1" x14ac:dyDescent="0.3">
      <c r="A381" s="1">
        <v>1380</v>
      </c>
      <c r="B381" s="1" t="s">
        <v>52</v>
      </c>
      <c r="C381" s="1" t="s">
        <v>43</v>
      </c>
      <c r="D381" s="1" t="s">
        <v>13</v>
      </c>
      <c r="E381" s="1" t="s">
        <v>53</v>
      </c>
      <c r="F381" s="1">
        <v>3</v>
      </c>
      <c r="G381" s="1">
        <v>412</v>
      </c>
      <c r="H381" s="1">
        <v>7</v>
      </c>
      <c r="I381" s="2">
        <v>46128</v>
      </c>
      <c r="J381" s="2">
        <v>46138</v>
      </c>
      <c r="K381" s="1" t="s">
        <v>24</v>
      </c>
    </row>
    <row r="382" spans="1:11" ht="15.75" customHeight="1" x14ac:dyDescent="0.3">
      <c r="A382" s="1">
        <v>1381</v>
      </c>
      <c r="B382" s="1" t="s">
        <v>55</v>
      </c>
      <c r="C382" s="1" t="s">
        <v>33</v>
      </c>
      <c r="D382" s="1" t="s">
        <v>18</v>
      </c>
      <c r="E382" s="1" t="s">
        <v>28</v>
      </c>
      <c r="F382" s="1">
        <v>5</v>
      </c>
      <c r="G382" s="1">
        <v>7484</v>
      </c>
      <c r="H382" s="1">
        <v>2</v>
      </c>
      <c r="I382" s="2">
        <v>46089</v>
      </c>
      <c r="J382" s="2">
        <v>46093</v>
      </c>
      <c r="K382" s="1" t="s">
        <v>20</v>
      </c>
    </row>
    <row r="383" spans="1:11" ht="15.75" customHeight="1" x14ac:dyDescent="0.3">
      <c r="A383" s="1">
        <v>1382</v>
      </c>
      <c r="B383" s="1" t="s">
        <v>49</v>
      </c>
      <c r="C383" s="1" t="s">
        <v>33</v>
      </c>
      <c r="D383" s="1" t="s">
        <v>34</v>
      </c>
      <c r="E383" s="1" t="s">
        <v>60</v>
      </c>
      <c r="F383" s="1">
        <v>11</v>
      </c>
      <c r="G383" s="1">
        <v>36198</v>
      </c>
      <c r="H383" s="1">
        <v>0</v>
      </c>
      <c r="I383" s="2">
        <v>46130</v>
      </c>
      <c r="J383" s="2">
        <v>46134</v>
      </c>
      <c r="K383" s="1" t="s">
        <v>15</v>
      </c>
    </row>
    <row r="384" spans="1:11" ht="15.75" customHeight="1" x14ac:dyDescent="0.3">
      <c r="A384" s="1">
        <v>1383</v>
      </c>
      <c r="B384" s="1" t="s">
        <v>32</v>
      </c>
      <c r="C384" s="1" t="s">
        <v>12</v>
      </c>
      <c r="D384" s="1" t="s">
        <v>13</v>
      </c>
      <c r="E384" s="1" t="s">
        <v>53</v>
      </c>
      <c r="F384" s="1">
        <v>14</v>
      </c>
      <c r="G384" s="1">
        <v>334</v>
      </c>
      <c r="H384" s="1">
        <v>10</v>
      </c>
      <c r="I384" s="2">
        <v>46196</v>
      </c>
      <c r="J384" s="2">
        <v>46203</v>
      </c>
      <c r="K384" s="1" t="s">
        <v>15</v>
      </c>
    </row>
    <row r="385" spans="1:11" ht="15.75" customHeight="1" x14ac:dyDescent="0.3">
      <c r="A385" s="1">
        <v>1384</v>
      </c>
      <c r="B385" s="1" t="s">
        <v>59</v>
      </c>
      <c r="C385" s="1" t="s">
        <v>12</v>
      </c>
      <c r="D385" s="1" t="s">
        <v>34</v>
      </c>
      <c r="E385" s="1" t="s">
        <v>39</v>
      </c>
      <c r="F385" s="1">
        <v>15</v>
      </c>
      <c r="G385" s="1">
        <v>38116</v>
      </c>
      <c r="H385" s="1">
        <v>0</v>
      </c>
      <c r="I385" s="2">
        <v>46074</v>
      </c>
      <c r="J385" s="2">
        <v>46078</v>
      </c>
      <c r="K385" s="1" t="s">
        <v>29</v>
      </c>
    </row>
    <row r="386" spans="1:11" ht="15.75" customHeight="1" x14ac:dyDescent="0.3">
      <c r="A386" s="1">
        <v>1385</v>
      </c>
      <c r="B386" s="1" t="s">
        <v>26</v>
      </c>
      <c r="C386" s="1" t="s">
        <v>33</v>
      </c>
      <c r="D386" s="1" t="s">
        <v>34</v>
      </c>
      <c r="E386" s="1" t="s">
        <v>39</v>
      </c>
      <c r="F386" s="1">
        <v>12</v>
      </c>
      <c r="G386" s="1">
        <v>61360</v>
      </c>
      <c r="H386" s="1">
        <v>10</v>
      </c>
      <c r="I386" s="2">
        <v>46048</v>
      </c>
      <c r="J386" s="2">
        <v>46053</v>
      </c>
      <c r="K386" s="1" t="s">
        <v>51</v>
      </c>
    </row>
    <row r="387" spans="1:11" ht="15.75" customHeight="1" x14ac:dyDescent="0.3">
      <c r="A387" s="1">
        <v>1386</v>
      </c>
      <c r="B387" s="1" t="s">
        <v>27</v>
      </c>
      <c r="C387" s="1" t="s">
        <v>31</v>
      </c>
      <c r="D387" s="1" t="s">
        <v>18</v>
      </c>
      <c r="E387" s="1" t="s">
        <v>28</v>
      </c>
      <c r="F387" s="1">
        <v>9</v>
      </c>
      <c r="G387" s="1">
        <v>7509</v>
      </c>
      <c r="H387" s="1">
        <v>5</v>
      </c>
      <c r="I387" s="2">
        <v>46162</v>
      </c>
      <c r="J387" s="2">
        <v>46171</v>
      </c>
      <c r="K387" s="1" t="s">
        <v>51</v>
      </c>
    </row>
    <row r="388" spans="1:11" ht="15.75" customHeight="1" x14ac:dyDescent="0.3">
      <c r="A388" s="1">
        <v>1387</v>
      </c>
      <c r="B388" s="1" t="s">
        <v>54</v>
      </c>
      <c r="C388" s="1" t="s">
        <v>33</v>
      </c>
      <c r="D388" s="1" t="s">
        <v>34</v>
      </c>
      <c r="E388" s="1" t="s">
        <v>35</v>
      </c>
      <c r="F388" s="1">
        <v>11</v>
      </c>
      <c r="G388" s="1">
        <v>56515</v>
      </c>
      <c r="H388" s="1">
        <v>5</v>
      </c>
      <c r="I388" s="2">
        <v>46102</v>
      </c>
      <c r="J388" s="2">
        <v>46112</v>
      </c>
      <c r="K388" s="1" t="s">
        <v>24</v>
      </c>
    </row>
    <row r="389" spans="1:11" ht="15.75" customHeight="1" x14ac:dyDescent="0.3">
      <c r="A389" s="1">
        <v>1388</v>
      </c>
      <c r="B389" s="1" t="s">
        <v>55</v>
      </c>
      <c r="C389" s="1" t="s">
        <v>31</v>
      </c>
      <c r="D389" s="1" t="s">
        <v>18</v>
      </c>
      <c r="E389" s="1" t="s">
        <v>28</v>
      </c>
      <c r="F389" s="1">
        <v>12</v>
      </c>
      <c r="G389" s="1">
        <v>11662</v>
      </c>
      <c r="H389" s="1">
        <v>12</v>
      </c>
      <c r="I389" s="2">
        <v>46094</v>
      </c>
      <c r="J389" s="2">
        <v>46096</v>
      </c>
      <c r="K389" s="1" t="s">
        <v>20</v>
      </c>
    </row>
    <row r="390" spans="1:11" ht="15.75" customHeight="1" x14ac:dyDescent="0.3">
      <c r="A390" s="1">
        <v>1389</v>
      </c>
      <c r="B390" s="1" t="s">
        <v>32</v>
      </c>
      <c r="C390" s="1" t="s">
        <v>12</v>
      </c>
      <c r="D390" s="1" t="s">
        <v>34</v>
      </c>
      <c r="E390" s="1" t="s">
        <v>41</v>
      </c>
      <c r="F390" s="1">
        <v>3</v>
      </c>
      <c r="G390" s="1">
        <v>56380</v>
      </c>
      <c r="H390" s="1">
        <v>5</v>
      </c>
      <c r="I390" s="2">
        <v>46044</v>
      </c>
      <c r="J390" s="2">
        <v>46048</v>
      </c>
      <c r="K390" s="1" t="s">
        <v>51</v>
      </c>
    </row>
    <row r="391" spans="1:11" ht="15.75" customHeight="1" x14ac:dyDescent="0.3">
      <c r="A391" s="1">
        <v>1390</v>
      </c>
      <c r="B391" s="1" t="s">
        <v>58</v>
      </c>
      <c r="C391" s="1" t="s">
        <v>43</v>
      </c>
      <c r="D391" s="1" t="s">
        <v>18</v>
      </c>
      <c r="E391" s="1" t="s">
        <v>19</v>
      </c>
      <c r="F391" s="1">
        <v>9</v>
      </c>
      <c r="G391" s="1">
        <v>7670</v>
      </c>
      <c r="H391" s="1">
        <v>0</v>
      </c>
      <c r="I391" s="2">
        <v>46076</v>
      </c>
      <c r="J391" s="2">
        <v>46081</v>
      </c>
      <c r="K391" s="1" t="s">
        <v>51</v>
      </c>
    </row>
    <row r="392" spans="1:11" ht="15.75" customHeight="1" x14ac:dyDescent="0.3">
      <c r="A392" s="1">
        <v>1391</v>
      </c>
      <c r="B392" s="1" t="s">
        <v>30</v>
      </c>
      <c r="C392" s="1" t="s">
        <v>31</v>
      </c>
      <c r="D392" s="1" t="s">
        <v>34</v>
      </c>
      <c r="E392" s="1" t="s">
        <v>35</v>
      </c>
      <c r="F392" s="1">
        <v>5</v>
      </c>
      <c r="G392" s="1">
        <v>65270</v>
      </c>
      <c r="H392" s="1">
        <v>5</v>
      </c>
      <c r="I392" s="2">
        <v>46100</v>
      </c>
      <c r="J392" s="2">
        <v>46103</v>
      </c>
      <c r="K392" s="1" t="s">
        <v>24</v>
      </c>
    </row>
    <row r="393" spans="1:11" ht="15.75" customHeight="1" x14ac:dyDescent="0.3">
      <c r="A393" s="1">
        <v>1392</v>
      </c>
      <c r="B393" s="1" t="s">
        <v>29</v>
      </c>
      <c r="C393" s="1" t="s">
        <v>43</v>
      </c>
      <c r="D393" s="1" t="s">
        <v>34</v>
      </c>
      <c r="E393" s="1" t="s">
        <v>35</v>
      </c>
      <c r="F393" s="1">
        <v>13</v>
      </c>
      <c r="G393" s="1">
        <v>23903</v>
      </c>
      <c r="H393" s="1">
        <v>5</v>
      </c>
      <c r="I393" s="2">
        <v>46124</v>
      </c>
      <c r="J393" s="2">
        <v>46125</v>
      </c>
      <c r="K393" s="1" t="s">
        <v>29</v>
      </c>
    </row>
    <row r="394" spans="1:11" ht="15.75" customHeight="1" x14ac:dyDescent="0.3">
      <c r="A394" s="1">
        <v>1393</v>
      </c>
      <c r="B394" s="1" t="s">
        <v>30</v>
      </c>
      <c r="C394" s="1" t="s">
        <v>25</v>
      </c>
      <c r="D394" s="1" t="s">
        <v>34</v>
      </c>
      <c r="E394" s="1" t="s">
        <v>45</v>
      </c>
      <c r="F394" s="1">
        <v>17</v>
      </c>
      <c r="G394" s="1">
        <v>30351</v>
      </c>
      <c r="H394" s="1">
        <v>15</v>
      </c>
      <c r="I394" s="2">
        <v>46047</v>
      </c>
      <c r="J394" s="2">
        <v>46051</v>
      </c>
      <c r="K394" s="1" t="s">
        <v>51</v>
      </c>
    </row>
    <row r="395" spans="1:11" ht="15.75" customHeight="1" x14ac:dyDescent="0.3">
      <c r="A395" s="1">
        <v>1394</v>
      </c>
      <c r="B395" s="1" t="s">
        <v>54</v>
      </c>
      <c r="C395" s="1" t="s">
        <v>12</v>
      </c>
      <c r="D395" s="1" t="s">
        <v>13</v>
      </c>
      <c r="E395" s="1" t="s">
        <v>14</v>
      </c>
      <c r="F395" s="1">
        <v>10</v>
      </c>
      <c r="G395" s="1">
        <v>138</v>
      </c>
      <c r="H395" s="1">
        <v>2</v>
      </c>
      <c r="I395" s="2">
        <v>46056</v>
      </c>
      <c r="J395" s="2">
        <v>46057</v>
      </c>
      <c r="K395" s="1" t="s">
        <v>15</v>
      </c>
    </row>
    <row r="396" spans="1:11" ht="15.75" customHeight="1" x14ac:dyDescent="0.3">
      <c r="A396" s="1">
        <v>1395</v>
      </c>
      <c r="B396" s="1" t="s">
        <v>54</v>
      </c>
      <c r="C396" s="1" t="s">
        <v>33</v>
      </c>
      <c r="D396" s="1" t="s">
        <v>18</v>
      </c>
      <c r="E396" s="1" t="s">
        <v>44</v>
      </c>
      <c r="F396" s="1">
        <v>18</v>
      </c>
      <c r="G396" s="1">
        <v>10402</v>
      </c>
      <c r="H396" s="1">
        <v>15</v>
      </c>
      <c r="I396" s="2">
        <v>46062</v>
      </c>
      <c r="J396" s="2">
        <v>46067</v>
      </c>
      <c r="K396" s="1" t="s">
        <v>29</v>
      </c>
    </row>
    <row r="397" spans="1:11" ht="15.75" customHeight="1" x14ac:dyDescent="0.3">
      <c r="A397" s="1">
        <v>1396</v>
      </c>
      <c r="B397" s="1" t="s">
        <v>21</v>
      </c>
      <c r="C397" s="1" t="s">
        <v>38</v>
      </c>
      <c r="D397" s="1" t="s">
        <v>13</v>
      </c>
      <c r="E397" s="1" t="s">
        <v>53</v>
      </c>
      <c r="F397" s="1">
        <v>8</v>
      </c>
      <c r="G397" s="1">
        <v>54</v>
      </c>
      <c r="H397" s="1">
        <v>15</v>
      </c>
      <c r="I397" s="2">
        <v>46031</v>
      </c>
      <c r="J397" s="2">
        <v>46035</v>
      </c>
      <c r="K397" s="1" t="s">
        <v>15</v>
      </c>
    </row>
    <row r="398" spans="1:11" ht="15.75" customHeight="1" x14ac:dyDescent="0.3">
      <c r="A398" s="1">
        <v>1397</v>
      </c>
      <c r="B398" s="1" t="s">
        <v>21</v>
      </c>
      <c r="C398" s="1" t="s">
        <v>33</v>
      </c>
      <c r="D398" s="1" t="s">
        <v>18</v>
      </c>
      <c r="E398" s="1" t="s">
        <v>23</v>
      </c>
      <c r="F398" s="1">
        <v>1</v>
      </c>
      <c r="G398" s="1">
        <v>8948</v>
      </c>
      <c r="H398" s="1">
        <v>5</v>
      </c>
      <c r="I398" s="2">
        <v>46194</v>
      </c>
      <c r="J398" s="2">
        <v>46201</v>
      </c>
      <c r="K398" s="1" t="s">
        <v>51</v>
      </c>
    </row>
    <row r="399" spans="1:11" ht="15.75" customHeight="1" x14ac:dyDescent="0.3">
      <c r="A399" s="1">
        <v>1398</v>
      </c>
      <c r="B399" s="1" t="s">
        <v>58</v>
      </c>
      <c r="C399" s="1" t="s">
        <v>43</v>
      </c>
      <c r="D399" s="1" t="s">
        <v>34</v>
      </c>
      <c r="E399" s="1" t="s">
        <v>39</v>
      </c>
      <c r="F399" s="1">
        <v>12</v>
      </c>
      <c r="G399" s="1">
        <v>10668</v>
      </c>
      <c r="H399" s="1">
        <v>0</v>
      </c>
      <c r="I399" s="2">
        <v>46170</v>
      </c>
      <c r="J399" s="2">
        <v>46176</v>
      </c>
      <c r="K399" s="1" t="s">
        <v>15</v>
      </c>
    </row>
    <row r="400" spans="1:11" ht="15.75" customHeight="1" x14ac:dyDescent="0.3">
      <c r="A400" s="1">
        <v>1399</v>
      </c>
      <c r="B400" s="1" t="s">
        <v>48</v>
      </c>
      <c r="C400" s="1" t="s">
        <v>31</v>
      </c>
      <c r="D400" s="1" t="s">
        <v>13</v>
      </c>
      <c r="E400" s="1" t="s">
        <v>14</v>
      </c>
      <c r="F400" s="1">
        <v>15</v>
      </c>
      <c r="G400" s="1">
        <v>87</v>
      </c>
      <c r="H400" s="1">
        <v>15</v>
      </c>
      <c r="I400" s="2">
        <v>46089</v>
      </c>
      <c r="J400" s="2">
        <v>46093</v>
      </c>
      <c r="K400" s="1" t="s">
        <v>20</v>
      </c>
    </row>
    <row r="401" spans="1:11" ht="15.75" customHeight="1" x14ac:dyDescent="0.3">
      <c r="A401" s="1">
        <v>1400</v>
      </c>
      <c r="B401" s="1" t="s">
        <v>40</v>
      </c>
      <c r="C401" s="1" t="s">
        <v>22</v>
      </c>
      <c r="D401" s="1" t="s">
        <v>34</v>
      </c>
      <c r="E401" s="1" t="s">
        <v>35</v>
      </c>
      <c r="F401" s="1">
        <v>13</v>
      </c>
      <c r="G401" s="1">
        <v>52411</v>
      </c>
      <c r="H401" s="1">
        <v>15</v>
      </c>
      <c r="I401" s="2">
        <v>46090</v>
      </c>
      <c r="J401" s="2">
        <v>46092</v>
      </c>
      <c r="K401" s="1" t="s">
        <v>20</v>
      </c>
    </row>
    <row r="402" spans="1:11" ht="15.75" customHeight="1" x14ac:dyDescent="0.3"/>
    <row r="403" spans="1:11" ht="15.75" customHeight="1" x14ac:dyDescent="0.3"/>
    <row r="404" spans="1:11" ht="15.75" customHeight="1" x14ac:dyDescent="0.3"/>
    <row r="405" spans="1:11" ht="15.75" customHeight="1" x14ac:dyDescent="0.3"/>
    <row r="406" spans="1:11" ht="15.75" customHeight="1" x14ac:dyDescent="0.3"/>
    <row r="407" spans="1:11" ht="15.75" customHeight="1" x14ac:dyDescent="0.3"/>
    <row r="408" spans="1:11" ht="15.75" customHeight="1" x14ac:dyDescent="0.3"/>
    <row r="409" spans="1:11" ht="15.75" customHeight="1" x14ac:dyDescent="0.3"/>
    <row r="410" spans="1:11" ht="15.75" customHeight="1" x14ac:dyDescent="0.3"/>
    <row r="411" spans="1:11" ht="15.75" customHeight="1" x14ac:dyDescent="0.3"/>
    <row r="412" spans="1:11" ht="15.75" customHeight="1" x14ac:dyDescent="0.3"/>
    <row r="413" spans="1:11" ht="15.75" customHeight="1" x14ac:dyDescent="0.3"/>
    <row r="414" spans="1:11" ht="15.75" customHeight="1" x14ac:dyDescent="0.3"/>
    <row r="415" spans="1:11" ht="15.75" customHeight="1" x14ac:dyDescent="0.3"/>
    <row r="416" spans="1:11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401"/>
  <sheetViews>
    <sheetView tabSelected="1" topLeftCell="B1" workbookViewId="0">
      <pane ySplit="1" topLeftCell="A2" activePane="bottomLeft" state="frozen"/>
      <selection pane="bottomLeft" activeCell="M2" sqref="M2"/>
    </sheetView>
  </sheetViews>
  <sheetFormatPr defaultColWidth="14.44140625" defaultRowHeight="15" customHeight="1" x14ac:dyDescent="0.3"/>
  <cols>
    <col min="1" max="1" width="9.5546875" customWidth="1"/>
  </cols>
  <sheetData>
    <row r="1" spans="1:11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14</v>
      </c>
      <c r="E2" s="1">
        <v>3</v>
      </c>
      <c r="F2" s="1">
        <v>222</v>
      </c>
      <c r="G2" s="1">
        <v>15</v>
      </c>
      <c r="H2" s="2">
        <v>46081</v>
      </c>
      <c r="I2" s="2">
        <v>46083</v>
      </c>
      <c r="J2" s="1" t="s">
        <v>15</v>
      </c>
      <c r="K2" s="1">
        <v>1001</v>
      </c>
    </row>
    <row r="3" spans="1:11" x14ac:dyDescent="0.3">
      <c r="A3" s="1" t="s">
        <v>16</v>
      </c>
      <c r="B3" s="1" t="s">
        <v>17</v>
      </c>
      <c r="C3" s="1" t="s">
        <v>18</v>
      </c>
      <c r="D3" s="1" t="s">
        <v>19</v>
      </c>
      <c r="E3" s="1">
        <v>7</v>
      </c>
      <c r="F3" s="1">
        <v>8448</v>
      </c>
      <c r="G3" s="1">
        <v>12</v>
      </c>
      <c r="H3" s="2">
        <v>46174</v>
      </c>
      <c r="I3" s="2">
        <v>46179</v>
      </c>
      <c r="J3" s="1" t="s">
        <v>20</v>
      </c>
      <c r="K3" s="1">
        <v>1002</v>
      </c>
    </row>
    <row r="4" spans="1:11" x14ac:dyDescent="0.3">
      <c r="A4" s="1" t="s">
        <v>21</v>
      </c>
      <c r="B4" s="1" t="s">
        <v>22</v>
      </c>
      <c r="C4" s="1" t="s">
        <v>18</v>
      </c>
      <c r="D4" s="1" t="s">
        <v>23</v>
      </c>
      <c r="E4" s="1">
        <v>20</v>
      </c>
      <c r="F4" s="1">
        <v>2123</v>
      </c>
      <c r="G4" s="1">
        <v>15</v>
      </c>
      <c r="H4" s="2">
        <v>46183</v>
      </c>
      <c r="I4" s="2">
        <v>46192</v>
      </c>
      <c r="J4" s="1" t="s">
        <v>24</v>
      </c>
      <c r="K4" s="1">
        <v>1003</v>
      </c>
    </row>
    <row r="5" spans="1:11" x14ac:dyDescent="0.3">
      <c r="A5" s="1" t="s">
        <v>16</v>
      </c>
      <c r="B5" s="1" t="s">
        <v>25</v>
      </c>
      <c r="C5" s="1" t="s">
        <v>18</v>
      </c>
      <c r="D5" s="1" t="s">
        <v>23</v>
      </c>
      <c r="E5" s="1">
        <v>16</v>
      </c>
      <c r="F5" s="1">
        <v>11739</v>
      </c>
      <c r="G5" s="1">
        <v>12</v>
      </c>
      <c r="H5" s="2">
        <v>46034</v>
      </c>
      <c r="I5" s="2">
        <v>46040</v>
      </c>
      <c r="J5" s="1" t="s">
        <v>20</v>
      </c>
      <c r="K5" s="1">
        <v>1004</v>
      </c>
    </row>
    <row r="6" spans="1:11" x14ac:dyDescent="0.3">
      <c r="A6" s="1" t="s">
        <v>26</v>
      </c>
      <c r="B6" s="1" t="s">
        <v>17</v>
      </c>
      <c r="C6" s="1" t="s">
        <v>13</v>
      </c>
      <c r="D6" s="1" t="s">
        <v>14</v>
      </c>
      <c r="E6" s="1">
        <v>18</v>
      </c>
      <c r="F6" s="1">
        <v>70</v>
      </c>
      <c r="G6" s="1">
        <v>0</v>
      </c>
      <c r="H6" s="2">
        <v>46171</v>
      </c>
      <c r="I6" s="2">
        <v>46179</v>
      </c>
      <c r="J6" s="1" t="s">
        <v>24</v>
      </c>
      <c r="K6" s="1">
        <v>1005</v>
      </c>
    </row>
    <row r="7" spans="1:11" x14ac:dyDescent="0.3">
      <c r="A7" s="1" t="s">
        <v>27</v>
      </c>
      <c r="B7" s="1" t="s">
        <v>25</v>
      </c>
      <c r="C7" s="1" t="s">
        <v>18</v>
      </c>
      <c r="D7" s="1" t="s">
        <v>28</v>
      </c>
      <c r="E7" s="1">
        <v>3</v>
      </c>
      <c r="F7" s="1">
        <v>2714</v>
      </c>
      <c r="G7" s="1">
        <v>5</v>
      </c>
      <c r="H7" s="2">
        <v>46055</v>
      </c>
      <c r="I7" s="2">
        <v>46062</v>
      </c>
      <c r="J7" s="1" t="s">
        <v>29</v>
      </c>
      <c r="K7" s="1">
        <v>1006</v>
      </c>
    </row>
    <row r="8" spans="1:11" x14ac:dyDescent="0.3">
      <c r="A8" s="1" t="s">
        <v>21</v>
      </c>
      <c r="B8" s="1" t="s">
        <v>22</v>
      </c>
      <c r="C8" s="1" t="s">
        <v>13</v>
      </c>
      <c r="D8" s="1" t="s">
        <v>14</v>
      </c>
      <c r="E8" s="1">
        <v>19</v>
      </c>
      <c r="F8" s="1">
        <v>149</v>
      </c>
      <c r="G8" s="1">
        <v>7</v>
      </c>
      <c r="H8" s="2">
        <v>46162</v>
      </c>
      <c r="I8" s="2">
        <v>46168</v>
      </c>
      <c r="J8" s="1" t="s">
        <v>24</v>
      </c>
      <c r="K8" s="1">
        <v>1007</v>
      </c>
    </row>
    <row r="9" spans="1:11" x14ac:dyDescent="0.3">
      <c r="A9" s="1" t="s">
        <v>30</v>
      </c>
      <c r="B9" s="1" t="s">
        <v>31</v>
      </c>
      <c r="C9" s="1" t="s">
        <v>18</v>
      </c>
      <c r="D9" s="1" t="s">
        <v>28</v>
      </c>
      <c r="E9" s="1">
        <v>1</v>
      </c>
      <c r="F9" s="1">
        <v>1134</v>
      </c>
      <c r="G9" s="1">
        <v>0</v>
      </c>
      <c r="H9" s="2">
        <v>46033</v>
      </c>
      <c r="I9" s="2">
        <v>46041</v>
      </c>
      <c r="J9" s="1" t="s">
        <v>24</v>
      </c>
      <c r="K9" s="1">
        <v>1008</v>
      </c>
    </row>
    <row r="10" spans="1:11" x14ac:dyDescent="0.3">
      <c r="A10" s="1" t="s">
        <v>32</v>
      </c>
      <c r="B10" s="1" t="s">
        <v>33</v>
      </c>
      <c r="C10" s="1" t="s">
        <v>34</v>
      </c>
      <c r="D10" s="1" t="s">
        <v>35</v>
      </c>
      <c r="E10" s="1">
        <v>10</v>
      </c>
      <c r="F10" s="1">
        <v>40671</v>
      </c>
      <c r="G10" s="1">
        <v>12</v>
      </c>
      <c r="H10" s="2">
        <v>46183</v>
      </c>
      <c r="I10" s="2">
        <v>46193</v>
      </c>
      <c r="J10" s="1" t="s">
        <v>24</v>
      </c>
      <c r="K10" s="1">
        <v>1009</v>
      </c>
    </row>
    <row r="11" spans="1:11" x14ac:dyDescent="0.3">
      <c r="A11" s="1" t="s">
        <v>11</v>
      </c>
      <c r="B11" s="1" t="s">
        <v>17</v>
      </c>
      <c r="C11" s="1" t="s">
        <v>13</v>
      </c>
      <c r="D11" s="1" t="s">
        <v>36</v>
      </c>
      <c r="E11" s="1">
        <v>14</v>
      </c>
      <c r="F11" s="1">
        <v>470</v>
      </c>
      <c r="G11" s="1">
        <v>5</v>
      </c>
      <c r="H11" s="2">
        <v>46062</v>
      </c>
      <c r="I11" s="2">
        <v>46068</v>
      </c>
      <c r="J11" s="1" t="s">
        <v>15</v>
      </c>
      <c r="K11" s="1">
        <v>1010</v>
      </c>
    </row>
    <row r="12" spans="1:11" x14ac:dyDescent="0.3">
      <c r="A12" s="1" t="s">
        <v>11</v>
      </c>
      <c r="B12" s="1" t="s">
        <v>17</v>
      </c>
      <c r="C12" s="1" t="s">
        <v>13</v>
      </c>
      <c r="D12" s="1" t="s">
        <v>37</v>
      </c>
      <c r="E12" s="1">
        <v>14</v>
      </c>
      <c r="F12" s="1">
        <v>88</v>
      </c>
      <c r="G12" s="1">
        <v>12</v>
      </c>
      <c r="H12" s="2">
        <v>46161</v>
      </c>
      <c r="I12" s="2">
        <v>46163</v>
      </c>
      <c r="J12" s="1" t="s">
        <v>15</v>
      </c>
      <c r="K12" s="1">
        <v>1011</v>
      </c>
    </row>
    <row r="13" spans="1:11" x14ac:dyDescent="0.3">
      <c r="A13" s="1" t="s">
        <v>26</v>
      </c>
      <c r="B13" s="1" t="s">
        <v>38</v>
      </c>
      <c r="C13" s="1" t="s">
        <v>34</v>
      </c>
      <c r="D13" s="1" t="s">
        <v>39</v>
      </c>
      <c r="E13" s="1">
        <v>3</v>
      </c>
      <c r="F13" s="1">
        <v>64615</v>
      </c>
      <c r="G13" s="1">
        <v>10</v>
      </c>
      <c r="H13" s="2">
        <v>46086</v>
      </c>
      <c r="I13" s="2">
        <v>46095</v>
      </c>
      <c r="J13" s="1" t="s">
        <v>29</v>
      </c>
      <c r="K13" s="1">
        <v>1012</v>
      </c>
    </row>
    <row r="14" spans="1:11" x14ac:dyDescent="0.3">
      <c r="A14" s="1" t="s">
        <v>16</v>
      </c>
      <c r="B14" s="1" t="s">
        <v>31</v>
      </c>
      <c r="C14" s="1" t="s">
        <v>13</v>
      </c>
      <c r="D14" s="1" t="s">
        <v>36</v>
      </c>
      <c r="E14" s="1">
        <v>17</v>
      </c>
      <c r="F14" s="1">
        <v>459</v>
      </c>
      <c r="G14" s="1">
        <v>12</v>
      </c>
      <c r="H14" s="2">
        <v>46095</v>
      </c>
      <c r="I14" s="2">
        <v>46105</v>
      </c>
      <c r="J14" s="1" t="s">
        <v>29</v>
      </c>
      <c r="K14" s="1">
        <v>1013</v>
      </c>
    </row>
    <row r="15" spans="1:11" x14ac:dyDescent="0.3">
      <c r="A15" s="1" t="s">
        <v>40</v>
      </c>
      <c r="B15" s="1" t="s">
        <v>17</v>
      </c>
      <c r="C15" s="1" t="s">
        <v>34</v>
      </c>
      <c r="D15" s="1" t="s">
        <v>41</v>
      </c>
      <c r="E15" s="1">
        <v>19</v>
      </c>
      <c r="F15" s="1">
        <v>53683</v>
      </c>
      <c r="G15" s="1">
        <v>12</v>
      </c>
      <c r="H15" s="2">
        <v>46129</v>
      </c>
      <c r="I15" s="2">
        <v>46134</v>
      </c>
      <c r="J15" s="1" t="s">
        <v>29</v>
      </c>
      <c r="K15" s="1">
        <v>1014</v>
      </c>
    </row>
    <row r="16" spans="1:11" x14ac:dyDescent="0.3">
      <c r="A16" s="1" t="s">
        <v>42</v>
      </c>
      <c r="B16" s="1" t="s">
        <v>43</v>
      </c>
      <c r="C16" s="1" t="s">
        <v>18</v>
      </c>
      <c r="D16" s="1" t="s">
        <v>44</v>
      </c>
      <c r="E16" s="1">
        <v>11</v>
      </c>
      <c r="F16" s="1">
        <v>14511</v>
      </c>
      <c r="G16" s="1">
        <v>2</v>
      </c>
      <c r="H16" s="2">
        <v>46175</v>
      </c>
      <c r="I16" s="2">
        <v>46185</v>
      </c>
      <c r="J16" s="1" t="s">
        <v>20</v>
      </c>
      <c r="K16" s="1">
        <v>1015</v>
      </c>
    </row>
    <row r="17" spans="1:11" x14ac:dyDescent="0.3">
      <c r="A17" s="1" t="s">
        <v>32</v>
      </c>
      <c r="B17" s="1" t="s">
        <v>33</v>
      </c>
      <c r="C17" s="1" t="s">
        <v>34</v>
      </c>
      <c r="D17" s="1" t="s">
        <v>45</v>
      </c>
      <c r="E17" s="1">
        <v>16</v>
      </c>
      <c r="F17" s="1">
        <v>30234</v>
      </c>
      <c r="G17" s="1">
        <v>15</v>
      </c>
      <c r="H17" s="2">
        <v>46137</v>
      </c>
      <c r="I17" s="2">
        <v>46140</v>
      </c>
      <c r="J17" s="1" t="s">
        <v>24</v>
      </c>
      <c r="K17" s="1">
        <v>1016</v>
      </c>
    </row>
    <row r="18" spans="1:11" x14ac:dyDescent="0.3">
      <c r="A18" s="1" t="s">
        <v>46</v>
      </c>
      <c r="B18" s="1" t="s">
        <v>38</v>
      </c>
      <c r="C18" s="1" t="s">
        <v>13</v>
      </c>
      <c r="D18" s="1" t="s">
        <v>36</v>
      </c>
      <c r="E18" s="1">
        <v>8</v>
      </c>
      <c r="F18" s="1">
        <v>179</v>
      </c>
      <c r="G18" s="1">
        <v>15</v>
      </c>
      <c r="H18" s="2">
        <v>46082</v>
      </c>
      <c r="I18" s="2">
        <v>46084</v>
      </c>
      <c r="J18" s="1" t="s">
        <v>15</v>
      </c>
      <c r="K18" s="1">
        <v>1017</v>
      </c>
    </row>
    <row r="19" spans="1:11" x14ac:dyDescent="0.3">
      <c r="A19" s="1" t="s">
        <v>47</v>
      </c>
      <c r="B19" s="1" t="s">
        <v>25</v>
      </c>
      <c r="C19" s="1" t="s">
        <v>13</v>
      </c>
      <c r="D19" s="1" t="s">
        <v>14</v>
      </c>
      <c r="E19" s="1">
        <v>20</v>
      </c>
      <c r="F19" s="1">
        <v>301</v>
      </c>
      <c r="G19" s="1">
        <v>0</v>
      </c>
      <c r="H19" s="2">
        <v>46089</v>
      </c>
      <c r="I19" s="2">
        <v>46094</v>
      </c>
      <c r="J19" s="1" t="s">
        <v>29</v>
      </c>
      <c r="K19" s="1">
        <v>1018</v>
      </c>
    </row>
    <row r="20" spans="1:11" x14ac:dyDescent="0.3">
      <c r="A20" s="1" t="s">
        <v>11</v>
      </c>
      <c r="B20" s="1" t="s">
        <v>43</v>
      </c>
      <c r="C20" s="1" t="s">
        <v>34</v>
      </c>
      <c r="D20" s="1" t="s">
        <v>41</v>
      </c>
      <c r="E20" s="1">
        <v>18</v>
      </c>
      <c r="F20" s="1">
        <v>45652</v>
      </c>
      <c r="G20" s="1">
        <v>10</v>
      </c>
      <c r="H20" s="2">
        <v>46023</v>
      </c>
      <c r="I20" s="2">
        <v>46030</v>
      </c>
      <c r="J20" s="1" t="s">
        <v>20</v>
      </c>
      <c r="K20" s="1">
        <v>1019</v>
      </c>
    </row>
    <row r="21" spans="1:11" x14ac:dyDescent="0.3">
      <c r="A21" s="1" t="s">
        <v>46</v>
      </c>
      <c r="B21" s="1" t="s">
        <v>12</v>
      </c>
      <c r="C21" s="1" t="s">
        <v>18</v>
      </c>
      <c r="D21" s="1" t="s">
        <v>19</v>
      </c>
      <c r="E21" s="1">
        <v>5</v>
      </c>
      <c r="F21" s="1">
        <v>4582</v>
      </c>
      <c r="G21" s="1">
        <v>5</v>
      </c>
      <c r="H21" s="2">
        <v>46078</v>
      </c>
      <c r="I21" s="2">
        <v>46083</v>
      </c>
      <c r="J21" s="1" t="s">
        <v>15</v>
      </c>
      <c r="K21" s="1">
        <v>1020</v>
      </c>
    </row>
    <row r="22" spans="1:11" x14ac:dyDescent="0.3">
      <c r="A22" s="1" t="s">
        <v>48</v>
      </c>
      <c r="B22" s="1" t="s">
        <v>43</v>
      </c>
      <c r="C22" s="1" t="s">
        <v>13</v>
      </c>
      <c r="D22" s="1" t="s">
        <v>14</v>
      </c>
      <c r="E22" s="1">
        <v>3</v>
      </c>
      <c r="F22" s="1">
        <v>484</v>
      </c>
      <c r="G22" s="1">
        <v>2</v>
      </c>
      <c r="H22" s="2">
        <v>46144</v>
      </c>
      <c r="I22" s="2">
        <v>46148</v>
      </c>
      <c r="J22" s="1" t="s">
        <v>24</v>
      </c>
      <c r="K22" s="1">
        <v>1021</v>
      </c>
    </row>
    <row r="23" spans="1:11" x14ac:dyDescent="0.3">
      <c r="A23" s="1" t="s">
        <v>26</v>
      </c>
      <c r="B23" s="1" t="s">
        <v>17</v>
      </c>
      <c r="C23" s="1" t="s">
        <v>34</v>
      </c>
      <c r="D23" s="1" t="s">
        <v>45</v>
      </c>
      <c r="E23" s="1">
        <v>15</v>
      </c>
      <c r="F23" s="1">
        <v>11596</v>
      </c>
      <c r="G23" s="1">
        <v>0</v>
      </c>
      <c r="H23" s="2">
        <v>46117</v>
      </c>
      <c r="I23" s="2">
        <v>46121</v>
      </c>
      <c r="J23" s="1" t="s">
        <v>29</v>
      </c>
      <c r="K23" s="1">
        <v>1022</v>
      </c>
    </row>
    <row r="24" spans="1:11" x14ac:dyDescent="0.3">
      <c r="A24" s="1" t="s">
        <v>40</v>
      </c>
      <c r="B24" s="1" t="s">
        <v>12</v>
      </c>
      <c r="C24" s="1" t="s">
        <v>18</v>
      </c>
      <c r="D24" s="1" t="s">
        <v>44</v>
      </c>
      <c r="E24" s="1">
        <v>15</v>
      </c>
      <c r="F24" s="1">
        <v>3506</v>
      </c>
      <c r="G24" s="1">
        <v>2</v>
      </c>
      <c r="H24" s="2">
        <v>46193</v>
      </c>
      <c r="I24" s="2">
        <v>46194</v>
      </c>
      <c r="J24" s="1" t="s">
        <v>29</v>
      </c>
      <c r="K24" s="1">
        <v>1023</v>
      </c>
    </row>
    <row r="25" spans="1:11" x14ac:dyDescent="0.3">
      <c r="A25" s="1" t="s">
        <v>32</v>
      </c>
      <c r="B25" s="1" t="s">
        <v>38</v>
      </c>
      <c r="C25" s="1" t="s">
        <v>34</v>
      </c>
      <c r="D25" s="1" t="s">
        <v>41</v>
      </c>
      <c r="E25" s="1">
        <v>12</v>
      </c>
      <c r="F25" s="1">
        <v>1682</v>
      </c>
      <c r="G25" s="1">
        <v>5</v>
      </c>
      <c r="H25" s="2">
        <v>46161</v>
      </c>
      <c r="I25" s="2">
        <v>46165</v>
      </c>
      <c r="J25" s="1" t="s">
        <v>15</v>
      </c>
      <c r="K25" s="1">
        <v>1024</v>
      </c>
    </row>
    <row r="26" spans="1:11" x14ac:dyDescent="0.3">
      <c r="A26" s="1" t="s">
        <v>21</v>
      </c>
      <c r="B26" s="1" t="s">
        <v>12</v>
      </c>
      <c r="C26" s="1" t="s">
        <v>18</v>
      </c>
      <c r="D26" s="1" t="s">
        <v>19</v>
      </c>
      <c r="E26" s="1">
        <v>18</v>
      </c>
      <c r="F26" s="1">
        <v>7924</v>
      </c>
      <c r="G26" s="1">
        <v>0</v>
      </c>
      <c r="H26" s="2">
        <v>46175</v>
      </c>
      <c r="I26" s="2">
        <v>46181</v>
      </c>
      <c r="J26" s="1" t="s">
        <v>15</v>
      </c>
      <c r="K26" s="1">
        <v>1025</v>
      </c>
    </row>
    <row r="27" spans="1:11" x14ac:dyDescent="0.3">
      <c r="A27" s="1" t="s">
        <v>49</v>
      </c>
      <c r="B27" s="1" t="s">
        <v>31</v>
      </c>
      <c r="C27" s="1" t="s">
        <v>13</v>
      </c>
      <c r="D27" s="1" t="s">
        <v>50</v>
      </c>
      <c r="E27" s="1">
        <v>17</v>
      </c>
      <c r="F27" s="1">
        <v>323</v>
      </c>
      <c r="G27" s="1">
        <v>10</v>
      </c>
      <c r="H27" s="2">
        <v>46039</v>
      </c>
      <c r="I27" s="2">
        <v>46040</v>
      </c>
      <c r="J27" s="1" t="s">
        <v>29</v>
      </c>
      <c r="K27" s="1">
        <v>1026</v>
      </c>
    </row>
    <row r="28" spans="1:11" x14ac:dyDescent="0.3">
      <c r="A28" s="1" t="s">
        <v>29</v>
      </c>
      <c r="B28" s="1" t="s">
        <v>43</v>
      </c>
      <c r="C28" s="1" t="s">
        <v>13</v>
      </c>
      <c r="D28" s="1" t="s">
        <v>50</v>
      </c>
      <c r="E28" s="1">
        <v>4</v>
      </c>
      <c r="F28" s="1">
        <v>264</v>
      </c>
      <c r="G28" s="1">
        <v>0</v>
      </c>
      <c r="H28" s="2">
        <v>46155</v>
      </c>
      <c r="I28" s="2">
        <v>46161</v>
      </c>
      <c r="J28" s="1" t="s">
        <v>51</v>
      </c>
      <c r="K28" s="1">
        <v>1027</v>
      </c>
    </row>
    <row r="29" spans="1:11" x14ac:dyDescent="0.3">
      <c r="A29" s="1" t="s">
        <v>47</v>
      </c>
      <c r="B29" s="1" t="s">
        <v>22</v>
      </c>
      <c r="C29" s="1" t="s">
        <v>13</v>
      </c>
      <c r="D29" s="1" t="s">
        <v>36</v>
      </c>
      <c r="E29" s="1">
        <v>13</v>
      </c>
      <c r="F29" s="1">
        <v>433</v>
      </c>
      <c r="G29" s="1">
        <v>2</v>
      </c>
      <c r="H29" s="2">
        <v>46116</v>
      </c>
      <c r="I29" s="2">
        <v>46121</v>
      </c>
      <c r="J29" s="1" t="s">
        <v>24</v>
      </c>
      <c r="K29" s="1">
        <v>1028</v>
      </c>
    </row>
    <row r="30" spans="1:11" x14ac:dyDescent="0.3">
      <c r="A30" s="1" t="s">
        <v>30</v>
      </c>
      <c r="B30" s="1" t="s">
        <v>25</v>
      </c>
      <c r="C30" s="1" t="s">
        <v>13</v>
      </c>
      <c r="D30" s="1" t="s">
        <v>36</v>
      </c>
      <c r="E30" s="1">
        <v>18</v>
      </c>
      <c r="F30" s="1">
        <v>443</v>
      </c>
      <c r="G30" s="1">
        <v>5</v>
      </c>
      <c r="H30" s="2">
        <v>46046</v>
      </c>
      <c r="I30" s="2">
        <v>46054</v>
      </c>
      <c r="J30" s="1" t="s">
        <v>24</v>
      </c>
      <c r="K30" s="1">
        <v>1029</v>
      </c>
    </row>
    <row r="31" spans="1:11" x14ac:dyDescent="0.3">
      <c r="A31" s="1" t="s">
        <v>52</v>
      </c>
      <c r="B31" s="1" t="s">
        <v>12</v>
      </c>
      <c r="C31" s="1" t="s">
        <v>13</v>
      </c>
      <c r="D31" s="1" t="s">
        <v>53</v>
      </c>
      <c r="E31" s="1">
        <v>13</v>
      </c>
      <c r="F31" s="1">
        <v>336</v>
      </c>
      <c r="G31" s="1">
        <v>10</v>
      </c>
      <c r="H31" s="2">
        <v>46098</v>
      </c>
      <c r="I31" s="2">
        <v>46108</v>
      </c>
      <c r="J31" s="1" t="s">
        <v>15</v>
      </c>
      <c r="K31" s="1">
        <v>1030</v>
      </c>
    </row>
    <row r="32" spans="1:11" x14ac:dyDescent="0.3">
      <c r="A32" s="1" t="s">
        <v>54</v>
      </c>
      <c r="B32" s="1" t="s">
        <v>31</v>
      </c>
      <c r="C32" s="1" t="s">
        <v>13</v>
      </c>
      <c r="D32" s="1" t="s">
        <v>53</v>
      </c>
      <c r="E32" s="1">
        <v>2</v>
      </c>
      <c r="F32" s="1">
        <v>184</v>
      </c>
      <c r="G32" s="1">
        <v>5</v>
      </c>
      <c r="H32" s="2">
        <v>46089</v>
      </c>
      <c r="I32" s="2">
        <v>46093</v>
      </c>
      <c r="J32" s="1" t="s">
        <v>20</v>
      </c>
      <c r="K32" s="1">
        <v>1031</v>
      </c>
    </row>
    <row r="33" spans="1:11" x14ac:dyDescent="0.3">
      <c r="A33" s="1" t="s">
        <v>54</v>
      </c>
      <c r="B33" s="1" t="s">
        <v>43</v>
      </c>
      <c r="C33" s="1" t="s">
        <v>34</v>
      </c>
      <c r="D33" s="1" t="s">
        <v>39</v>
      </c>
      <c r="E33" s="1">
        <v>20</v>
      </c>
      <c r="F33" s="1">
        <v>11305</v>
      </c>
      <c r="G33" s="1">
        <v>2</v>
      </c>
      <c r="H33" s="2">
        <v>46163</v>
      </c>
      <c r="I33" s="2">
        <v>46165</v>
      </c>
      <c r="J33" s="1" t="s">
        <v>29</v>
      </c>
      <c r="K33" s="1">
        <v>1032</v>
      </c>
    </row>
    <row r="34" spans="1:11" x14ac:dyDescent="0.3">
      <c r="A34" s="1" t="s">
        <v>11</v>
      </c>
      <c r="B34" s="1" t="s">
        <v>43</v>
      </c>
      <c r="C34" s="1" t="s">
        <v>18</v>
      </c>
      <c r="D34" s="1" t="s">
        <v>19</v>
      </c>
      <c r="E34" s="1">
        <v>9</v>
      </c>
      <c r="F34" s="1">
        <v>4895</v>
      </c>
      <c r="G34" s="1">
        <v>2</v>
      </c>
      <c r="H34" s="2">
        <v>46082</v>
      </c>
      <c r="I34" s="2">
        <v>46084</v>
      </c>
      <c r="J34" s="1" t="s">
        <v>29</v>
      </c>
      <c r="K34" s="1">
        <v>1033</v>
      </c>
    </row>
    <row r="35" spans="1:11" x14ac:dyDescent="0.3">
      <c r="A35" s="1" t="s">
        <v>55</v>
      </c>
      <c r="B35" s="1" t="s">
        <v>33</v>
      </c>
      <c r="C35" s="1" t="s">
        <v>18</v>
      </c>
      <c r="D35" s="1" t="s">
        <v>28</v>
      </c>
      <c r="E35" s="1">
        <v>17</v>
      </c>
      <c r="F35" s="1">
        <v>5104</v>
      </c>
      <c r="G35" s="1">
        <v>12</v>
      </c>
      <c r="H35" s="2">
        <v>46052</v>
      </c>
      <c r="I35" s="2">
        <v>46061</v>
      </c>
      <c r="J35" s="1" t="s">
        <v>51</v>
      </c>
      <c r="K35" s="1">
        <v>1034</v>
      </c>
    </row>
    <row r="36" spans="1:11" x14ac:dyDescent="0.3">
      <c r="A36" s="1" t="s">
        <v>49</v>
      </c>
      <c r="B36" s="1" t="s">
        <v>43</v>
      </c>
      <c r="C36" s="1" t="s">
        <v>18</v>
      </c>
      <c r="D36" s="1" t="s">
        <v>56</v>
      </c>
      <c r="E36" s="1">
        <v>3</v>
      </c>
      <c r="F36" s="1">
        <v>9149</v>
      </c>
      <c r="G36" s="1">
        <v>0</v>
      </c>
      <c r="H36" s="2">
        <v>46031</v>
      </c>
      <c r="I36" s="2">
        <v>46034</v>
      </c>
      <c r="J36" s="1" t="s">
        <v>24</v>
      </c>
      <c r="K36" s="1">
        <v>1035</v>
      </c>
    </row>
    <row r="37" spans="1:11" x14ac:dyDescent="0.3">
      <c r="A37" s="1" t="s">
        <v>11</v>
      </c>
      <c r="B37" s="1" t="s">
        <v>25</v>
      </c>
      <c r="C37" s="1" t="s">
        <v>13</v>
      </c>
      <c r="D37" s="1" t="s">
        <v>36</v>
      </c>
      <c r="E37" s="1">
        <v>20</v>
      </c>
      <c r="F37" s="1">
        <v>161</v>
      </c>
      <c r="G37" s="1">
        <v>7</v>
      </c>
      <c r="H37" s="2">
        <v>46071</v>
      </c>
      <c r="I37" s="2">
        <v>46077</v>
      </c>
      <c r="J37" s="1" t="s">
        <v>24</v>
      </c>
      <c r="K37" s="1">
        <v>1036</v>
      </c>
    </row>
    <row r="38" spans="1:11" x14ac:dyDescent="0.3">
      <c r="A38" s="1" t="s">
        <v>46</v>
      </c>
      <c r="B38" s="1" t="s">
        <v>43</v>
      </c>
      <c r="C38" s="1" t="s">
        <v>18</v>
      </c>
      <c r="D38" s="1" t="s">
        <v>56</v>
      </c>
      <c r="E38" s="1">
        <v>6</v>
      </c>
      <c r="F38" s="1">
        <v>14385</v>
      </c>
      <c r="G38" s="1">
        <v>12</v>
      </c>
      <c r="H38" s="2">
        <v>46033</v>
      </c>
      <c r="I38" s="2">
        <v>46043</v>
      </c>
      <c r="J38" s="1" t="s">
        <v>24</v>
      </c>
      <c r="K38" s="1">
        <v>1037</v>
      </c>
    </row>
    <row r="39" spans="1:11" x14ac:dyDescent="0.3">
      <c r="A39" s="1" t="s">
        <v>55</v>
      </c>
      <c r="B39" s="1" t="s">
        <v>17</v>
      </c>
      <c r="C39" s="1" t="s">
        <v>13</v>
      </c>
      <c r="D39" s="1" t="s">
        <v>36</v>
      </c>
      <c r="E39" s="1">
        <v>17</v>
      </c>
      <c r="F39" s="1">
        <v>223</v>
      </c>
      <c r="G39" s="1">
        <v>7</v>
      </c>
      <c r="H39" s="2">
        <v>46030</v>
      </c>
      <c r="I39" s="2">
        <v>46031</v>
      </c>
      <c r="J39" s="1" t="s">
        <v>51</v>
      </c>
      <c r="K39" s="1">
        <v>1038</v>
      </c>
    </row>
    <row r="40" spans="1:11" x14ac:dyDescent="0.3">
      <c r="A40" s="1" t="s">
        <v>48</v>
      </c>
      <c r="B40" s="1" t="s">
        <v>38</v>
      </c>
      <c r="C40" s="1" t="s">
        <v>34</v>
      </c>
      <c r="D40" s="1" t="s">
        <v>45</v>
      </c>
      <c r="E40" s="1">
        <v>5</v>
      </c>
      <c r="F40" s="1">
        <v>60236</v>
      </c>
      <c r="G40" s="1">
        <v>10</v>
      </c>
      <c r="H40" s="2">
        <v>46107</v>
      </c>
      <c r="I40" s="2">
        <v>46110</v>
      </c>
      <c r="J40" s="1" t="s">
        <v>20</v>
      </c>
      <c r="K40" s="1">
        <v>1039</v>
      </c>
    </row>
    <row r="41" spans="1:11" x14ac:dyDescent="0.3">
      <c r="A41" s="1" t="s">
        <v>49</v>
      </c>
      <c r="B41" s="1" t="s">
        <v>38</v>
      </c>
      <c r="C41" s="1" t="s">
        <v>18</v>
      </c>
      <c r="D41" s="1" t="s">
        <v>28</v>
      </c>
      <c r="E41" s="1">
        <v>10</v>
      </c>
      <c r="F41" s="1">
        <v>7531</v>
      </c>
      <c r="G41" s="1">
        <v>2</v>
      </c>
      <c r="H41" s="2">
        <v>46171</v>
      </c>
      <c r="I41" s="2">
        <v>46178</v>
      </c>
      <c r="J41" s="1" t="s">
        <v>24</v>
      </c>
      <c r="K41" s="1">
        <v>1040</v>
      </c>
    </row>
    <row r="42" spans="1:11" x14ac:dyDescent="0.3">
      <c r="A42" s="1" t="s">
        <v>54</v>
      </c>
      <c r="B42" s="1" t="s">
        <v>38</v>
      </c>
      <c r="C42" s="1" t="s">
        <v>13</v>
      </c>
      <c r="D42" s="1" t="s">
        <v>50</v>
      </c>
      <c r="E42" s="1">
        <v>9</v>
      </c>
      <c r="F42" s="1">
        <v>71</v>
      </c>
      <c r="G42" s="1">
        <v>7</v>
      </c>
      <c r="H42" s="2">
        <v>46185</v>
      </c>
      <c r="I42" s="2">
        <v>46188</v>
      </c>
      <c r="J42" s="1" t="s">
        <v>15</v>
      </c>
      <c r="K42" s="1">
        <v>1041</v>
      </c>
    </row>
    <row r="43" spans="1:11" x14ac:dyDescent="0.3">
      <c r="A43" s="1" t="s">
        <v>46</v>
      </c>
      <c r="B43" s="1" t="s">
        <v>33</v>
      </c>
      <c r="C43" s="1" t="s">
        <v>13</v>
      </c>
      <c r="D43" s="1" t="s">
        <v>53</v>
      </c>
      <c r="E43" s="1">
        <v>16</v>
      </c>
      <c r="F43" s="1">
        <v>232</v>
      </c>
      <c r="G43" s="1">
        <v>0</v>
      </c>
      <c r="H43" s="2">
        <v>46081</v>
      </c>
      <c r="I43" s="2">
        <v>46088</v>
      </c>
      <c r="J43" s="1" t="s">
        <v>29</v>
      </c>
      <c r="K43" s="1">
        <v>1042</v>
      </c>
    </row>
    <row r="44" spans="1:11" x14ac:dyDescent="0.3">
      <c r="A44" s="1" t="s">
        <v>49</v>
      </c>
      <c r="B44" s="1" t="s">
        <v>38</v>
      </c>
      <c r="C44" s="1" t="s">
        <v>34</v>
      </c>
      <c r="D44" s="1" t="s">
        <v>35</v>
      </c>
      <c r="E44" s="1">
        <v>20</v>
      </c>
      <c r="F44" s="1">
        <v>46093</v>
      </c>
      <c r="G44" s="1">
        <v>5</v>
      </c>
      <c r="H44" s="2">
        <v>46091</v>
      </c>
      <c r="I44" s="2">
        <v>46098</v>
      </c>
      <c r="J44" s="1" t="s">
        <v>29</v>
      </c>
      <c r="K44" s="1">
        <v>1043</v>
      </c>
    </row>
    <row r="45" spans="1:11" x14ac:dyDescent="0.3">
      <c r="A45" s="1" t="s">
        <v>48</v>
      </c>
      <c r="B45" s="1" t="s">
        <v>38</v>
      </c>
      <c r="C45" s="1" t="s">
        <v>18</v>
      </c>
      <c r="D45" s="1" t="s">
        <v>19</v>
      </c>
      <c r="E45" s="1">
        <v>4</v>
      </c>
      <c r="F45" s="1">
        <v>14731</v>
      </c>
      <c r="G45" s="1">
        <v>2</v>
      </c>
      <c r="H45" s="2">
        <v>46173</v>
      </c>
      <c r="I45" s="2">
        <v>46176</v>
      </c>
      <c r="J45" s="1" t="s">
        <v>20</v>
      </c>
      <c r="K45" s="1">
        <v>1044</v>
      </c>
    </row>
    <row r="46" spans="1:11" x14ac:dyDescent="0.3">
      <c r="A46" s="1" t="s">
        <v>32</v>
      </c>
      <c r="B46" s="1" t="s">
        <v>38</v>
      </c>
      <c r="C46" s="1" t="s">
        <v>34</v>
      </c>
      <c r="D46" s="1" t="s">
        <v>35</v>
      </c>
      <c r="E46" s="1">
        <v>3</v>
      </c>
      <c r="F46" s="1">
        <v>62762</v>
      </c>
      <c r="G46" s="1">
        <v>7</v>
      </c>
      <c r="H46" s="2">
        <v>46038</v>
      </c>
      <c r="I46" s="2">
        <v>46039</v>
      </c>
      <c r="J46" s="1" t="s">
        <v>29</v>
      </c>
      <c r="K46" s="1">
        <v>1045</v>
      </c>
    </row>
    <row r="47" spans="1:11" x14ac:dyDescent="0.3">
      <c r="A47" s="1" t="s">
        <v>57</v>
      </c>
      <c r="B47" s="1" t="s">
        <v>38</v>
      </c>
      <c r="C47" s="1" t="s">
        <v>34</v>
      </c>
      <c r="D47" s="1" t="s">
        <v>45</v>
      </c>
      <c r="E47" s="1">
        <v>3</v>
      </c>
      <c r="F47" s="1">
        <v>19443</v>
      </c>
      <c r="G47" s="1">
        <v>10</v>
      </c>
      <c r="H47" s="2">
        <v>46153</v>
      </c>
      <c r="I47" s="2">
        <v>46158</v>
      </c>
      <c r="J47" s="1" t="s">
        <v>29</v>
      </c>
      <c r="K47" s="1">
        <v>1046</v>
      </c>
    </row>
    <row r="48" spans="1:11" x14ac:dyDescent="0.3">
      <c r="A48" s="1" t="s">
        <v>58</v>
      </c>
      <c r="B48" s="1" t="s">
        <v>38</v>
      </c>
      <c r="C48" s="1" t="s">
        <v>18</v>
      </c>
      <c r="D48" s="1" t="s">
        <v>56</v>
      </c>
      <c r="E48" s="1">
        <v>11</v>
      </c>
      <c r="F48" s="1">
        <v>9976</v>
      </c>
      <c r="G48" s="1">
        <v>12</v>
      </c>
      <c r="H48" s="2">
        <v>46200</v>
      </c>
      <c r="I48" s="2">
        <v>46209</v>
      </c>
      <c r="J48" s="1" t="s">
        <v>15</v>
      </c>
      <c r="K48" s="1">
        <v>1047</v>
      </c>
    </row>
    <row r="49" spans="1:11" x14ac:dyDescent="0.3">
      <c r="A49" s="1" t="s">
        <v>59</v>
      </c>
      <c r="B49" s="1" t="s">
        <v>25</v>
      </c>
      <c r="C49" s="1" t="s">
        <v>34</v>
      </c>
      <c r="D49" s="1" t="s">
        <v>60</v>
      </c>
      <c r="E49" s="1">
        <v>14</v>
      </c>
      <c r="F49" s="1">
        <v>11762</v>
      </c>
      <c r="G49" s="1">
        <v>7</v>
      </c>
      <c r="H49" s="2">
        <v>46180</v>
      </c>
      <c r="I49" s="2">
        <v>46186</v>
      </c>
      <c r="J49" s="1" t="s">
        <v>24</v>
      </c>
      <c r="K49" s="1">
        <v>1048</v>
      </c>
    </row>
    <row r="50" spans="1:11" x14ac:dyDescent="0.3">
      <c r="A50" s="1" t="s">
        <v>52</v>
      </c>
      <c r="B50" s="1" t="s">
        <v>25</v>
      </c>
      <c r="C50" s="1" t="s">
        <v>34</v>
      </c>
      <c r="D50" s="1" t="s">
        <v>45</v>
      </c>
      <c r="E50" s="1">
        <v>2</v>
      </c>
      <c r="F50" s="1">
        <v>40789</v>
      </c>
      <c r="G50" s="1">
        <v>0</v>
      </c>
      <c r="H50" s="2">
        <v>46102</v>
      </c>
      <c r="I50" s="2">
        <v>46108</v>
      </c>
      <c r="J50" s="1" t="s">
        <v>24</v>
      </c>
      <c r="K50" s="1">
        <v>1049</v>
      </c>
    </row>
    <row r="51" spans="1:11" x14ac:dyDescent="0.3">
      <c r="A51" s="1" t="s">
        <v>32</v>
      </c>
      <c r="B51" s="1" t="s">
        <v>25</v>
      </c>
      <c r="C51" s="1" t="s">
        <v>13</v>
      </c>
      <c r="D51" s="1" t="s">
        <v>53</v>
      </c>
      <c r="E51" s="1">
        <v>12</v>
      </c>
      <c r="F51" s="1">
        <v>360</v>
      </c>
      <c r="G51" s="1">
        <v>5</v>
      </c>
      <c r="H51" s="2">
        <v>46127</v>
      </c>
      <c r="I51" s="2">
        <v>46137</v>
      </c>
      <c r="J51" s="1" t="s">
        <v>29</v>
      </c>
      <c r="K51" s="1">
        <v>1050</v>
      </c>
    </row>
    <row r="52" spans="1:11" x14ac:dyDescent="0.3">
      <c r="A52" s="1" t="s">
        <v>58</v>
      </c>
      <c r="B52" s="1" t="s">
        <v>17</v>
      </c>
      <c r="C52" s="1" t="s">
        <v>13</v>
      </c>
      <c r="D52" s="1" t="s">
        <v>36</v>
      </c>
      <c r="E52" s="1">
        <v>12</v>
      </c>
      <c r="F52" s="1">
        <v>47</v>
      </c>
      <c r="G52" s="1">
        <v>2</v>
      </c>
      <c r="H52" s="2">
        <v>46037</v>
      </c>
      <c r="I52" s="2">
        <v>46045</v>
      </c>
      <c r="J52" s="1" t="s">
        <v>15</v>
      </c>
      <c r="K52" s="1">
        <v>1051</v>
      </c>
    </row>
    <row r="53" spans="1:11" x14ac:dyDescent="0.3">
      <c r="A53" s="1" t="s">
        <v>55</v>
      </c>
      <c r="B53" s="1" t="s">
        <v>12</v>
      </c>
      <c r="C53" s="1" t="s">
        <v>13</v>
      </c>
      <c r="D53" s="1" t="s">
        <v>14</v>
      </c>
      <c r="E53" s="1">
        <v>17</v>
      </c>
      <c r="F53" s="1">
        <v>172</v>
      </c>
      <c r="G53" s="1">
        <v>10</v>
      </c>
      <c r="H53" s="2">
        <v>46159</v>
      </c>
      <c r="I53" s="2">
        <v>46165</v>
      </c>
      <c r="J53" s="1" t="s">
        <v>20</v>
      </c>
      <c r="K53" s="1">
        <v>1052</v>
      </c>
    </row>
    <row r="54" spans="1:11" x14ac:dyDescent="0.3">
      <c r="A54" s="1" t="s">
        <v>16</v>
      </c>
      <c r="B54" s="1" t="s">
        <v>33</v>
      </c>
      <c r="C54" s="1" t="s">
        <v>18</v>
      </c>
      <c r="D54" s="1" t="s">
        <v>28</v>
      </c>
      <c r="E54" s="1">
        <v>1</v>
      </c>
      <c r="F54" s="1">
        <v>9749</v>
      </c>
      <c r="G54" s="1">
        <v>15</v>
      </c>
      <c r="H54" s="2">
        <v>46064</v>
      </c>
      <c r="I54" s="2">
        <v>46070</v>
      </c>
      <c r="J54" s="1" t="s">
        <v>24</v>
      </c>
      <c r="K54" s="1">
        <v>1053</v>
      </c>
    </row>
    <row r="55" spans="1:11" x14ac:dyDescent="0.3">
      <c r="A55" s="1" t="s">
        <v>26</v>
      </c>
      <c r="B55" s="1" t="s">
        <v>25</v>
      </c>
      <c r="C55" s="1" t="s">
        <v>18</v>
      </c>
      <c r="D55" s="1" t="s">
        <v>23</v>
      </c>
      <c r="E55" s="1">
        <v>8</v>
      </c>
      <c r="F55" s="1">
        <v>9798</v>
      </c>
      <c r="G55" s="1">
        <v>12</v>
      </c>
      <c r="H55" s="2">
        <v>46200</v>
      </c>
      <c r="I55" s="2">
        <v>46201</v>
      </c>
      <c r="J55" s="1" t="s">
        <v>51</v>
      </c>
      <c r="K55" s="1">
        <v>1054</v>
      </c>
    </row>
    <row r="56" spans="1:11" x14ac:dyDescent="0.3">
      <c r="A56" s="1" t="s">
        <v>48</v>
      </c>
      <c r="B56" s="1" t="s">
        <v>12</v>
      </c>
      <c r="C56" s="1" t="s">
        <v>13</v>
      </c>
      <c r="D56" s="1" t="s">
        <v>37</v>
      </c>
      <c r="E56" s="1">
        <v>18</v>
      </c>
      <c r="F56" s="1">
        <v>185</v>
      </c>
      <c r="G56" s="1">
        <v>15</v>
      </c>
      <c r="H56" s="2">
        <v>46077</v>
      </c>
      <c r="I56" s="2">
        <v>46078</v>
      </c>
      <c r="J56" s="1" t="s">
        <v>15</v>
      </c>
      <c r="K56" s="1">
        <v>1055</v>
      </c>
    </row>
    <row r="57" spans="1:11" x14ac:dyDescent="0.3">
      <c r="A57" s="1" t="s">
        <v>11</v>
      </c>
      <c r="B57" s="1" t="s">
        <v>22</v>
      </c>
      <c r="C57" s="1" t="s">
        <v>18</v>
      </c>
      <c r="D57" s="1" t="s">
        <v>19</v>
      </c>
      <c r="E57" s="1">
        <v>3</v>
      </c>
      <c r="F57" s="1">
        <v>9771</v>
      </c>
      <c r="G57" s="1">
        <v>5</v>
      </c>
      <c r="H57" s="2">
        <v>46133</v>
      </c>
      <c r="I57" s="2">
        <v>46139</v>
      </c>
      <c r="J57" s="1" t="s">
        <v>24</v>
      </c>
      <c r="K57" s="1">
        <v>1056</v>
      </c>
    </row>
    <row r="58" spans="1:11" x14ac:dyDescent="0.3">
      <c r="A58" s="1" t="s">
        <v>59</v>
      </c>
      <c r="B58" s="1" t="s">
        <v>22</v>
      </c>
      <c r="C58" s="1" t="s">
        <v>18</v>
      </c>
      <c r="D58" s="1" t="s">
        <v>28</v>
      </c>
      <c r="E58" s="1">
        <v>2</v>
      </c>
      <c r="F58" s="1">
        <v>9531</v>
      </c>
      <c r="G58" s="1">
        <v>15</v>
      </c>
      <c r="H58" s="2">
        <v>46067</v>
      </c>
      <c r="I58" s="2">
        <v>46076</v>
      </c>
      <c r="J58" s="1" t="s">
        <v>51</v>
      </c>
      <c r="K58" s="1">
        <v>1057</v>
      </c>
    </row>
    <row r="59" spans="1:11" x14ac:dyDescent="0.3">
      <c r="A59" s="1" t="s">
        <v>52</v>
      </c>
      <c r="B59" s="1" t="s">
        <v>38</v>
      </c>
      <c r="C59" s="1" t="s">
        <v>18</v>
      </c>
      <c r="D59" s="1" t="s">
        <v>28</v>
      </c>
      <c r="E59" s="1">
        <v>10</v>
      </c>
      <c r="F59" s="1">
        <v>5532</v>
      </c>
      <c r="G59" s="1">
        <v>7</v>
      </c>
      <c r="H59" s="2">
        <v>46074</v>
      </c>
      <c r="I59" s="2">
        <v>46084</v>
      </c>
      <c r="J59" s="1" t="s">
        <v>24</v>
      </c>
      <c r="K59" s="1">
        <v>1058</v>
      </c>
    </row>
    <row r="60" spans="1:11" x14ac:dyDescent="0.3">
      <c r="A60" s="1" t="s">
        <v>54</v>
      </c>
      <c r="B60" s="1" t="s">
        <v>25</v>
      </c>
      <c r="C60" s="1" t="s">
        <v>13</v>
      </c>
      <c r="D60" s="1" t="s">
        <v>50</v>
      </c>
      <c r="E60" s="1">
        <v>20</v>
      </c>
      <c r="F60" s="1">
        <v>112</v>
      </c>
      <c r="G60" s="1">
        <v>10</v>
      </c>
      <c r="H60" s="2">
        <v>46113</v>
      </c>
      <c r="I60" s="2">
        <v>46122</v>
      </c>
      <c r="J60" s="1" t="s">
        <v>51</v>
      </c>
      <c r="K60" s="1">
        <v>1059</v>
      </c>
    </row>
    <row r="61" spans="1:11" x14ac:dyDescent="0.3">
      <c r="A61" s="1" t="s">
        <v>49</v>
      </c>
      <c r="B61" s="1" t="s">
        <v>12</v>
      </c>
      <c r="C61" s="1" t="s">
        <v>18</v>
      </c>
      <c r="D61" s="1" t="s">
        <v>44</v>
      </c>
      <c r="E61" s="1">
        <v>9</v>
      </c>
      <c r="F61" s="1">
        <v>9727</v>
      </c>
      <c r="G61" s="1">
        <v>2</v>
      </c>
      <c r="H61" s="2">
        <v>46024</v>
      </c>
      <c r="I61" s="2">
        <v>46030</v>
      </c>
      <c r="J61" s="1" t="s">
        <v>20</v>
      </c>
      <c r="K61" s="1">
        <v>1060</v>
      </c>
    </row>
    <row r="62" spans="1:11" x14ac:dyDescent="0.3">
      <c r="A62" s="1" t="s">
        <v>57</v>
      </c>
      <c r="B62" s="1" t="s">
        <v>12</v>
      </c>
      <c r="C62" s="1" t="s">
        <v>34</v>
      </c>
      <c r="D62" s="1" t="s">
        <v>41</v>
      </c>
      <c r="E62" s="1">
        <v>16</v>
      </c>
      <c r="F62" s="1">
        <v>59084</v>
      </c>
      <c r="G62" s="1">
        <v>0</v>
      </c>
      <c r="H62" s="2">
        <v>46060</v>
      </c>
      <c r="I62" s="2">
        <v>46069</v>
      </c>
      <c r="J62" s="1" t="s">
        <v>20</v>
      </c>
      <c r="K62" s="1">
        <v>1061</v>
      </c>
    </row>
    <row r="63" spans="1:11" x14ac:dyDescent="0.3">
      <c r="A63" s="1" t="s">
        <v>40</v>
      </c>
      <c r="B63" s="1" t="s">
        <v>43</v>
      </c>
      <c r="C63" s="1" t="s">
        <v>18</v>
      </c>
      <c r="D63" s="1" t="s">
        <v>23</v>
      </c>
      <c r="E63" s="1">
        <v>8</v>
      </c>
      <c r="F63" s="1">
        <v>8360</v>
      </c>
      <c r="G63" s="1">
        <v>2</v>
      </c>
      <c r="H63" s="2">
        <v>46190</v>
      </c>
      <c r="I63" s="2">
        <v>46200</v>
      </c>
      <c r="J63" s="1" t="s">
        <v>51</v>
      </c>
      <c r="K63" s="1">
        <v>1062</v>
      </c>
    </row>
    <row r="64" spans="1:11" x14ac:dyDescent="0.3">
      <c r="A64" s="1" t="s">
        <v>54</v>
      </c>
      <c r="B64" s="1" t="s">
        <v>22</v>
      </c>
      <c r="C64" s="1" t="s">
        <v>34</v>
      </c>
      <c r="D64" s="1" t="s">
        <v>45</v>
      </c>
      <c r="E64" s="1">
        <v>7</v>
      </c>
      <c r="F64" s="1">
        <v>66744</v>
      </c>
      <c r="G64" s="1">
        <v>7</v>
      </c>
      <c r="H64" s="2">
        <v>46148</v>
      </c>
      <c r="I64" s="2">
        <v>46155</v>
      </c>
      <c r="J64" s="1" t="s">
        <v>15</v>
      </c>
      <c r="K64" s="1">
        <v>1063</v>
      </c>
    </row>
    <row r="65" spans="1:11" x14ac:dyDescent="0.3">
      <c r="A65" s="1" t="s">
        <v>26</v>
      </c>
      <c r="B65" s="1" t="s">
        <v>17</v>
      </c>
      <c r="C65" s="1" t="s">
        <v>13</v>
      </c>
      <c r="D65" s="1" t="s">
        <v>50</v>
      </c>
      <c r="E65" s="1">
        <v>20</v>
      </c>
      <c r="F65" s="1">
        <v>191</v>
      </c>
      <c r="G65" s="1">
        <v>7</v>
      </c>
      <c r="H65" s="2">
        <v>46185</v>
      </c>
      <c r="I65" s="2">
        <v>46195</v>
      </c>
      <c r="J65" s="1" t="s">
        <v>29</v>
      </c>
      <c r="K65" s="1">
        <v>1064</v>
      </c>
    </row>
    <row r="66" spans="1:11" x14ac:dyDescent="0.3">
      <c r="A66" s="1" t="s">
        <v>42</v>
      </c>
      <c r="B66" s="1" t="s">
        <v>43</v>
      </c>
      <c r="C66" s="1" t="s">
        <v>18</v>
      </c>
      <c r="D66" s="1" t="s">
        <v>44</v>
      </c>
      <c r="E66" s="1">
        <v>1</v>
      </c>
      <c r="F66" s="1">
        <v>7730</v>
      </c>
      <c r="G66" s="1">
        <v>5</v>
      </c>
      <c r="H66" s="2">
        <v>46192</v>
      </c>
      <c r="I66" s="2">
        <v>46195</v>
      </c>
      <c r="J66" s="1" t="s">
        <v>51</v>
      </c>
      <c r="K66" s="1">
        <v>1065</v>
      </c>
    </row>
    <row r="67" spans="1:11" x14ac:dyDescent="0.3">
      <c r="A67" s="1" t="s">
        <v>47</v>
      </c>
      <c r="B67" s="1" t="s">
        <v>25</v>
      </c>
      <c r="C67" s="1" t="s">
        <v>18</v>
      </c>
      <c r="D67" s="1" t="s">
        <v>44</v>
      </c>
      <c r="E67" s="1">
        <v>15</v>
      </c>
      <c r="F67" s="1">
        <v>11987</v>
      </c>
      <c r="G67" s="1">
        <v>5</v>
      </c>
      <c r="H67" s="2">
        <v>46082</v>
      </c>
      <c r="I67" s="2">
        <v>46083</v>
      </c>
      <c r="J67" s="1" t="s">
        <v>15</v>
      </c>
      <c r="K67" s="1">
        <v>1066</v>
      </c>
    </row>
    <row r="68" spans="1:11" x14ac:dyDescent="0.3">
      <c r="A68" s="1" t="s">
        <v>32</v>
      </c>
      <c r="B68" s="1" t="s">
        <v>43</v>
      </c>
      <c r="C68" s="1" t="s">
        <v>18</v>
      </c>
      <c r="D68" s="1" t="s">
        <v>56</v>
      </c>
      <c r="E68" s="1">
        <v>14</v>
      </c>
      <c r="F68" s="1">
        <v>10869</v>
      </c>
      <c r="G68" s="1">
        <v>0</v>
      </c>
      <c r="H68" s="2">
        <v>46058</v>
      </c>
      <c r="I68" s="2">
        <v>46062</v>
      </c>
      <c r="J68" s="1" t="s">
        <v>29</v>
      </c>
      <c r="K68" s="1">
        <v>1067</v>
      </c>
    </row>
    <row r="69" spans="1:11" x14ac:dyDescent="0.3">
      <c r="A69" s="1" t="s">
        <v>52</v>
      </c>
      <c r="B69" s="1" t="s">
        <v>43</v>
      </c>
      <c r="C69" s="1" t="s">
        <v>34</v>
      </c>
      <c r="D69" s="1" t="s">
        <v>60</v>
      </c>
      <c r="E69" s="1">
        <v>15</v>
      </c>
      <c r="F69" s="1">
        <v>14534</v>
      </c>
      <c r="G69" s="1">
        <v>5</v>
      </c>
      <c r="H69" s="2">
        <v>46196</v>
      </c>
      <c r="I69" s="2">
        <v>46199</v>
      </c>
      <c r="J69" s="1" t="s">
        <v>29</v>
      </c>
      <c r="K69" s="1">
        <v>1068</v>
      </c>
    </row>
    <row r="70" spans="1:11" x14ac:dyDescent="0.3">
      <c r="A70" s="1" t="s">
        <v>52</v>
      </c>
      <c r="B70" s="1" t="s">
        <v>31</v>
      </c>
      <c r="C70" s="1" t="s">
        <v>18</v>
      </c>
      <c r="D70" s="1" t="s">
        <v>28</v>
      </c>
      <c r="E70" s="1">
        <v>9</v>
      </c>
      <c r="F70" s="1">
        <v>4415</v>
      </c>
      <c r="G70" s="1">
        <v>5</v>
      </c>
      <c r="H70" s="2">
        <v>46039</v>
      </c>
      <c r="I70" s="2">
        <v>46046</v>
      </c>
      <c r="J70" s="1" t="s">
        <v>15</v>
      </c>
      <c r="K70" s="1">
        <v>1069</v>
      </c>
    </row>
    <row r="71" spans="1:11" x14ac:dyDescent="0.3">
      <c r="A71" s="1" t="s">
        <v>52</v>
      </c>
      <c r="B71" s="1" t="s">
        <v>43</v>
      </c>
      <c r="C71" s="1" t="s">
        <v>13</v>
      </c>
      <c r="D71" s="1" t="s">
        <v>36</v>
      </c>
      <c r="E71" s="1">
        <v>10</v>
      </c>
      <c r="F71" s="1">
        <v>233</v>
      </c>
      <c r="G71" s="1">
        <v>7</v>
      </c>
      <c r="H71" s="2">
        <v>46076</v>
      </c>
      <c r="I71" s="2">
        <v>46077</v>
      </c>
      <c r="J71" s="1" t="s">
        <v>29</v>
      </c>
      <c r="K71" s="1">
        <v>1070</v>
      </c>
    </row>
    <row r="72" spans="1:11" x14ac:dyDescent="0.3">
      <c r="A72" s="1" t="s">
        <v>59</v>
      </c>
      <c r="B72" s="1" t="s">
        <v>22</v>
      </c>
      <c r="C72" s="1" t="s">
        <v>34</v>
      </c>
      <c r="D72" s="1" t="s">
        <v>61</v>
      </c>
      <c r="E72" s="1">
        <v>18</v>
      </c>
      <c r="F72" s="1">
        <v>32197</v>
      </c>
      <c r="G72" s="1">
        <v>5</v>
      </c>
      <c r="H72" s="2">
        <v>46129</v>
      </c>
      <c r="I72" s="2">
        <v>46137</v>
      </c>
      <c r="J72" s="1" t="s">
        <v>20</v>
      </c>
      <c r="K72" s="1">
        <v>1071</v>
      </c>
    </row>
    <row r="73" spans="1:11" x14ac:dyDescent="0.3">
      <c r="A73" s="1" t="s">
        <v>16</v>
      </c>
      <c r="B73" s="1" t="s">
        <v>25</v>
      </c>
      <c r="C73" s="1" t="s">
        <v>34</v>
      </c>
      <c r="D73" s="1" t="s">
        <v>61</v>
      </c>
      <c r="E73" s="1">
        <v>20</v>
      </c>
      <c r="F73" s="1">
        <v>58779</v>
      </c>
      <c r="G73" s="1">
        <v>0</v>
      </c>
      <c r="H73" s="2">
        <v>46035</v>
      </c>
      <c r="I73" s="2">
        <v>46036</v>
      </c>
      <c r="J73" s="1" t="s">
        <v>24</v>
      </c>
      <c r="K73" s="1">
        <v>1072</v>
      </c>
    </row>
    <row r="74" spans="1:11" x14ac:dyDescent="0.3">
      <c r="A74" s="1" t="s">
        <v>58</v>
      </c>
      <c r="B74" s="1" t="s">
        <v>17</v>
      </c>
      <c r="C74" s="1" t="s">
        <v>18</v>
      </c>
      <c r="D74" s="1" t="s">
        <v>56</v>
      </c>
      <c r="E74" s="1">
        <v>4</v>
      </c>
      <c r="F74" s="1">
        <v>2453</v>
      </c>
      <c r="G74" s="1">
        <v>7</v>
      </c>
      <c r="H74" s="2">
        <v>46126</v>
      </c>
      <c r="I74" s="2">
        <v>46129</v>
      </c>
      <c r="J74" s="1" t="s">
        <v>51</v>
      </c>
      <c r="K74" s="1">
        <v>1073</v>
      </c>
    </row>
    <row r="75" spans="1:11" x14ac:dyDescent="0.3">
      <c r="A75" s="1" t="s">
        <v>26</v>
      </c>
      <c r="B75" s="1" t="s">
        <v>31</v>
      </c>
      <c r="C75" s="1" t="s">
        <v>13</v>
      </c>
      <c r="D75" s="1" t="s">
        <v>50</v>
      </c>
      <c r="E75" s="1">
        <v>11</v>
      </c>
      <c r="F75" s="1">
        <v>390</v>
      </c>
      <c r="G75" s="1">
        <v>15</v>
      </c>
      <c r="H75" s="2">
        <v>46114</v>
      </c>
      <c r="I75" s="2">
        <v>46123</v>
      </c>
      <c r="J75" s="1" t="s">
        <v>29</v>
      </c>
      <c r="K75" s="1">
        <v>1074</v>
      </c>
    </row>
    <row r="76" spans="1:11" x14ac:dyDescent="0.3">
      <c r="A76" s="1" t="s">
        <v>42</v>
      </c>
      <c r="B76" s="1" t="s">
        <v>43</v>
      </c>
      <c r="C76" s="1" t="s">
        <v>34</v>
      </c>
      <c r="D76" s="1" t="s">
        <v>61</v>
      </c>
      <c r="E76" s="1">
        <v>4</v>
      </c>
      <c r="F76" s="1">
        <v>64773</v>
      </c>
      <c r="G76" s="1">
        <v>10</v>
      </c>
      <c r="H76" s="2">
        <v>46185</v>
      </c>
      <c r="I76" s="2">
        <v>46186</v>
      </c>
      <c r="J76" s="1" t="s">
        <v>51</v>
      </c>
      <c r="K76" s="1">
        <v>1075</v>
      </c>
    </row>
    <row r="77" spans="1:11" x14ac:dyDescent="0.3">
      <c r="A77" s="1" t="s">
        <v>29</v>
      </c>
      <c r="B77" s="1" t="s">
        <v>17</v>
      </c>
      <c r="C77" s="1" t="s">
        <v>34</v>
      </c>
      <c r="D77" s="1" t="s">
        <v>35</v>
      </c>
      <c r="E77" s="1">
        <v>19</v>
      </c>
      <c r="F77" s="1">
        <v>26714</v>
      </c>
      <c r="G77" s="1">
        <v>5</v>
      </c>
      <c r="H77" s="2">
        <v>46045</v>
      </c>
      <c r="I77" s="2">
        <v>46055</v>
      </c>
      <c r="J77" s="1" t="s">
        <v>29</v>
      </c>
      <c r="K77" s="1">
        <v>1076</v>
      </c>
    </row>
    <row r="78" spans="1:11" x14ac:dyDescent="0.3">
      <c r="A78" s="1" t="s">
        <v>55</v>
      </c>
      <c r="B78" s="1" t="s">
        <v>25</v>
      </c>
      <c r="C78" s="1" t="s">
        <v>13</v>
      </c>
      <c r="D78" s="1" t="s">
        <v>14</v>
      </c>
      <c r="E78" s="1">
        <v>1</v>
      </c>
      <c r="F78" s="1">
        <v>123</v>
      </c>
      <c r="G78" s="1">
        <v>10</v>
      </c>
      <c r="H78" s="2">
        <v>46113</v>
      </c>
      <c r="I78" s="2">
        <v>46121</v>
      </c>
      <c r="J78" s="1" t="s">
        <v>51</v>
      </c>
      <c r="K78" s="1">
        <v>1077</v>
      </c>
    </row>
    <row r="79" spans="1:11" x14ac:dyDescent="0.3">
      <c r="A79" s="1" t="s">
        <v>52</v>
      </c>
      <c r="B79" s="1" t="s">
        <v>17</v>
      </c>
      <c r="C79" s="1" t="s">
        <v>34</v>
      </c>
      <c r="D79" s="1" t="s">
        <v>39</v>
      </c>
      <c r="E79" s="1">
        <v>11</v>
      </c>
      <c r="F79" s="1">
        <v>24278</v>
      </c>
      <c r="G79" s="1">
        <v>12</v>
      </c>
      <c r="H79" s="2">
        <v>46084</v>
      </c>
      <c r="I79" s="2">
        <v>46090</v>
      </c>
      <c r="J79" s="1" t="s">
        <v>29</v>
      </c>
      <c r="K79" s="1">
        <v>1078</v>
      </c>
    </row>
    <row r="80" spans="1:11" x14ac:dyDescent="0.3">
      <c r="A80" s="1" t="s">
        <v>26</v>
      </c>
      <c r="B80" s="1" t="s">
        <v>38</v>
      </c>
      <c r="C80" s="1" t="s">
        <v>34</v>
      </c>
      <c r="D80" s="1" t="s">
        <v>41</v>
      </c>
      <c r="E80" s="1">
        <v>19</v>
      </c>
      <c r="F80" s="1">
        <v>48956</v>
      </c>
      <c r="G80" s="1">
        <v>12</v>
      </c>
      <c r="H80" s="2">
        <v>46170</v>
      </c>
      <c r="I80" s="2">
        <v>46177</v>
      </c>
      <c r="J80" s="1" t="s">
        <v>51</v>
      </c>
      <c r="K80" s="1">
        <v>1079</v>
      </c>
    </row>
    <row r="81" spans="1:11" x14ac:dyDescent="0.3">
      <c r="A81" s="1" t="s">
        <v>21</v>
      </c>
      <c r="B81" s="1" t="s">
        <v>22</v>
      </c>
      <c r="C81" s="1" t="s">
        <v>34</v>
      </c>
      <c r="D81" s="1" t="s">
        <v>41</v>
      </c>
      <c r="E81" s="1">
        <v>12</v>
      </c>
      <c r="F81" s="1">
        <v>54161</v>
      </c>
      <c r="G81" s="1">
        <v>15</v>
      </c>
      <c r="H81" s="2">
        <v>46133</v>
      </c>
      <c r="I81" s="2">
        <v>46143</v>
      </c>
      <c r="J81" s="1" t="s">
        <v>24</v>
      </c>
      <c r="K81" s="1">
        <v>1080</v>
      </c>
    </row>
    <row r="82" spans="1:11" x14ac:dyDescent="0.3">
      <c r="A82" s="1" t="s">
        <v>47</v>
      </c>
      <c r="B82" s="1" t="s">
        <v>12</v>
      </c>
      <c r="C82" s="1" t="s">
        <v>34</v>
      </c>
      <c r="D82" s="1" t="s">
        <v>35</v>
      </c>
      <c r="E82" s="1">
        <v>15</v>
      </c>
      <c r="F82" s="1">
        <v>59912</v>
      </c>
      <c r="G82" s="1">
        <v>7</v>
      </c>
      <c r="H82" s="2">
        <v>46058</v>
      </c>
      <c r="I82" s="2">
        <v>46060</v>
      </c>
      <c r="J82" s="1" t="s">
        <v>51</v>
      </c>
      <c r="K82" s="1">
        <v>1081</v>
      </c>
    </row>
    <row r="83" spans="1:11" x14ac:dyDescent="0.3">
      <c r="A83" s="1" t="s">
        <v>21</v>
      </c>
      <c r="B83" s="1" t="s">
        <v>12</v>
      </c>
      <c r="C83" s="1" t="s">
        <v>13</v>
      </c>
      <c r="D83" s="1" t="s">
        <v>14</v>
      </c>
      <c r="E83" s="1">
        <v>7</v>
      </c>
      <c r="F83" s="1">
        <v>133</v>
      </c>
      <c r="G83" s="1">
        <v>10</v>
      </c>
      <c r="H83" s="2">
        <v>46075</v>
      </c>
      <c r="I83" s="2">
        <v>46085</v>
      </c>
      <c r="J83" s="1" t="s">
        <v>51</v>
      </c>
      <c r="K83" s="1">
        <v>1082</v>
      </c>
    </row>
    <row r="84" spans="1:11" x14ac:dyDescent="0.3">
      <c r="A84" s="1" t="s">
        <v>55</v>
      </c>
      <c r="B84" s="1" t="s">
        <v>33</v>
      </c>
      <c r="C84" s="1" t="s">
        <v>13</v>
      </c>
      <c r="D84" s="1" t="s">
        <v>53</v>
      </c>
      <c r="E84" s="1">
        <v>4</v>
      </c>
      <c r="F84" s="1">
        <v>397</v>
      </c>
      <c r="G84" s="1">
        <v>7</v>
      </c>
      <c r="H84" s="2">
        <v>46185</v>
      </c>
      <c r="I84" s="2">
        <v>46193</v>
      </c>
      <c r="J84" s="1" t="s">
        <v>15</v>
      </c>
      <c r="K84" s="1">
        <v>1083</v>
      </c>
    </row>
    <row r="85" spans="1:11" x14ac:dyDescent="0.3">
      <c r="A85" s="1" t="s">
        <v>49</v>
      </c>
      <c r="B85" s="1" t="s">
        <v>31</v>
      </c>
      <c r="C85" s="1" t="s">
        <v>18</v>
      </c>
      <c r="D85" s="1" t="s">
        <v>28</v>
      </c>
      <c r="E85" s="1">
        <v>4</v>
      </c>
      <c r="F85" s="1">
        <v>6901</v>
      </c>
      <c r="G85" s="1">
        <v>10</v>
      </c>
      <c r="H85" s="2">
        <v>46047</v>
      </c>
      <c r="I85" s="2">
        <v>46057</v>
      </c>
      <c r="J85" s="1" t="s">
        <v>20</v>
      </c>
      <c r="K85" s="1">
        <v>1084</v>
      </c>
    </row>
    <row r="86" spans="1:11" x14ac:dyDescent="0.3">
      <c r="A86" s="1" t="s">
        <v>32</v>
      </c>
      <c r="B86" s="1" t="s">
        <v>38</v>
      </c>
      <c r="C86" s="1" t="s">
        <v>34</v>
      </c>
      <c r="D86" s="1" t="s">
        <v>60</v>
      </c>
      <c r="E86" s="1">
        <v>19</v>
      </c>
      <c r="F86" s="1">
        <v>45307</v>
      </c>
      <c r="G86" s="1">
        <v>12</v>
      </c>
      <c r="H86" s="2">
        <v>46146</v>
      </c>
      <c r="I86" s="2">
        <v>46150</v>
      </c>
      <c r="J86" s="1" t="s">
        <v>24</v>
      </c>
      <c r="K86" s="1">
        <v>1085</v>
      </c>
    </row>
    <row r="87" spans="1:11" x14ac:dyDescent="0.3">
      <c r="A87" s="1" t="s">
        <v>32</v>
      </c>
      <c r="B87" s="1" t="s">
        <v>12</v>
      </c>
      <c r="C87" s="1" t="s">
        <v>13</v>
      </c>
      <c r="D87" s="1" t="s">
        <v>53</v>
      </c>
      <c r="E87" s="1">
        <v>15</v>
      </c>
      <c r="F87" s="1">
        <v>40</v>
      </c>
      <c r="G87" s="1">
        <v>10</v>
      </c>
      <c r="H87" s="2">
        <v>46045</v>
      </c>
      <c r="I87" s="2">
        <v>46049</v>
      </c>
      <c r="J87" s="1" t="s">
        <v>24</v>
      </c>
      <c r="K87" s="1">
        <v>1086</v>
      </c>
    </row>
    <row r="88" spans="1:11" x14ac:dyDescent="0.3">
      <c r="A88" s="1" t="s">
        <v>11</v>
      </c>
      <c r="B88" s="1" t="s">
        <v>31</v>
      </c>
      <c r="C88" s="1" t="s">
        <v>13</v>
      </c>
      <c r="D88" s="1" t="s">
        <v>37</v>
      </c>
      <c r="E88" s="1">
        <v>13</v>
      </c>
      <c r="F88" s="1">
        <v>387</v>
      </c>
      <c r="G88" s="1">
        <v>7</v>
      </c>
      <c r="H88" s="2">
        <v>46171</v>
      </c>
      <c r="I88" s="2">
        <v>46176</v>
      </c>
      <c r="J88" s="1" t="s">
        <v>24</v>
      </c>
      <c r="K88" s="1">
        <v>1087</v>
      </c>
    </row>
    <row r="89" spans="1:11" x14ac:dyDescent="0.3">
      <c r="A89" s="1" t="s">
        <v>40</v>
      </c>
      <c r="B89" s="1" t="s">
        <v>33</v>
      </c>
      <c r="C89" s="1" t="s">
        <v>34</v>
      </c>
      <c r="D89" s="1" t="s">
        <v>41</v>
      </c>
      <c r="E89" s="1">
        <v>20</v>
      </c>
      <c r="F89" s="1">
        <v>41165</v>
      </c>
      <c r="G89" s="1">
        <v>0</v>
      </c>
      <c r="H89" s="2">
        <v>46068</v>
      </c>
      <c r="I89" s="2">
        <v>46069</v>
      </c>
      <c r="J89" s="1" t="s">
        <v>20</v>
      </c>
      <c r="K89" s="1">
        <v>1088</v>
      </c>
    </row>
    <row r="90" spans="1:11" x14ac:dyDescent="0.3">
      <c r="A90" s="1" t="s">
        <v>46</v>
      </c>
      <c r="B90" s="1" t="s">
        <v>12</v>
      </c>
      <c r="C90" s="1" t="s">
        <v>34</v>
      </c>
      <c r="D90" s="1" t="s">
        <v>35</v>
      </c>
      <c r="E90" s="1">
        <v>10</v>
      </c>
      <c r="F90" s="1">
        <v>17041</v>
      </c>
      <c r="G90" s="1">
        <v>2</v>
      </c>
      <c r="H90" s="2">
        <v>46066</v>
      </c>
      <c r="I90" s="2">
        <v>46071</v>
      </c>
      <c r="J90" s="1" t="s">
        <v>24</v>
      </c>
      <c r="K90" s="1">
        <v>1089</v>
      </c>
    </row>
    <row r="91" spans="1:11" x14ac:dyDescent="0.3">
      <c r="A91" s="1" t="s">
        <v>49</v>
      </c>
      <c r="B91" s="1" t="s">
        <v>31</v>
      </c>
      <c r="C91" s="1" t="s">
        <v>34</v>
      </c>
      <c r="D91" s="1" t="s">
        <v>45</v>
      </c>
      <c r="E91" s="1">
        <v>19</v>
      </c>
      <c r="F91" s="1">
        <v>66139</v>
      </c>
      <c r="G91" s="1">
        <v>5</v>
      </c>
      <c r="H91" s="2">
        <v>46088</v>
      </c>
      <c r="I91" s="2">
        <v>46095</v>
      </c>
      <c r="J91" s="1" t="s">
        <v>24</v>
      </c>
      <c r="K91" s="1">
        <v>1090</v>
      </c>
    </row>
    <row r="92" spans="1:11" x14ac:dyDescent="0.3">
      <c r="A92" s="1" t="s">
        <v>55</v>
      </c>
      <c r="B92" s="1" t="s">
        <v>17</v>
      </c>
      <c r="C92" s="1" t="s">
        <v>13</v>
      </c>
      <c r="D92" s="1" t="s">
        <v>53</v>
      </c>
      <c r="E92" s="1">
        <v>2</v>
      </c>
      <c r="F92" s="1">
        <v>305</v>
      </c>
      <c r="G92" s="1">
        <v>0</v>
      </c>
      <c r="H92" s="2">
        <v>46136</v>
      </c>
      <c r="I92" s="2">
        <v>46144</v>
      </c>
      <c r="J92" s="1" t="s">
        <v>15</v>
      </c>
      <c r="K92" s="1">
        <v>1091</v>
      </c>
    </row>
    <row r="93" spans="1:11" x14ac:dyDescent="0.3">
      <c r="A93" s="1" t="s">
        <v>21</v>
      </c>
      <c r="B93" s="1" t="s">
        <v>22</v>
      </c>
      <c r="C93" s="1" t="s">
        <v>34</v>
      </c>
      <c r="D93" s="1" t="s">
        <v>41</v>
      </c>
      <c r="E93" s="1">
        <v>9</v>
      </c>
      <c r="F93" s="1">
        <v>23438</v>
      </c>
      <c r="G93" s="1">
        <v>2</v>
      </c>
      <c r="H93" s="2">
        <v>46049</v>
      </c>
      <c r="I93" s="2">
        <v>46055</v>
      </c>
      <c r="J93" s="1" t="s">
        <v>29</v>
      </c>
      <c r="K93" s="1">
        <v>1092</v>
      </c>
    </row>
    <row r="94" spans="1:11" x14ac:dyDescent="0.3">
      <c r="A94" s="1" t="s">
        <v>47</v>
      </c>
      <c r="B94" s="1" t="s">
        <v>25</v>
      </c>
      <c r="C94" s="1" t="s">
        <v>18</v>
      </c>
      <c r="D94" s="1" t="s">
        <v>23</v>
      </c>
      <c r="E94" s="1">
        <v>6</v>
      </c>
      <c r="F94" s="1">
        <v>8224</v>
      </c>
      <c r="G94" s="1">
        <v>15</v>
      </c>
      <c r="H94" s="2">
        <v>46175</v>
      </c>
      <c r="I94" s="2">
        <v>46185</v>
      </c>
      <c r="J94" s="1" t="s">
        <v>51</v>
      </c>
      <c r="K94" s="1">
        <v>1093</v>
      </c>
    </row>
    <row r="95" spans="1:11" x14ac:dyDescent="0.3">
      <c r="A95" s="1" t="s">
        <v>47</v>
      </c>
      <c r="B95" s="1" t="s">
        <v>43</v>
      </c>
      <c r="C95" s="1" t="s">
        <v>34</v>
      </c>
      <c r="D95" s="1" t="s">
        <v>61</v>
      </c>
      <c r="E95" s="1">
        <v>4</v>
      </c>
      <c r="F95" s="1">
        <v>7073</v>
      </c>
      <c r="G95" s="1">
        <v>0</v>
      </c>
      <c r="H95" s="2">
        <v>46101</v>
      </c>
      <c r="I95" s="2">
        <v>46105</v>
      </c>
      <c r="J95" s="1" t="s">
        <v>29</v>
      </c>
      <c r="K95" s="1">
        <v>1094</v>
      </c>
    </row>
    <row r="96" spans="1:11" x14ac:dyDescent="0.3">
      <c r="A96" s="1" t="s">
        <v>47</v>
      </c>
      <c r="B96" s="1" t="s">
        <v>25</v>
      </c>
      <c r="C96" s="1" t="s">
        <v>34</v>
      </c>
      <c r="D96" s="1" t="s">
        <v>41</v>
      </c>
      <c r="E96" s="1">
        <v>18</v>
      </c>
      <c r="F96" s="1">
        <v>587</v>
      </c>
      <c r="G96" s="1">
        <v>2</v>
      </c>
      <c r="H96" s="2">
        <v>46167</v>
      </c>
      <c r="I96" s="2">
        <v>46171</v>
      </c>
      <c r="J96" s="1" t="s">
        <v>20</v>
      </c>
      <c r="K96" s="1">
        <v>1095</v>
      </c>
    </row>
    <row r="97" spans="1:11" x14ac:dyDescent="0.3">
      <c r="A97" s="1" t="s">
        <v>49</v>
      </c>
      <c r="B97" s="1" t="s">
        <v>17</v>
      </c>
      <c r="C97" s="1" t="s">
        <v>18</v>
      </c>
      <c r="D97" s="1" t="s">
        <v>23</v>
      </c>
      <c r="E97" s="1">
        <v>15</v>
      </c>
      <c r="F97" s="1">
        <v>14724</v>
      </c>
      <c r="G97" s="1">
        <v>15</v>
      </c>
      <c r="H97" s="2">
        <v>46054</v>
      </c>
      <c r="I97" s="2">
        <v>46061</v>
      </c>
      <c r="J97" s="1" t="s">
        <v>20</v>
      </c>
      <c r="K97" s="1">
        <v>1096</v>
      </c>
    </row>
    <row r="98" spans="1:11" x14ac:dyDescent="0.3">
      <c r="A98" s="1" t="s">
        <v>52</v>
      </c>
      <c r="B98" s="1" t="s">
        <v>22</v>
      </c>
      <c r="C98" s="1" t="s">
        <v>34</v>
      </c>
      <c r="D98" s="1" t="s">
        <v>61</v>
      </c>
      <c r="E98" s="1">
        <v>10</v>
      </c>
      <c r="F98" s="1">
        <v>28980</v>
      </c>
      <c r="G98" s="1">
        <v>10</v>
      </c>
      <c r="H98" s="2">
        <v>46089</v>
      </c>
      <c r="I98" s="2">
        <v>46094</v>
      </c>
      <c r="J98" s="1" t="s">
        <v>24</v>
      </c>
      <c r="K98" s="1">
        <v>1097</v>
      </c>
    </row>
    <row r="99" spans="1:11" x14ac:dyDescent="0.3">
      <c r="A99" s="1" t="s">
        <v>26</v>
      </c>
      <c r="B99" s="1" t="s">
        <v>25</v>
      </c>
      <c r="C99" s="1" t="s">
        <v>13</v>
      </c>
      <c r="D99" s="1" t="s">
        <v>53</v>
      </c>
      <c r="E99" s="1">
        <v>17</v>
      </c>
      <c r="F99" s="1">
        <v>345</v>
      </c>
      <c r="G99" s="1">
        <v>2</v>
      </c>
      <c r="H99" s="2">
        <v>46126</v>
      </c>
      <c r="I99" s="2">
        <v>46127</v>
      </c>
      <c r="J99" s="1" t="s">
        <v>51</v>
      </c>
      <c r="K99" s="1">
        <v>1098</v>
      </c>
    </row>
    <row r="100" spans="1:11" x14ac:dyDescent="0.3">
      <c r="A100" s="1" t="s">
        <v>26</v>
      </c>
      <c r="B100" s="1" t="s">
        <v>31</v>
      </c>
      <c r="C100" s="1" t="s">
        <v>18</v>
      </c>
      <c r="D100" s="1" t="s">
        <v>19</v>
      </c>
      <c r="E100" s="1">
        <v>1</v>
      </c>
      <c r="F100" s="1">
        <v>5165</v>
      </c>
      <c r="G100" s="1">
        <v>2</v>
      </c>
      <c r="H100" s="2">
        <v>46058</v>
      </c>
      <c r="I100" s="2">
        <v>46060</v>
      </c>
      <c r="J100" s="1" t="s">
        <v>15</v>
      </c>
      <c r="K100" s="1">
        <v>1099</v>
      </c>
    </row>
    <row r="101" spans="1:11" x14ac:dyDescent="0.3">
      <c r="A101" s="1" t="s">
        <v>11</v>
      </c>
      <c r="B101" s="1" t="s">
        <v>31</v>
      </c>
      <c r="C101" s="1" t="s">
        <v>13</v>
      </c>
      <c r="D101" s="1" t="s">
        <v>14</v>
      </c>
      <c r="E101" s="1">
        <v>11</v>
      </c>
      <c r="F101" s="1">
        <v>296</v>
      </c>
      <c r="G101" s="1">
        <v>10</v>
      </c>
      <c r="H101" s="2">
        <v>46027</v>
      </c>
      <c r="I101" s="2">
        <v>46031</v>
      </c>
      <c r="J101" s="1" t="s">
        <v>51</v>
      </c>
      <c r="K101" s="1">
        <v>1100</v>
      </c>
    </row>
    <row r="102" spans="1:11" x14ac:dyDescent="0.3">
      <c r="A102" s="1" t="s">
        <v>27</v>
      </c>
      <c r="B102" s="1" t="s">
        <v>22</v>
      </c>
      <c r="C102" s="1" t="s">
        <v>34</v>
      </c>
      <c r="D102" s="1" t="s">
        <v>61</v>
      </c>
      <c r="E102" s="1">
        <v>9</v>
      </c>
      <c r="F102" s="1">
        <v>37361</v>
      </c>
      <c r="G102" s="1">
        <v>10</v>
      </c>
      <c r="H102" s="2">
        <v>46141</v>
      </c>
      <c r="I102" s="2">
        <v>46142</v>
      </c>
      <c r="J102" s="1" t="s">
        <v>24</v>
      </c>
      <c r="K102" s="1">
        <v>1101</v>
      </c>
    </row>
    <row r="103" spans="1:11" x14ac:dyDescent="0.3">
      <c r="A103" s="1" t="s">
        <v>54</v>
      </c>
      <c r="B103" s="1" t="s">
        <v>25</v>
      </c>
      <c r="C103" s="1" t="s">
        <v>34</v>
      </c>
      <c r="D103" s="1" t="s">
        <v>45</v>
      </c>
      <c r="E103" s="1">
        <v>12</v>
      </c>
      <c r="F103" s="1">
        <v>63402</v>
      </c>
      <c r="G103" s="1">
        <v>7</v>
      </c>
      <c r="H103" s="2">
        <v>46106</v>
      </c>
      <c r="I103" s="2">
        <v>46113</v>
      </c>
      <c r="J103" s="1" t="s">
        <v>51</v>
      </c>
      <c r="K103" s="1">
        <v>1102</v>
      </c>
    </row>
    <row r="104" spans="1:11" x14ac:dyDescent="0.3">
      <c r="A104" s="1" t="s">
        <v>16</v>
      </c>
      <c r="B104" s="1" t="s">
        <v>12</v>
      </c>
      <c r="C104" s="1" t="s">
        <v>18</v>
      </c>
      <c r="D104" s="1" t="s">
        <v>23</v>
      </c>
      <c r="E104" s="1">
        <v>7</v>
      </c>
      <c r="F104" s="1">
        <v>11925</v>
      </c>
      <c r="G104" s="1">
        <v>5</v>
      </c>
      <c r="H104" s="2">
        <v>46040</v>
      </c>
      <c r="I104" s="2">
        <v>46041</v>
      </c>
      <c r="J104" s="1" t="s">
        <v>29</v>
      </c>
      <c r="K104" s="1">
        <v>1103</v>
      </c>
    </row>
    <row r="105" spans="1:11" x14ac:dyDescent="0.3">
      <c r="A105" s="1" t="s">
        <v>16</v>
      </c>
      <c r="B105" s="1" t="s">
        <v>43</v>
      </c>
      <c r="C105" s="1" t="s">
        <v>18</v>
      </c>
      <c r="D105" s="1" t="s">
        <v>19</v>
      </c>
      <c r="E105" s="1">
        <v>10</v>
      </c>
      <c r="F105" s="1">
        <v>12848</v>
      </c>
      <c r="G105" s="1">
        <v>15</v>
      </c>
      <c r="H105" s="2">
        <v>46060</v>
      </c>
      <c r="I105" s="2">
        <v>46064</v>
      </c>
      <c r="J105" s="1" t="s">
        <v>29</v>
      </c>
      <c r="K105" s="1">
        <v>1104</v>
      </c>
    </row>
    <row r="106" spans="1:11" x14ac:dyDescent="0.3">
      <c r="A106" s="1" t="s">
        <v>59</v>
      </c>
      <c r="B106" s="1" t="s">
        <v>25</v>
      </c>
      <c r="C106" s="1" t="s">
        <v>13</v>
      </c>
      <c r="D106" s="1" t="s">
        <v>50</v>
      </c>
      <c r="E106" s="1">
        <v>2</v>
      </c>
      <c r="F106" s="1">
        <v>493</v>
      </c>
      <c r="G106" s="1">
        <v>12</v>
      </c>
      <c r="H106" s="2">
        <v>46057</v>
      </c>
      <c r="I106" s="2">
        <v>46066</v>
      </c>
      <c r="J106" s="1" t="s">
        <v>51</v>
      </c>
      <c r="K106" s="1">
        <v>1105</v>
      </c>
    </row>
    <row r="107" spans="1:11" x14ac:dyDescent="0.3">
      <c r="A107" s="1" t="s">
        <v>27</v>
      </c>
      <c r="B107" s="1" t="s">
        <v>43</v>
      </c>
      <c r="C107" s="1" t="s">
        <v>18</v>
      </c>
      <c r="D107" s="1" t="s">
        <v>23</v>
      </c>
      <c r="E107" s="1">
        <v>20</v>
      </c>
      <c r="F107" s="1">
        <v>2141</v>
      </c>
      <c r="G107" s="1">
        <v>2</v>
      </c>
      <c r="H107" s="2">
        <v>46091</v>
      </c>
      <c r="I107" s="2">
        <v>46097</v>
      </c>
      <c r="J107" s="1" t="s">
        <v>29</v>
      </c>
      <c r="K107" s="1">
        <v>1106</v>
      </c>
    </row>
    <row r="108" spans="1:11" x14ac:dyDescent="0.3">
      <c r="A108" s="1" t="s">
        <v>52</v>
      </c>
      <c r="B108" s="1" t="s">
        <v>17</v>
      </c>
      <c r="C108" s="1" t="s">
        <v>34</v>
      </c>
      <c r="D108" s="1" t="s">
        <v>60</v>
      </c>
      <c r="E108" s="1">
        <v>4</v>
      </c>
      <c r="F108" s="1">
        <v>14291</v>
      </c>
      <c r="G108" s="1">
        <v>2</v>
      </c>
      <c r="H108" s="2">
        <v>46076</v>
      </c>
      <c r="I108" s="2">
        <v>46078</v>
      </c>
      <c r="J108" s="1" t="s">
        <v>15</v>
      </c>
      <c r="K108" s="1">
        <v>1107</v>
      </c>
    </row>
    <row r="109" spans="1:11" x14ac:dyDescent="0.3">
      <c r="A109" s="1" t="s">
        <v>42</v>
      </c>
      <c r="B109" s="1" t="s">
        <v>33</v>
      </c>
      <c r="C109" s="1" t="s">
        <v>18</v>
      </c>
      <c r="D109" s="1" t="s">
        <v>28</v>
      </c>
      <c r="E109" s="1">
        <v>15</v>
      </c>
      <c r="F109" s="1">
        <v>13843</v>
      </c>
      <c r="G109" s="1">
        <v>7</v>
      </c>
      <c r="H109" s="2">
        <v>46119</v>
      </c>
      <c r="I109" s="2">
        <v>46127</v>
      </c>
      <c r="J109" s="1" t="s">
        <v>20</v>
      </c>
      <c r="K109" s="1">
        <v>1108</v>
      </c>
    </row>
    <row r="110" spans="1:11" x14ac:dyDescent="0.3">
      <c r="A110" s="1" t="s">
        <v>21</v>
      </c>
      <c r="B110" s="1" t="s">
        <v>31</v>
      </c>
      <c r="C110" s="1" t="s">
        <v>18</v>
      </c>
      <c r="D110" s="1" t="s">
        <v>44</v>
      </c>
      <c r="E110" s="1">
        <v>19</v>
      </c>
      <c r="F110" s="1">
        <v>6512</v>
      </c>
      <c r="G110" s="1">
        <v>10</v>
      </c>
      <c r="H110" s="2">
        <v>46033</v>
      </c>
      <c r="I110" s="2">
        <v>46037</v>
      </c>
      <c r="J110" s="1" t="s">
        <v>20</v>
      </c>
      <c r="K110" s="1">
        <v>1109</v>
      </c>
    </row>
    <row r="111" spans="1:11" x14ac:dyDescent="0.3">
      <c r="A111" s="1" t="s">
        <v>49</v>
      </c>
      <c r="B111" s="1" t="s">
        <v>38</v>
      </c>
      <c r="C111" s="1" t="s">
        <v>18</v>
      </c>
      <c r="D111" s="1" t="s">
        <v>23</v>
      </c>
      <c r="E111" s="1">
        <v>14</v>
      </c>
      <c r="F111" s="1">
        <v>6793</v>
      </c>
      <c r="G111" s="1">
        <v>7</v>
      </c>
      <c r="H111" s="2">
        <v>46077</v>
      </c>
      <c r="I111" s="2">
        <v>46082</v>
      </c>
      <c r="J111" s="1" t="s">
        <v>29</v>
      </c>
      <c r="K111" s="1">
        <v>1110</v>
      </c>
    </row>
    <row r="112" spans="1:11" x14ac:dyDescent="0.3">
      <c r="A112" s="1" t="s">
        <v>47</v>
      </c>
      <c r="B112" s="1" t="s">
        <v>17</v>
      </c>
      <c r="C112" s="1" t="s">
        <v>34</v>
      </c>
      <c r="D112" s="1" t="s">
        <v>35</v>
      </c>
      <c r="E112" s="1">
        <v>5</v>
      </c>
      <c r="F112" s="1">
        <v>49945</v>
      </c>
      <c r="G112" s="1">
        <v>12</v>
      </c>
      <c r="H112" s="2">
        <v>46133</v>
      </c>
      <c r="I112" s="2">
        <v>46141</v>
      </c>
      <c r="J112" s="1" t="s">
        <v>29</v>
      </c>
      <c r="K112" s="1">
        <v>1111</v>
      </c>
    </row>
    <row r="113" spans="1:11" x14ac:dyDescent="0.3">
      <c r="A113" s="1" t="s">
        <v>21</v>
      </c>
      <c r="B113" s="1" t="s">
        <v>43</v>
      </c>
      <c r="C113" s="1" t="s">
        <v>18</v>
      </c>
      <c r="D113" s="1" t="s">
        <v>44</v>
      </c>
      <c r="E113" s="1">
        <v>7</v>
      </c>
      <c r="F113" s="1">
        <v>1959</v>
      </c>
      <c r="G113" s="1">
        <v>15</v>
      </c>
      <c r="H113" s="2">
        <v>46090</v>
      </c>
      <c r="I113" s="2">
        <v>46100</v>
      </c>
      <c r="J113" s="1" t="s">
        <v>15</v>
      </c>
      <c r="K113" s="1">
        <v>1112</v>
      </c>
    </row>
    <row r="114" spans="1:11" x14ac:dyDescent="0.3">
      <c r="A114" s="1" t="s">
        <v>26</v>
      </c>
      <c r="B114" s="1" t="s">
        <v>43</v>
      </c>
      <c r="C114" s="1" t="s">
        <v>18</v>
      </c>
      <c r="D114" s="1" t="s">
        <v>56</v>
      </c>
      <c r="E114" s="1">
        <v>13</v>
      </c>
      <c r="F114" s="1">
        <v>6719</v>
      </c>
      <c r="G114" s="1">
        <v>15</v>
      </c>
      <c r="H114" s="2">
        <v>46076</v>
      </c>
      <c r="I114" s="2">
        <v>46081</v>
      </c>
      <c r="J114" s="1" t="s">
        <v>24</v>
      </c>
      <c r="K114" s="1">
        <v>1113</v>
      </c>
    </row>
    <row r="115" spans="1:11" x14ac:dyDescent="0.3">
      <c r="A115" s="1" t="s">
        <v>16</v>
      </c>
      <c r="B115" s="1" t="s">
        <v>25</v>
      </c>
      <c r="C115" s="1" t="s">
        <v>13</v>
      </c>
      <c r="D115" s="1" t="s">
        <v>50</v>
      </c>
      <c r="E115" s="1">
        <v>13</v>
      </c>
      <c r="F115" s="1">
        <v>32</v>
      </c>
      <c r="G115" s="1">
        <v>15</v>
      </c>
      <c r="H115" s="2">
        <v>46066</v>
      </c>
      <c r="I115" s="2">
        <v>46069</v>
      </c>
      <c r="J115" s="1" t="s">
        <v>15</v>
      </c>
      <c r="K115" s="1">
        <v>1114</v>
      </c>
    </row>
    <row r="116" spans="1:11" x14ac:dyDescent="0.3">
      <c r="A116" s="1" t="s">
        <v>59</v>
      </c>
      <c r="B116" s="1" t="s">
        <v>43</v>
      </c>
      <c r="C116" s="1" t="s">
        <v>13</v>
      </c>
      <c r="D116" s="1" t="s">
        <v>50</v>
      </c>
      <c r="E116" s="1">
        <v>9</v>
      </c>
      <c r="F116" s="1">
        <v>303</v>
      </c>
      <c r="G116" s="1">
        <v>10</v>
      </c>
      <c r="H116" s="2">
        <v>46149</v>
      </c>
      <c r="I116" s="2">
        <v>46157</v>
      </c>
      <c r="J116" s="1" t="s">
        <v>29</v>
      </c>
      <c r="K116" s="1">
        <v>1115</v>
      </c>
    </row>
    <row r="117" spans="1:11" x14ac:dyDescent="0.3">
      <c r="A117" s="1" t="s">
        <v>16</v>
      </c>
      <c r="B117" s="1" t="s">
        <v>25</v>
      </c>
      <c r="C117" s="1" t="s">
        <v>18</v>
      </c>
      <c r="D117" s="1" t="s">
        <v>56</v>
      </c>
      <c r="E117" s="1">
        <v>2</v>
      </c>
      <c r="F117" s="1">
        <v>12692</v>
      </c>
      <c r="G117" s="1">
        <v>15</v>
      </c>
      <c r="H117" s="2">
        <v>46049</v>
      </c>
      <c r="I117" s="2">
        <v>46051</v>
      </c>
      <c r="J117" s="1" t="s">
        <v>15</v>
      </c>
      <c r="K117" s="1">
        <v>1116</v>
      </c>
    </row>
    <row r="118" spans="1:11" x14ac:dyDescent="0.3">
      <c r="A118" s="1" t="s">
        <v>55</v>
      </c>
      <c r="B118" s="1" t="s">
        <v>43</v>
      </c>
      <c r="C118" s="1" t="s">
        <v>34</v>
      </c>
      <c r="D118" s="1" t="s">
        <v>39</v>
      </c>
      <c r="E118" s="1">
        <v>16</v>
      </c>
      <c r="F118" s="1">
        <v>33162</v>
      </c>
      <c r="G118" s="1">
        <v>7</v>
      </c>
      <c r="H118" s="2">
        <v>46147</v>
      </c>
      <c r="I118" s="2">
        <v>46155</v>
      </c>
      <c r="J118" s="1" t="s">
        <v>29</v>
      </c>
      <c r="K118" s="1">
        <v>1117</v>
      </c>
    </row>
    <row r="119" spans="1:11" x14ac:dyDescent="0.3">
      <c r="A119" s="1" t="s">
        <v>21</v>
      </c>
      <c r="B119" s="1" t="s">
        <v>22</v>
      </c>
      <c r="C119" s="1" t="s">
        <v>18</v>
      </c>
      <c r="D119" s="1" t="s">
        <v>23</v>
      </c>
      <c r="E119" s="1">
        <v>18</v>
      </c>
      <c r="F119" s="1">
        <v>9118</v>
      </c>
      <c r="G119" s="1">
        <v>5</v>
      </c>
      <c r="H119" s="2">
        <v>46178</v>
      </c>
      <c r="I119" s="2">
        <v>46187</v>
      </c>
      <c r="J119" s="1" t="s">
        <v>29</v>
      </c>
      <c r="K119" s="1">
        <v>1118</v>
      </c>
    </row>
    <row r="120" spans="1:11" x14ac:dyDescent="0.3">
      <c r="A120" s="1" t="s">
        <v>30</v>
      </c>
      <c r="B120" s="1" t="s">
        <v>43</v>
      </c>
      <c r="C120" s="1" t="s">
        <v>18</v>
      </c>
      <c r="D120" s="1" t="s">
        <v>28</v>
      </c>
      <c r="E120" s="1">
        <v>2</v>
      </c>
      <c r="F120" s="1">
        <v>3706</v>
      </c>
      <c r="G120" s="1">
        <v>5</v>
      </c>
      <c r="H120" s="2">
        <v>46184</v>
      </c>
      <c r="I120" s="2">
        <v>46192</v>
      </c>
      <c r="J120" s="1" t="s">
        <v>51</v>
      </c>
      <c r="K120" s="1">
        <v>1119</v>
      </c>
    </row>
    <row r="121" spans="1:11" x14ac:dyDescent="0.3">
      <c r="A121" s="1" t="s">
        <v>32</v>
      </c>
      <c r="B121" s="1" t="s">
        <v>38</v>
      </c>
      <c r="C121" s="1" t="s">
        <v>13</v>
      </c>
      <c r="D121" s="1" t="s">
        <v>36</v>
      </c>
      <c r="E121" s="1">
        <v>10</v>
      </c>
      <c r="F121" s="1">
        <v>438</v>
      </c>
      <c r="G121" s="1">
        <v>10</v>
      </c>
      <c r="H121" s="2">
        <v>46061</v>
      </c>
      <c r="I121" s="2">
        <v>46065</v>
      </c>
      <c r="J121" s="1" t="s">
        <v>51</v>
      </c>
      <c r="K121" s="1">
        <v>1120</v>
      </c>
    </row>
    <row r="122" spans="1:11" x14ac:dyDescent="0.3">
      <c r="A122" s="1" t="s">
        <v>29</v>
      </c>
      <c r="B122" s="1" t="s">
        <v>12</v>
      </c>
      <c r="C122" s="1" t="s">
        <v>34</v>
      </c>
      <c r="D122" s="1" t="s">
        <v>39</v>
      </c>
      <c r="E122" s="1">
        <v>4</v>
      </c>
      <c r="F122" s="1">
        <v>55809</v>
      </c>
      <c r="G122" s="1">
        <v>2</v>
      </c>
      <c r="H122" s="2">
        <v>46103</v>
      </c>
      <c r="I122" s="2">
        <v>46108</v>
      </c>
      <c r="J122" s="1" t="s">
        <v>29</v>
      </c>
      <c r="K122" s="1">
        <v>1121</v>
      </c>
    </row>
    <row r="123" spans="1:11" x14ac:dyDescent="0.3">
      <c r="A123" s="1" t="s">
        <v>40</v>
      </c>
      <c r="B123" s="1" t="s">
        <v>22</v>
      </c>
      <c r="C123" s="1" t="s">
        <v>34</v>
      </c>
      <c r="D123" s="1" t="s">
        <v>39</v>
      </c>
      <c r="E123" s="1">
        <v>14</v>
      </c>
      <c r="F123" s="1">
        <v>49990</v>
      </c>
      <c r="G123" s="1">
        <v>10</v>
      </c>
      <c r="H123" s="2">
        <v>46132</v>
      </c>
      <c r="I123" s="2">
        <v>46135</v>
      </c>
      <c r="J123" s="1" t="s">
        <v>29</v>
      </c>
      <c r="K123" s="1">
        <v>1122</v>
      </c>
    </row>
    <row r="124" spans="1:11" x14ac:dyDescent="0.3">
      <c r="A124" s="1" t="s">
        <v>32</v>
      </c>
      <c r="B124" s="1" t="s">
        <v>31</v>
      </c>
      <c r="C124" s="1" t="s">
        <v>34</v>
      </c>
      <c r="D124" s="1" t="s">
        <v>45</v>
      </c>
      <c r="E124" s="1">
        <v>16</v>
      </c>
      <c r="F124" s="1">
        <v>1332</v>
      </c>
      <c r="G124" s="1">
        <v>7</v>
      </c>
      <c r="H124" s="2">
        <v>46107</v>
      </c>
      <c r="I124" s="2">
        <v>46109</v>
      </c>
      <c r="J124" s="1" t="s">
        <v>29</v>
      </c>
      <c r="K124" s="1">
        <v>1123</v>
      </c>
    </row>
    <row r="125" spans="1:11" x14ac:dyDescent="0.3">
      <c r="A125" s="1" t="s">
        <v>27</v>
      </c>
      <c r="B125" s="1" t="s">
        <v>38</v>
      </c>
      <c r="C125" s="1" t="s">
        <v>18</v>
      </c>
      <c r="D125" s="1" t="s">
        <v>56</v>
      </c>
      <c r="E125" s="1">
        <v>4</v>
      </c>
      <c r="F125" s="1">
        <v>14195</v>
      </c>
      <c r="G125" s="1">
        <v>15</v>
      </c>
      <c r="H125" s="2">
        <v>46182</v>
      </c>
      <c r="I125" s="2">
        <v>46189</v>
      </c>
      <c r="J125" s="1" t="s">
        <v>51</v>
      </c>
      <c r="K125" s="1">
        <v>1124</v>
      </c>
    </row>
    <row r="126" spans="1:11" x14ac:dyDescent="0.3">
      <c r="A126" s="1" t="s">
        <v>49</v>
      </c>
      <c r="B126" s="1" t="s">
        <v>33</v>
      </c>
      <c r="C126" s="1" t="s">
        <v>13</v>
      </c>
      <c r="D126" s="1" t="s">
        <v>14</v>
      </c>
      <c r="E126" s="1">
        <v>6</v>
      </c>
      <c r="F126" s="1">
        <v>30</v>
      </c>
      <c r="G126" s="1">
        <v>2</v>
      </c>
      <c r="H126" s="2">
        <v>46133</v>
      </c>
      <c r="I126" s="2">
        <v>46138</v>
      </c>
      <c r="J126" s="1" t="s">
        <v>24</v>
      </c>
      <c r="K126" s="1">
        <v>1125</v>
      </c>
    </row>
    <row r="127" spans="1:11" x14ac:dyDescent="0.3">
      <c r="A127" s="1" t="s">
        <v>46</v>
      </c>
      <c r="B127" s="1" t="s">
        <v>22</v>
      </c>
      <c r="C127" s="1" t="s">
        <v>34</v>
      </c>
      <c r="D127" s="1" t="s">
        <v>39</v>
      </c>
      <c r="E127" s="1">
        <v>17</v>
      </c>
      <c r="F127" s="1">
        <v>19390</v>
      </c>
      <c r="G127" s="1">
        <v>12</v>
      </c>
      <c r="H127" s="2">
        <v>46201</v>
      </c>
      <c r="I127" s="2">
        <v>46206</v>
      </c>
      <c r="J127" s="1" t="s">
        <v>29</v>
      </c>
      <c r="K127" s="1">
        <v>1126</v>
      </c>
    </row>
    <row r="128" spans="1:11" x14ac:dyDescent="0.3">
      <c r="A128" s="1" t="s">
        <v>26</v>
      </c>
      <c r="B128" s="1" t="s">
        <v>33</v>
      </c>
      <c r="C128" s="1" t="s">
        <v>18</v>
      </c>
      <c r="D128" s="1" t="s">
        <v>28</v>
      </c>
      <c r="E128" s="1">
        <v>15</v>
      </c>
      <c r="F128" s="1">
        <v>11694</v>
      </c>
      <c r="G128" s="1">
        <v>12</v>
      </c>
      <c r="H128" s="2">
        <v>46170</v>
      </c>
      <c r="I128" s="2">
        <v>46179</v>
      </c>
      <c r="J128" s="1" t="s">
        <v>29</v>
      </c>
      <c r="K128" s="1">
        <v>1127</v>
      </c>
    </row>
    <row r="129" spans="1:11" x14ac:dyDescent="0.3">
      <c r="A129" s="1" t="s">
        <v>30</v>
      </c>
      <c r="B129" s="1" t="s">
        <v>22</v>
      </c>
      <c r="C129" s="1" t="s">
        <v>34</v>
      </c>
      <c r="D129" s="1" t="s">
        <v>61</v>
      </c>
      <c r="E129" s="1">
        <v>6</v>
      </c>
      <c r="F129" s="1">
        <v>5001</v>
      </c>
      <c r="G129" s="1">
        <v>7</v>
      </c>
      <c r="H129" s="2">
        <v>46044</v>
      </c>
      <c r="I129" s="2">
        <v>46050</v>
      </c>
      <c r="J129" s="1" t="s">
        <v>29</v>
      </c>
      <c r="K129" s="1">
        <v>1128</v>
      </c>
    </row>
    <row r="130" spans="1:11" x14ac:dyDescent="0.3">
      <c r="A130" s="1" t="s">
        <v>58</v>
      </c>
      <c r="B130" s="1" t="s">
        <v>17</v>
      </c>
      <c r="C130" s="1" t="s">
        <v>13</v>
      </c>
      <c r="D130" s="1" t="s">
        <v>50</v>
      </c>
      <c r="E130" s="1">
        <v>15</v>
      </c>
      <c r="F130" s="1">
        <v>75</v>
      </c>
      <c r="G130" s="1">
        <v>7</v>
      </c>
      <c r="H130" s="2">
        <v>46160</v>
      </c>
      <c r="I130" s="2">
        <v>46164</v>
      </c>
      <c r="J130" s="1" t="s">
        <v>29</v>
      </c>
      <c r="K130" s="1">
        <v>1129</v>
      </c>
    </row>
    <row r="131" spans="1:11" x14ac:dyDescent="0.3">
      <c r="A131" s="1" t="s">
        <v>48</v>
      </c>
      <c r="B131" s="1" t="s">
        <v>33</v>
      </c>
      <c r="C131" s="1" t="s">
        <v>13</v>
      </c>
      <c r="D131" s="1" t="s">
        <v>14</v>
      </c>
      <c r="E131" s="1">
        <v>12</v>
      </c>
      <c r="F131" s="1">
        <v>50</v>
      </c>
      <c r="G131" s="1">
        <v>2</v>
      </c>
      <c r="H131" s="2">
        <v>46125</v>
      </c>
      <c r="I131" s="2">
        <v>46131</v>
      </c>
      <c r="J131" s="1" t="s">
        <v>24</v>
      </c>
      <c r="K131" s="1">
        <v>1130</v>
      </c>
    </row>
    <row r="132" spans="1:11" x14ac:dyDescent="0.3">
      <c r="A132" s="1" t="s">
        <v>21</v>
      </c>
      <c r="B132" s="1" t="s">
        <v>31</v>
      </c>
      <c r="C132" s="1" t="s">
        <v>18</v>
      </c>
      <c r="D132" s="1" t="s">
        <v>23</v>
      </c>
      <c r="E132" s="1">
        <v>13</v>
      </c>
      <c r="F132" s="1">
        <v>3083</v>
      </c>
      <c r="G132" s="1">
        <v>7</v>
      </c>
      <c r="H132" s="2">
        <v>46168</v>
      </c>
      <c r="I132" s="2">
        <v>46173</v>
      </c>
      <c r="J132" s="1" t="s">
        <v>51</v>
      </c>
      <c r="K132" s="1">
        <v>1131</v>
      </c>
    </row>
    <row r="133" spans="1:11" x14ac:dyDescent="0.3">
      <c r="A133" s="1" t="s">
        <v>11</v>
      </c>
      <c r="B133" s="1" t="s">
        <v>31</v>
      </c>
      <c r="C133" s="1" t="s">
        <v>13</v>
      </c>
      <c r="D133" s="1" t="s">
        <v>50</v>
      </c>
      <c r="E133" s="1">
        <v>10</v>
      </c>
      <c r="F133" s="1">
        <v>270</v>
      </c>
      <c r="G133" s="1">
        <v>7</v>
      </c>
      <c r="H133" s="2">
        <v>46024</v>
      </c>
      <c r="I133" s="2">
        <v>46034</v>
      </c>
      <c r="J133" s="1" t="s">
        <v>24</v>
      </c>
      <c r="K133" s="1">
        <v>1132</v>
      </c>
    </row>
    <row r="134" spans="1:11" x14ac:dyDescent="0.3">
      <c r="A134" s="1" t="s">
        <v>11</v>
      </c>
      <c r="B134" s="1" t="s">
        <v>12</v>
      </c>
      <c r="C134" s="1" t="s">
        <v>18</v>
      </c>
      <c r="D134" s="1" t="s">
        <v>56</v>
      </c>
      <c r="E134" s="1">
        <v>6</v>
      </c>
      <c r="F134" s="1">
        <v>9037</v>
      </c>
      <c r="G134" s="1">
        <v>2</v>
      </c>
      <c r="H134" s="2">
        <v>46112</v>
      </c>
      <c r="I134" s="2">
        <v>46121</v>
      </c>
      <c r="J134" s="1" t="s">
        <v>51</v>
      </c>
      <c r="K134" s="1">
        <v>1133</v>
      </c>
    </row>
    <row r="135" spans="1:11" x14ac:dyDescent="0.3">
      <c r="A135" s="1" t="s">
        <v>57</v>
      </c>
      <c r="B135" s="1" t="s">
        <v>31</v>
      </c>
      <c r="C135" s="1" t="s">
        <v>34</v>
      </c>
      <c r="D135" s="1" t="s">
        <v>61</v>
      </c>
      <c r="E135" s="1">
        <v>10</v>
      </c>
      <c r="F135" s="1">
        <v>29217</v>
      </c>
      <c r="G135" s="1">
        <v>15</v>
      </c>
      <c r="H135" s="2">
        <v>46148</v>
      </c>
      <c r="I135" s="2">
        <v>46150</v>
      </c>
      <c r="J135" s="1" t="s">
        <v>24</v>
      </c>
      <c r="K135" s="1">
        <v>1134</v>
      </c>
    </row>
    <row r="136" spans="1:11" x14ac:dyDescent="0.3">
      <c r="A136" s="1" t="s">
        <v>49</v>
      </c>
      <c r="B136" s="1" t="s">
        <v>43</v>
      </c>
      <c r="C136" s="1" t="s">
        <v>34</v>
      </c>
      <c r="D136" s="1" t="s">
        <v>39</v>
      </c>
      <c r="E136" s="1">
        <v>14</v>
      </c>
      <c r="F136" s="1">
        <v>68534</v>
      </c>
      <c r="G136" s="1">
        <v>0</v>
      </c>
      <c r="H136" s="2">
        <v>46041</v>
      </c>
      <c r="I136" s="2">
        <v>46042</v>
      </c>
      <c r="J136" s="1" t="s">
        <v>15</v>
      </c>
      <c r="K136" s="1">
        <v>1135</v>
      </c>
    </row>
    <row r="137" spans="1:11" x14ac:dyDescent="0.3">
      <c r="A137" s="1" t="s">
        <v>27</v>
      </c>
      <c r="B137" s="1" t="s">
        <v>43</v>
      </c>
      <c r="C137" s="1" t="s">
        <v>18</v>
      </c>
      <c r="D137" s="1" t="s">
        <v>56</v>
      </c>
      <c r="E137" s="1">
        <v>19</v>
      </c>
      <c r="F137" s="1">
        <v>14528</v>
      </c>
      <c r="G137" s="1">
        <v>12</v>
      </c>
      <c r="H137" s="2">
        <v>46056</v>
      </c>
      <c r="I137" s="2">
        <v>46062</v>
      </c>
      <c r="J137" s="1" t="s">
        <v>24</v>
      </c>
      <c r="K137" s="1">
        <v>1136</v>
      </c>
    </row>
    <row r="138" spans="1:11" x14ac:dyDescent="0.3">
      <c r="A138" s="1" t="s">
        <v>52</v>
      </c>
      <c r="B138" s="1" t="s">
        <v>12</v>
      </c>
      <c r="C138" s="1" t="s">
        <v>13</v>
      </c>
      <c r="D138" s="1" t="s">
        <v>37</v>
      </c>
      <c r="E138" s="1">
        <v>16</v>
      </c>
      <c r="F138" s="1">
        <v>270</v>
      </c>
      <c r="G138" s="1">
        <v>10</v>
      </c>
      <c r="H138" s="2">
        <v>46184</v>
      </c>
      <c r="I138" s="2">
        <v>46190</v>
      </c>
      <c r="J138" s="1" t="s">
        <v>29</v>
      </c>
      <c r="K138" s="1">
        <v>1137</v>
      </c>
    </row>
    <row r="139" spans="1:11" x14ac:dyDescent="0.3">
      <c r="A139" s="1" t="s">
        <v>55</v>
      </c>
      <c r="B139" s="1" t="s">
        <v>43</v>
      </c>
      <c r="C139" s="1" t="s">
        <v>18</v>
      </c>
      <c r="D139" s="1" t="s">
        <v>19</v>
      </c>
      <c r="E139" s="1">
        <v>5</v>
      </c>
      <c r="F139" s="1">
        <v>14466</v>
      </c>
      <c r="G139" s="1">
        <v>2</v>
      </c>
      <c r="H139" s="2">
        <v>46084</v>
      </c>
      <c r="I139" s="2">
        <v>46092</v>
      </c>
      <c r="J139" s="1" t="s">
        <v>51</v>
      </c>
      <c r="K139" s="1">
        <v>1138</v>
      </c>
    </row>
    <row r="140" spans="1:11" x14ac:dyDescent="0.3">
      <c r="A140" s="1" t="s">
        <v>55</v>
      </c>
      <c r="B140" s="1" t="s">
        <v>33</v>
      </c>
      <c r="C140" s="1" t="s">
        <v>34</v>
      </c>
      <c r="D140" s="1" t="s">
        <v>61</v>
      </c>
      <c r="E140" s="1">
        <v>17</v>
      </c>
      <c r="F140" s="1">
        <v>28839</v>
      </c>
      <c r="G140" s="1">
        <v>10</v>
      </c>
      <c r="H140" s="2">
        <v>46093</v>
      </c>
      <c r="I140" s="2">
        <v>46099</v>
      </c>
      <c r="J140" s="1" t="s">
        <v>15</v>
      </c>
      <c r="K140" s="1">
        <v>1139</v>
      </c>
    </row>
    <row r="141" spans="1:11" x14ac:dyDescent="0.3">
      <c r="A141" s="1" t="s">
        <v>57</v>
      </c>
      <c r="B141" s="1" t="s">
        <v>38</v>
      </c>
      <c r="C141" s="1" t="s">
        <v>34</v>
      </c>
      <c r="D141" s="1" t="s">
        <v>41</v>
      </c>
      <c r="E141" s="1">
        <v>5</v>
      </c>
      <c r="F141" s="1">
        <v>68012</v>
      </c>
      <c r="G141" s="1">
        <v>5</v>
      </c>
      <c r="H141" s="2">
        <v>46061</v>
      </c>
      <c r="I141" s="2">
        <v>46065</v>
      </c>
      <c r="J141" s="1" t="s">
        <v>15</v>
      </c>
      <c r="K141" s="1">
        <v>1140</v>
      </c>
    </row>
    <row r="142" spans="1:11" x14ac:dyDescent="0.3">
      <c r="A142" s="1" t="s">
        <v>11</v>
      </c>
      <c r="B142" s="1" t="s">
        <v>17</v>
      </c>
      <c r="C142" s="1" t="s">
        <v>18</v>
      </c>
      <c r="D142" s="1" t="s">
        <v>44</v>
      </c>
      <c r="E142" s="1">
        <v>20</v>
      </c>
      <c r="F142" s="1">
        <v>6835</v>
      </c>
      <c r="G142" s="1">
        <v>2</v>
      </c>
      <c r="H142" s="2">
        <v>46043</v>
      </c>
      <c r="I142" s="2">
        <v>46053</v>
      </c>
      <c r="J142" s="1" t="s">
        <v>15</v>
      </c>
      <c r="K142" s="1">
        <v>1141</v>
      </c>
    </row>
    <row r="143" spans="1:11" x14ac:dyDescent="0.3">
      <c r="A143" s="1" t="s">
        <v>40</v>
      </c>
      <c r="B143" s="1" t="s">
        <v>25</v>
      </c>
      <c r="C143" s="1" t="s">
        <v>34</v>
      </c>
      <c r="D143" s="1" t="s">
        <v>60</v>
      </c>
      <c r="E143" s="1">
        <v>9</v>
      </c>
      <c r="F143" s="1">
        <v>59788</v>
      </c>
      <c r="G143" s="1">
        <v>7</v>
      </c>
      <c r="H143" s="2">
        <v>46064</v>
      </c>
      <c r="I143" s="2">
        <v>46071</v>
      </c>
      <c r="J143" s="1" t="s">
        <v>29</v>
      </c>
      <c r="K143" s="1">
        <v>1142</v>
      </c>
    </row>
    <row r="144" spans="1:11" x14ac:dyDescent="0.3">
      <c r="A144" s="1" t="s">
        <v>29</v>
      </c>
      <c r="B144" s="1" t="s">
        <v>17</v>
      </c>
      <c r="C144" s="1" t="s">
        <v>13</v>
      </c>
      <c r="D144" s="1" t="s">
        <v>37</v>
      </c>
      <c r="E144" s="1">
        <v>13</v>
      </c>
      <c r="F144" s="1">
        <v>456</v>
      </c>
      <c r="G144" s="1">
        <v>2</v>
      </c>
      <c r="H144" s="2">
        <v>46160</v>
      </c>
      <c r="I144" s="2">
        <v>46167</v>
      </c>
      <c r="J144" s="1" t="s">
        <v>24</v>
      </c>
      <c r="K144" s="1">
        <v>1143</v>
      </c>
    </row>
    <row r="145" spans="1:11" x14ac:dyDescent="0.3">
      <c r="A145" s="1" t="s">
        <v>42</v>
      </c>
      <c r="B145" s="1" t="s">
        <v>25</v>
      </c>
      <c r="C145" s="1" t="s">
        <v>13</v>
      </c>
      <c r="D145" s="1" t="s">
        <v>14</v>
      </c>
      <c r="E145" s="1">
        <v>16</v>
      </c>
      <c r="F145" s="1">
        <v>219</v>
      </c>
      <c r="G145" s="1">
        <v>7</v>
      </c>
      <c r="H145" s="2">
        <v>46138</v>
      </c>
      <c r="I145" s="2">
        <v>46140</v>
      </c>
      <c r="J145" s="1" t="s">
        <v>20</v>
      </c>
      <c r="K145" s="1">
        <v>1144</v>
      </c>
    </row>
    <row r="146" spans="1:11" x14ac:dyDescent="0.3">
      <c r="A146" s="1" t="s">
        <v>42</v>
      </c>
      <c r="B146" s="1" t="s">
        <v>33</v>
      </c>
      <c r="C146" s="1" t="s">
        <v>34</v>
      </c>
      <c r="D146" s="1" t="s">
        <v>39</v>
      </c>
      <c r="E146" s="1">
        <v>2</v>
      </c>
      <c r="F146" s="1">
        <v>34429</v>
      </c>
      <c r="G146" s="1">
        <v>12</v>
      </c>
      <c r="H146" s="2">
        <v>46102</v>
      </c>
      <c r="I146" s="2">
        <v>46112</v>
      </c>
      <c r="J146" s="1" t="s">
        <v>24</v>
      </c>
      <c r="K146" s="1">
        <v>1145</v>
      </c>
    </row>
    <row r="147" spans="1:11" x14ac:dyDescent="0.3">
      <c r="A147" s="1" t="s">
        <v>16</v>
      </c>
      <c r="B147" s="1" t="s">
        <v>43</v>
      </c>
      <c r="C147" s="1" t="s">
        <v>34</v>
      </c>
      <c r="D147" s="1" t="s">
        <v>45</v>
      </c>
      <c r="E147" s="1">
        <v>7</v>
      </c>
      <c r="F147" s="1">
        <v>68217</v>
      </c>
      <c r="G147" s="1">
        <v>0</v>
      </c>
      <c r="H147" s="2">
        <v>46190</v>
      </c>
      <c r="I147" s="2">
        <v>46197</v>
      </c>
      <c r="J147" s="1" t="s">
        <v>29</v>
      </c>
      <c r="K147" s="1">
        <v>1146</v>
      </c>
    </row>
    <row r="148" spans="1:11" x14ac:dyDescent="0.3">
      <c r="A148" s="1" t="s">
        <v>11</v>
      </c>
      <c r="B148" s="1" t="s">
        <v>22</v>
      </c>
      <c r="C148" s="1" t="s">
        <v>18</v>
      </c>
      <c r="D148" s="1" t="s">
        <v>28</v>
      </c>
      <c r="E148" s="1">
        <v>7</v>
      </c>
      <c r="F148" s="1">
        <v>9581</v>
      </c>
      <c r="G148" s="1">
        <v>5</v>
      </c>
      <c r="H148" s="2">
        <v>46154</v>
      </c>
      <c r="I148" s="2">
        <v>46155</v>
      </c>
      <c r="J148" s="1" t="s">
        <v>20</v>
      </c>
      <c r="K148" s="1">
        <v>1147</v>
      </c>
    </row>
    <row r="149" spans="1:11" x14ac:dyDescent="0.3">
      <c r="A149" s="1" t="s">
        <v>59</v>
      </c>
      <c r="B149" s="1" t="s">
        <v>33</v>
      </c>
      <c r="C149" s="1" t="s">
        <v>18</v>
      </c>
      <c r="D149" s="1" t="s">
        <v>28</v>
      </c>
      <c r="E149" s="1">
        <v>11</v>
      </c>
      <c r="F149" s="1">
        <v>3023</v>
      </c>
      <c r="G149" s="1">
        <v>7</v>
      </c>
      <c r="H149" s="2">
        <v>46030</v>
      </c>
      <c r="I149" s="2">
        <v>46032</v>
      </c>
      <c r="J149" s="1" t="s">
        <v>24</v>
      </c>
      <c r="K149" s="1">
        <v>1148</v>
      </c>
    </row>
    <row r="150" spans="1:11" x14ac:dyDescent="0.3">
      <c r="A150" s="1" t="s">
        <v>26</v>
      </c>
      <c r="B150" s="1" t="s">
        <v>38</v>
      </c>
      <c r="C150" s="1" t="s">
        <v>34</v>
      </c>
      <c r="D150" s="1" t="s">
        <v>35</v>
      </c>
      <c r="E150" s="1">
        <v>10</v>
      </c>
      <c r="F150" s="1">
        <v>22853</v>
      </c>
      <c r="G150" s="1">
        <v>7</v>
      </c>
      <c r="H150" s="2">
        <v>46053</v>
      </c>
      <c r="I150" s="2">
        <v>46054</v>
      </c>
      <c r="J150" s="1" t="s">
        <v>29</v>
      </c>
      <c r="K150" s="1">
        <v>1149</v>
      </c>
    </row>
    <row r="151" spans="1:11" x14ac:dyDescent="0.3">
      <c r="A151" s="1" t="s">
        <v>42</v>
      </c>
      <c r="B151" s="1" t="s">
        <v>12</v>
      </c>
      <c r="C151" s="1" t="s">
        <v>18</v>
      </c>
      <c r="D151" s="1" t="s">
        <v>56</v>
      </c>
      <c r="E151" s="1">
        <v>10</v>
      </c>
      <c r="F151" s="1">
        <v>5323</v>
      </c>
      <c r="G151" s="1">
        <v>7</v>
      </c>
      <c r="H151" s="2">
        <v>46143</v>
      </c>
      <c r="I151" s="2">
        <v>46153</v>
      </c>
      <c r="J151" s="1" t="s">
        <v>24</v>
      </c>
      <c r="K151" s="1">
        <v>1150</v>
      </c>
    </row>
    <row r="152" spans="1:11" x14ac:dyDescent="0.3">
      <c r="A152" s="1" t="s">
        <v>46</v>
      </c>
      <c r="B152" s="1" t="s">
        <v>43</v>
      </c>
      <c r="C152" s="1" t="s">
        <v>13</v>
      </c>
      <c r="D152" s="1" t="s">
        <v>50</v>
      </c>
      <c r="E152" s="1">
        <v>20</v>
      </c>
      <c r="F152" s="1">
        <v>272</v>
      </c>
      <c r="G152" s="1">
        <v>15</v>
      </c>
      <c r="H152" s="2">
        <v>46024</v>
      </c>
      <c r="I152" s="2">
        <v>46029</v>
      </c>
      <c r="J152" s="1" t="s">
        <v>51</v>
      </c>
      <c r="K152" s="1">
        <v>1151</v>
      </c>
    </row>
    <row r="153" spans="1:11" x14ac:dyDescent="0.3">
      <c r="A153" s="1" t="s">
        <v>27</v>
      </c>
      <c r="B153" s="1" t="s">
        <v>31</v>
      </c>
      <c r="C153" s="1" t="s">
        <v>34</v>
      </c>
      <c r="D153" s="1" t="s">
        <v>61</v>
      </c>
      <c r="E153" s="1">
        <v>14</v>
      </c>
      <c r="F153" s="1">
        <v>8150</v>
      </c>
      <c r="G153" s="1">
        <v>10</v>
      </c>
      <c r="H153" s="2">
        <v>46062</v>
      </c>
      <c r="I153" s="2">
        <v>46070</v>
      </c>
      <c r="J153" s="1" t="s">
        <v>15</v>
      </c>
      <c r="K153" s="1">
        <v>1152</v>
      </c>
    </row>
    <row r="154" spans="1:11" x14ac:dyDescent="0.3">
      <c r="A154" s="1" t="s">
        <v>42</v>
      </c>
      <c r="B154" s="1" t="s">
        <v>25</v>
      </c>
      <c r="C154" s="1" t="s">
        <v>18</v>
      </c>
      <c r="D154" s="1" t="s">
        <v>23</v>
      </c>
      <c r="E154" s="1">
        <v>19</v>
      </c>
      <c r="F154" s="1">
        <v>10273</v>
      </c>
      <c r="G154" s="1">
        <v>12</v>
      </c>
      <c r="H154" s="2">
        <v>46069</v>
      </c>
      <c r="I154" s="2">
        <v>46072</v>
      </c>
      <c r="J154" s="1" t="s">
        <v>29</v>
      </c>
      <c r="K154" s="1">
        <v>1153</v>
      </c>
    </row>
    <row r="155" spans="1:11" x14ac:dyDescent="0.3">
      <c r="A155" s="1" t="s">
        <v>32</v>
      </c>
      <c r="B155" s="1" t="s">
        <v>17</v>
      </c>
      <c r="C155" s="1" t="s">
        <v>18</v>
      </c>
      <c r="D155" s="1" t="s">
        <v>56</v>
      </c>
      <c r="E155" s="1">
        <v>15</v>
      </c>
      <c r="F155" s="1">
        <v>6101</v>
      </c>
      <c r="G155" s="1">
        <v>0</v>
      </c>
      <c r="H155" s="2">
        <v>46178</v>
      </c>
      <c r="I155" s="2">
        <v>46183</v>
      </c>
      <c r="J155" s="1" t="s">
        <v>51</v>
      </c>
      <c r="K155" s="1">
        <v>1154</v>
      </c>
    </row>
    <row r="156" spans="1:11" x14ac:dyDescent="0.3">
      <c r="A156" s="1" t="s">
        <v>11</v>
      </c>
      <c r="B156" s="1" t="s">
        <v>31</v>
      </c>
      <c r="C156" s="1" t="s">
        <v>18</v>
      </c>
      <c r="D156" s="1" t="s">
        <v>28</v>
      </c>
      <c r="E156" s="1">
        <v>13</v>
      </c>
      <c r="F156" s="1">
        <v>4341</v>
      </c>
      <c r="G156" s="1">
        <v>15</v>
      </c>
      <c r="H156" s="2">
        <v>46093</v>
      </c>
      <c r="I156" s="2">
        <v>46096</v>
      </c>
      <c r="J156" s="1" t="s">
        <v>24</v>
      </c>
      <c r="K156" s="1">
        <v>1155</v>
      </c>
    </row>
    <row r="157" spans="1:11" x14ac:dyDescent="0.3">
      <c r="A157" s="1" t="s">
        <v>54</v>
      </c>
      <c r="B157" s="1" t="s">
        <v>38</v>
      </c>
      <c r="C157" s="1" t="s">
        <v>13</v>
      </c>
      <c r="D157" s="1" t="s">
        <v>36</v>
      </c>
      <c r="E157" s="1">
        <v>5</v>
      </c>
      <c r="F157" s="1">
        <v>466</v>
      </c>
      <c r="G157" s="1">
        <v>15</v>
      </c>
      <c r="H157" s="2">
        <v>46025</v>
      </c>
      <c r="I157" s="2">
        <v>46029</v>
      </c>
      <c r="J157" s="1" t="s">
        <v>15</v>
      </c>
      <c r="K157" s="1">
        <v>1156</v>
      </c>
    </row>
    <row r="158" spans="1:11" x14ac:dyDescent="0.3">
      <c r="A158" s="1" t="s">
        <v>52</v>
      </c>
      <c r="B158" s="1" t="s">
        <v>33</v>
      </c>
      <c r="C158" s="1" t="s">
        <v>13</v>
      </c>
      <c r="D158" s="1" t="s">
        <v>50</v>
      </c>
      <c r="E158" s="1">
        <v>3</v>
      </c>
      <c r="F158" s="1">
        <v>203</v>
      </c>
      <c r="G158" s="1">
        <v>15</v>
      </c>
      <c r="H158" s="2">
        <v>46076</v>
      </c>
      <c r="I158" s="2">
        <v>46080</v>
      </c>
      <c r="J158" s="1" t="s">
        <v>29</v>
      </c>
      <c r="K158" s="1">
        <v>1157</v>
      </c>
    </row>
    <row r="159" spans="1:11" x14ac:dyDescent="0.3">
      <c r="A159" s="1" t="s">
        <v>26</v>
      </c>
      <c r="B159" s="1" t="s">
        <v>38</v>
      </c>
      <c r="C159" s="1" t="s">
        <v>34</v>
      </c>
      <c r="D159" s="1" t="s">
        <v>41</v>
      </c>
      <c r="E159" s="1">
        <v>13</v>
      </c>
      <c r="F159" s="1">
        <v>12518</v>
      </c>
      <c r="G159" s="1">
        <v>2</v>
      </c>
      <c r="H159" s="2">
        <v>46079</v>
      </c>
      <c r="I159" s="2">
        <v>46082</v>
      </c>
      <c r="J159" s="1" t="s">
        <v>51</v>
      </c>
      <c r="K159" s="1">
        <v>1158</v>
      </c>
    </row>
    <row r="160" spans="1:11" x14ac:dyDescent="0.3">
      <c r="A160" s="1" t="s">
        <v>32</v>
      </c>
      <c r="B160" s="1" t="s">
        <v>43</v>
      </c>
      <c r="C160" s="1" t="s">
        <v>18</v>
      </c>
      <c r="D160" s="1" t="s">
        <v>28</v>
      </c>
      <c r="E160" s="1">
        <v>20</v>
      </c>
      <c r="F160" s="1">
        <v>14000</v>
      </c>
      <c r="G160" s="1">
        <v>15</v>
      </c>
      <c r="H160" s="2">
        <v>46184</v>
      </c>
      <c r="I160" s="2">
        <v>46187</v>
      </c>
      <c r="J160" s="1" t="s">
        <v>15</v>
      </c>
      <c r="K160" s="1">
        <v>1159</v>
      </c>
    </row>
    <row r="161" spans="1:11" x14ac:dyDescent="0.3">
      <c r="A161" s="1" t="s">
        <v>59</v>
      </c>
      <c r="B161" s="1" t="s">
        <v>22</v>
      </c>
      <c r="C161" s="1" t="s">
        <v>34</v>
      </c>
      <c r="D161" s="1" t="s">
        <v>39</v>
      </c>
      <c r="E161" s="1">
        <v>7</v>
      </c>
      <c r="F161" s="1">
        <v>53986</v>
      </c>
      <c r="G161" s="1">
        <v>10</v>
      </c>
      <c r="H161" s="2">
        <v>46142</v>
      </c>
      <c r="I161" s="2">
        <v>46147</v>
      </c>
      <c r="J161" s="1" t="s">
        <v>51</v>
      </c>
      <c r="K161" s="1">
        <v>1160</v>
      </c>
    </row>
    <row r="162" spans="1:11" x14ac:dyDescent="0.3">
      <c r="A162" s="1" t="s">
        <v>27</v>
      </c>
      <c r="B162" s="1" t="s">
        <v>25</v>
      </c>
      <c r="C162" s="1" t="s">
        <v>34</v>
      </c>
      <c r="D162" s="1" t="s">
        <v>39</v>
      </c>
      <c r="E162" s="1">
        <v>4</v>
      </c>
      <c r="F162" s="1">
        <v>54659</v>
      </c>
      <c r="G162" s="1">
        <v>7</v>
      </c>
      <c r="H162" s="2">
        <v>46105</v>
      </c>
      <c r="I162" s="2">
        <v>46109</v>
      </c>
      <c r="J162" s="1" t="s">
        <v>20</v>
      </c>
      <c r="K162" s="1">
        <v>1161</v>
      </c>
    </row>
    <row r="163" spans="1:11" x14ac:dyDescent="0.3">
      <c r="A163" s="1" t="s">
        <v>57</v>
      </c>
      <c r="B163" s="1" t="s">
        <v>31</v>
      </c>
      <c r="C163" s="1" t="s">
        <v>34</v>
      </c>
      <c r="D163" s="1" t="s">
        <v>45</v>
      </c>
      <c r="E163" s="1">
        <v>2</v>
      </c>
      <c r="F163" s="1">
        <v>28176</v>
      </c>
      <c r="G163" s="1">
        <v>10</v>
      </c>
      <c r="H163" s="2">
        <v>46100</v>
      </c>
      <c r="I163" s="2">
        <v>46101</v>
      </c>
      <c r="J163" s="1" t="s">
        <v>20</v>
      </c>
      <c r="K163" s="1">
        <v>1162</v>
      </c>
    </row>
    <row r="164" spans="1:11" x14ac:dyDescent="0.3">
      <c r="A164" s="1" t="s">
        <v>29</v>
      </c>
      <c r="B164" s="1" t="s">
        <v>38</v>
      </c>
      <c r="C164" s="1" t="s">
        <v>34</v>
      </c>
      <c r="D164" s="1" t="s">
        <v>39</v>
      </c>
      <c r="E164" s="1">
        <v>9</v>
      </c>
      <c r="F164" s="1">
        <v>62440</v>
      </c>
      <c r="G164" s="1">
        <v>2</v>
      </c>
      <c r="H164" s="2">
        <v>46081</v>
      </c>
      <c r="I164" s="2">
        <v>46086</v>
      </c>
      <c r="J164" s="1" t="s">
        <v>29</v>
      </c>
      <c r="K164" s="1">
        <v>1163</v>
      </c>
    </row>
    <row r="165" spans="1:11" x14ac:dyDescent="0.3">
      <c r="A165" s="1" t="s">
        <v>40</v>
      </c>
      <c r="B165" s="1" t="s">
        <v>43</v>
      </c>
      <c r="C165" s="1" t="s">
        <v>34</v>
      </c>
      <c r="D165" s="1" t="s">
        <v>61</v>
      </c>
      <c r="E165" s="1">
        <v>7</v>
      </c>
      <c r="F165" s="1">
        <v>24615</v>
      </c>
      <c r="G165" s="1">
        <v>12</v>
      </c>
      <c r="H165" s="2">
        <v>46196</v>
      </c>
      <c r="I165" s="2">
        <v>46203</v>
      </c>
      <c r="J165" s="1" t="s">
        <v>51</v>
      </c>
      <c r="K165" s="1">
        <v>1164</v>
      </c>
    </row>
    <row r="166" spans="1:11" x14ac:dyDescent="0.3">
      <c r="A166" s="1" t="s">
        <v>48</v>
      </c>
      <c r="B166" s="1" t="s">
        <v>25</v>
      </c>
      <c r="C166" s="1" t="s">
        <v>13</v>
      </c>
      <c r="D166" s="1" t="s">
        <v>37</v>
      </c>
      <c r="E166" s="1">
        <v>1</v>
      </c>
      <c r="F166" s="1">
        <v>427</v>
      </c>
      <c r="G166" s="1">
        <v>0</v>
      </c>
      <c r="H166" s="2">
        <v>46042</v>
      </c>
      <c r="I166" s="2">
        <v>46050</v>
      </c>
      <c r="J166" s="1" t="s">
        <v>51</v>
      </c>
      <c r="K166" s="1">
        <v>1165</v>
      </c>
    </row>
    <row r="167" spans="1:11" x14ac:dyDescent="0.3">
      <c r="A167" s="1" t="s">
        <v>32</v>
      </c>
      <c r="B167" s="1" t="s">
        <v>31</v>
      </c>
      <c r="C167" s="1" t="s">
        <v>13</v>
      </c>
      <c r="D167" s="1" t="s">
        <v>37</v>
      </c>
      <c r="E167" s="1">
        <v>1</v>
      </c>
      <c r="F167" s="1">
        <v>396</v>
      </c>
      <c r="G167" s="1">
        <v>5</v>
      </c>
      <c r="H167" s="2">
        <v>46092</v>
      </c>
      <c r="I167" s="2">
        <v>46093</v>
      </c>
      <c r="J167" s="1" t="s">
        <v>20</v>
      </c>
      <c r="K167" s="1">
        <v>1166</v>
      </c>
    </row>
    <row r="168" spans="1:11" x14ac:dyDescent="0.3">
      <c r="A168" s="1" t="s">
        <v>48</v>
      </c>
      <c r="B168" s="1" t="s">
        <v>17</v>
      </c>
      <c r="C168" s="1" t="s">
        <v>13</v>
      </c>
      <c r="D168" s="1" t="s">
        <v>37</v>
      </c>
      <c r="E168" s="1">
        <v>20</v>
      </c>
      <c r="F168" s="1">
        <v>251</v>
      </c>
      <c r="G168" s="1">
        <v>5</v>
      </c>
      <c r="H168" s="2">
        <v>46160</v>
      </c>
      <c r="I168" s="2">
        <v>46170</v>
      </c>
      <c r="J168" s="1" t="s">
        <v>29</v>
      </c>
      <c r="K168" s="1">
        <v>1167</v>
      </c>
    </row>
    <row r="169" spans="1:11" x14ac:dyDescent="0.3">
      <c r="A169" s="1" t="s">
        <v>54</v>
      </c>
      <c r="B169" s="1" t="s">
        <v>12</v>
      </c>
      <c r="C169" s="1" t="s">
        <v>13</v>
      </c>
      <c r="D169" s="1" t="s">
        <v>37</v>
      </c>
      <c r="E169" s="1">
        <v>18</v>
      </c>
      <c r="F169" s="1">
        <v>335</v>
      </c>
      <c r="G169" s="1">
        <v>15</v>
      </c>
      <c r="H169" s="2">
        <v>46130</v>
      </c>
      <c r="I169" s="2">
        <v>46140</v>
      </c>
      <c r="J169" s="1" t="s">
        <v>29</v>
      </c>
      <c r="K169" s="1">
        <v>1168</v>
      </c>
    </row>
    <row r="170" spans="1:11" x14ac:dyDescent="0.3">
      <c r="A170" s="1" t="s">
        <v>47</v>
      </c>
      <c r="B170" s="1" t="s">
        <v>12</v>
      </c>
      <c r="C170" s="1" t="s">
        <v>18</v>
      </c>
      <c r="D170" s="1" t="s">
        <v>56</v>
      </c>
      <c r="E170" s="1">
        <v>12</v>
      </c>
      <c r="F170" s="1">
        <v>12104</v>
      </c>
      <c r="G170" s="1">
        <v>7</v>
      </c>
      <c r="H170" s="2">
        <v>46121</v>
      </c>
      <c r="I170" s="2">
        <v>46130</v>
      </c>
      <c r="J170" s="1" t="s">
        <v>24</v>
      </c>
      <c r="K170" s="1">
        <v>1169</v>
      </c>
    </row>
    <row r="171" spans="1:11" x14ac:dyDescent="0.3">
      <c r="A171" s="1" t="s">
        <v>49</v>
      </c>
      <c r="B171" s="1" t="s">
        <v>38</v>
      </c>
      <c r="C171" s="1" t="s">
        <v>13</v>
      </c>
      <c r="D171" s="1" t="s">
        <v>14</v>
      </c>
      <c r="E171" s="1">
        <v>6</v>
      </c>
      <c r="F171" s="1">
        <v>339</v>
      </c>
      <c r="G171" s="1">
        <v>12</v>
      </c>
      <c r="H171" s="2">
        <v>46105</v>
      </c>
      <c r="I171" s="2">
        <v>46106</v>
      </c>
      <c r="J171" s="1" t="s">
        <v>24</v>
      </c>
      <c r="K171" s="1">
        <v>1170</v>
      </c>
    </row>
    <row r="172" spans="1:11" x14ac:dyDescent="0.3">
      <c r="A172" s="1" t="s">
        <v>57</v>
      </c>
      <c r="B172" s="1" t="s">
        <v>25</v>
      </c>
      <c r="C172" s="1" t="s">
        <v>13</v>
      </c>
      <c r="D172" s="1" t="s">
        <v>50</v>
      </c>
      <c r="E172" s="1">
        <v>17</v>
      </c>
      <c r="F172" s="1">
        <v>147</v>
      </c>
      <c r="G172" s="1">
        <v>12</v>
      </c>
      <c r="H172" s="2">
        <v>46155</v>
      </c>
      <c r="I172" s="2">
        <v>46160</v>
      </c>
      <c r="J172" s="1" t="s">
        <v>20</v>
      </c>
      <c r="K172" s="1">
        <v>1171</v>
      </c>
    </row>
    <row r="173" spans="1:11" x14ac:dyDescent="0.3">
      <c r="A173" s="1" t="s">
        <v>16</v>
      </c>
      <c r="B173" s="1" t="s">
        <v>12</v>
      </c>
      <c r="C173" s="1" t="s">
        <v>34</v>
      </c>
      <c r="D173" s="1" t="s">
        <v>45</v>
      </c>
      <c r="E173" s="1">
        <v>13</v>
      </c>
      <c r="F173" s="1">
        <v>43163</v>
      </c>
      <c r="G173" s="1">
        <v>12</v>
      </c>
      <c r="H173" s="2">
        <v>46120</v>
      </c>
      <c r="I173" s="2">
        <v>46129</v>
      </c>
      <c r="J173" s="1" t="s">
        <v>24</v>
      </c>
      <c r="K173" s="1">
        <v>1172</v>
      </c>
    </row>
    <row r="174" spans="1:11" x14ac:dyDescent="0.3">
      <c r="A174" s="1" t="s">
        <v>40</v>
      </c>
      <c r="B174" s="1" t="s">
        <v>17</v>
      </c>
      <c r="C174" s="1" t="s">
        <v>13</v>
      </c>
      <c r="D174" s="1" t="s">
        <v>37</v>
      </c>
      <c r="E174" s="1">
        <v>15</v>
      </c>
      <c r="F174" s="1">
        <v>214</v>
      </c>
      <c r="G174" s="1">
        <v>10</v>
      </c>
      <c r="H174" s="2">
        <v>46050</v>
      </c>
      <c r="I174" s="2">
        <v>46060</v>
      </c>
      <c r="J174" s="1" t="s">
        <v>51</v>
      </c>
      <c r="K174" s="1">
        <v>1173</v>
      </c>
    </row>
    <row r="175" spans="1:11" x14ac:dyDescent="0.3">
      <c r="A175" s="1" t="s">
        <v>58</v>
      </c>
      <c r="B175" s="1" t="s">
        <v>38</v>
      </c>
      <c r="C175" s="1" t="s">
        <v>13</v>
      </c>
      <c r="D175" s="1" t="s">
        <v>14</v>
      </c>
      <c r="E175" s="1">
        <v>13</v>
      </c>
      <c r="F175" s="1">
        <v>155</v>
      </c>
      <c r="G175" s="1">
        <v>2</v>
      </c>
      <c r="H175" s="2">
        <v>46066</v>
      </c>
      <c r="I175" s="2">
        <v>46069</v>
      </c>
      <c r="J175" s="1" t="s">
        <v>24</v>
      </c>
      <c r="K175" s="1">
        <v>1174</v>
      </c>
    </row>
    <row r="176" spans="1:11" x14ac:dyDescent="0.3">
      <c r="A176" s="1" t="s">
        <v>26</v>
      </c>
      <c r="B176" s="1" t="s">
        <v>17</v>
      </c>
      <c r="C176" s="1" t="s">
        <v>34</v>
      </c>
      <c r="D176" s="1" t="s">
        <v>41</v>
      </c>
      <c r="E176" s="1">
        <v>10</v>
      </c>
      <c r="F176" s="1">
        <v>20339</v>
      </c>
      <c r="G176" s="1">
        <v>2</v>
      </c>
      <c r="H176" s="2">
        <v>46088</v>
      </c>
      <c r="I176" s="2">
        <v>46094</v>
      </c>
      <c r="J176" s="1" t="s">
        <v>20</v>
      </c>
      <c r="K176" s="1">
        <v>1175</v>
      </c>
    </row>
    <row r="177" spans="1:11" x14ac:dyDescent="0.3">
      <c r="A177" s="1" t="s">
        <v>58</v>
      </c>
      <c r="B177" s="1" t="s">
        <v>38</v>
      </c>
      <c r="C177" s="1" t="s">
        <v>34</v>
      </c>
      <c r="D177" s="1" t="s">
        <v>41</v>
      </c>
      <c r="E177" s="1">
        <v>17</v>
      </c>
      <c r="F177" s="1">
        <v>46937</v>
      </c>
      <c r="G177" s="1">
        <v>12</v>
      </c>
      <c r="H177" s="2">
        <v>46048</v>
      </c>
      <c r="I177" s="2">
        <v>46056</v>
      </c>
      <c r="J177" s="1" t="s">
        <v>29</v>
      </c>
      <c r="K177" s="1">
        <v>1176</v>
      </c>
    </row>
    <row r="178" spans="1:11" x14ac:dyDescent="0.3">
      <c r="A178" s="1" t="s">
        <v>29</v>
      </c>
      <c r="B178" s="1" t="s">
        <v>22</v>
      </c>
      <c r="C178" s="1" t="s">
        <v>18</v>
      </c>
      <c r="D178" s="1" t="s">
        <v>19</v>
      </c>
      <c r="E178" s="1">
        <v>14</v>
      </c>
      <c r="F178" s="1">
        <v>7501</v>
      </c>
      <c r="G178" s="1">
        <v>7</v>
      </c>
      <c r="H178" s="2">
        <v>46169</v>
      </c>
      <c r="I178" s="2">
        <v>46179</v>
      </c>
      <c r="J178" s="1" t="s">
        <v>20</v>
      </c>
      <c r="K178" s="1">
        <v>1177</v>
      </c>
    </row>
    <row r="179" spans="1:11" x14ac:dyDescent="0.3">
      <c r="A179" s="1" t="s">
        <v>57</v>
      </c>
      <c r="B179" s="1" t="s">
        <v>17</v>
      </c>
      <c r="C179" s="1" t="s">
        <v>13</v>
      </c>
      <c r="D179" s="1" t="s">
        <v>50</v>
      </c>
      <c r="E179" s="1">
        <v>5</v>
      </c>
      <c r="F179" s="1">
        <v>50</v>
      </c>
      <c r="G179" s="1">
        <v>0</v>
      </c>
      <c r="H179" s="2">
        <v>46111</v>
      </c>
      <c r="I179" s="2">
        <v>46117</v>
      </c>
      <c r="J179" s="1" t="s">
        <v>20</v>
      </c>
      <c r="K179" s="1">
        <v>1178</v>
      </c>
    </row>
    <row r="180" spans="1:11" x14ac:dyDescent="0.3">
      <c r="A180" s="1" t="s">
        <v>47</v>
      </c>
      <c r="B180" s="1" t="s">
        <v>17</v>
      </c>
      <c r="C180" s="1" t="s">
        <v>34</v>
      </c>
      <c r="D180" s="1" t="s">
        <v>39</v>
      </c>
      <c r="E180" s="1">
        <v>6</v>
      </c>
      <c r="F180" s="1">
        <v>10400</v>
      </c>
      <c r="G180" s="1">
        <v>2</v>
      </c>
      <c r="H180" s="2">
        <v>46155</v>
      </c>
      <c r="I180" s="2">
        <v>46158</v>
      </c>
      <c r="J180" s="1" t="s">
        <v>15</v>
      </c>
      <c r="K180" s="1">
        <v>1179</v>
      </c>
    </row>
    <row r="181" spans="1:11" x14ac:dyDescent="0.3">
      <c r="A181" s="1" t="s">
        <v>40</v>
      </c>
      <c r="B181" s="1" t="s">
        <v>31</v>
      </c>
      <c r="C181" s="1" t="s">
        <v>18</v>
      </c>
      <c r="D181" s="1" t="s">
        <v>28</v>
      </c>
      <c r="E181" s="1">
        <v>2</v>
      </c>
      <c r="F181" s="1">
        <v>2076</v>
      </c>
      <c r="G181" s="1">
        <v>2</v>
      </c>
      <c r="H181" s="2">
        <v>46111</v>
      </c>
      <c r="I181" s="2">
        <v>46121</v>
      </c>
      <c r="J181" s="1" t="s">
        <v>29</v>
      </c>
      <c r="K181" s="1">
        <v>1180</v>
      </c>
    </row>
    <row r="182" spans="1:11" x14ac:dyDescent="0.3">
      <c r="A182" s="1" t="s">
        <v>58</v>
      </c>
      <c r="B182" s="1" t="s">
        <v>33</v>
      </c>
      <c r="C182" s="1" t="s">
        <v>13</v>
      </c>
      <c r="D182" s="1" t="s">
        <v>36</v>
      </c>
      <c r="E182" s="1">
        <v>4</v>
      </c>
      <c r="F182" s="1">
        <v>357</v>
      </c>
      <c r="G182" s="1">
        <v>2</v>
      </c>
      <c r="H182" s="2">
        <v>46033</v>
      </c>
      <c r="I182" s="2">
        <v>46035</v>
      </c>
      <c r="J182" s="1" t="s">
        <v>15</v>
      </c>
      <c r="K182" s="1">
        <v>1181</v>
      </c>
    </row>
    <row r="183" spans="1:11" x14ac:dyDescent="0.3">
      <c r="A183" s="1" t="s">
        <v>42</v>
      </c>
      <c r="B183" s="1" t="s">
        <v>12</v>
      </c>
      <c r="C183" s="1" t="s">
        <v>34</v>
      </c>
      <c r="D183" s="1" t="s">
        <v>39</v>
      </c>
      <c r="E183" s="1">
        <v>8</v>
      </c>
      <c r="F183" s="1">
        <v>66022</v>
      </c>
      <c r="G183" s="1">
        <v>12</v>
      </c>
      <c r="H183" s="2">
        <v>46108</v>
      </c>
      <c r="I183" s="2">
        <v>46114</v>
      </c>
      <c r="J183" s="1" t="s">
        <v>24</v>
      </c>
      <c r="K183" s="1">
        <v>1182</v>
      </c>
    </row>
    <row r="184" spans="1:11" x14ac:dyDescent="0.3">
      <c r="A184" s="1" t="s">
        <v>52</v>
      </c>
      <c r="B184" s="1" t="s">
        <v>43</v>
      </c>
      <c r="C184" s="1" t="s">
        <v>13</v>
      </c>
      <c r="D184" s="1" t="s">
        <v>14</v>
      </c>
      <c r="E184" s="1">
        <v>2</v>
      </c>
      <c r="F184" s="1">
        <v>309</v>
      </c>
      <c r="G184" s="1">
        <v>2</v>
      </c>
      <c r="H184" s="2">
        <v>46109</v>
      </c>
      <c r="I184" s="2">
        <v>46111</v>
      </c>
      <c r="J184" s="1" t="s">
        <v>20</v>
      </c>
      <c r="K184" s="1">
        <v>1183</v>
      </c>
    </row>
    <row r="185" spans="1:11" x14ac:dyDescent="0.3">
      <c r="A185" s="1" t="s">
        <v>40</v>
      </c>
      <c r="B185" s="1" t="s">
        <v>31</v>
      </c>
      <c r="C185" s="1" t="s">
        <v>34</v>
      </c>
      <c r="D185" s="1" t="s">
        <v>39</v>
      </c>
      <c r="E185" s="1">
        <v>12</v>
      </c>
      <c r="F185" s="1">
        <v>50517</v>
      </c>
      <c r="G185" s="1">
        <v>15</v>
      </c>
      <c r="H185" s="2">
        <v>46145</v>
      </c>
      <c r="I185" s="2">
        <v>46153</v>
      </c>
      <c r="J185" s="1" t="s">
        <v>29</v>
      </c>
      <c r="K185" s="1">
        <v>1184</v>
      </c>
    </row>
    <row r="186" spans="1:11" x14ac:dyDescent="0.3">
      <c r="A186" s="1" t="s">
        <v>58</v>
      </c>
      <c r="B186" s="1" t="s">
        <v>22</v>
      </c>
      <c r="C186" s="1" t="s">
        <v>34</v>
      </c>
      <c r="D186" s="1" t="s">
        <v>60</v>
      </c>
      <c r="E186" s="1">
        <v>16</v>
      </c>
      <c r="F186" s="1">
        <v>15536</v>
      </c>
      <c r="G186" s="1">
        <v>2</v>
      </c>
      <c r="H186" s="2">
        <v>46153</v>
      </c>
      <c r="I186" s="2">
        <v>46156</v>
      </c>
      <c r="J186" s="1" t="s">
        <v>15</v>
      </c>
      <c r="K186" s="1">
        <v>1185</v>
      </c>
    </row>
    <row r="187" spans="1:11" x14ac:dyDescent="0.3">
      <c r="A187" s="1" t="s">
        <v>16</v>
      </c>
      <c r="B187" s="1" t="s">
        <v>25</v>
      </c>
      <c r="C187" s="1" t="s">
        <v>18</v>
      </c>
      <c r="D187" s="1" t="s">
        <v>44</v>
      </c>
      <c r="E187" s="1">
        <v>10</v>
      </c>
      <c r="F187" s="1">
        <v>14951</v>
      </c>
      <c r="G187" s="1">
        <v>2</v>
      </c>
      <c r="H187" s="2">
        <v>46188</v>
      </c>
      <c r="I187" s="2">
        <v>46196</v>
      </c>
      <c r="J187" s="1" t="s">
        <v>24</v>
      </c>
      <c r="K187" s="1">
        <v>1186</v>
      </c>
    </row>
    <row r="188" spans="1:11" x14ac:dyDescent="0.3">
      <c r="A188" s="1" t="s">
        <v>54</v>
      </c>
      <c r="B188" s="1" t="s">
        <v>22</v>
      </c>
      <c r="C188" s="1" t="s">
        <v>34</v>
      </c>
      <c r="D188" s="1" t="s">
        <v>45</v>
      </c>
      <c r="E188" s="1">
        <v>18</v>
      </c>
      <c r="F188" s="1">
        <v>68527</v>
      </c>
      <c r="G188" s="1">
        <v>12</v>
      </c>
      <c r="H188" s="2">
        <v>46178</v>
      </c>
      <c r="I188" s="2">
        <v>46184</v>
      </c>
      <c r="J188" s="1" t="s">
        <v>51</v>
      </c>
      <c r="K188" s="1">
        <v>1187</v>
      </c>
    </row>
    <row r="189" spans="1:11" x14ac:dyDescent="0.3">
      <c r="A189" s="1" t="s">
        <v>29</v>
      </c>
      <c r="B189" s="1" t="s">
        <v>22</v>
      </c>
      <c r="C189" s="1" t="s">
        <v>18</v>
      </c>
      <c r="D189" s="1" t="s">
        <v>56</v>
      </c>
      <c r="E189" s="1">
        <v>6</v>
      </c>
      <c r="F189" s="1">
        <v>10368</v>
      </c>
      <c r="G189" s="1">
        <v>7</v>
      </c>
      <c r="H189" s="2">
        <v>46137</v>
      </c>
      <c r="I189" s="2">
        <v>46142</v>
      </c>
      <c r="J189" s="1" t="s">
        <v>15</v>
      </c>
      <c r="K189" s="1">
        <v>1188</v>
      </c>
    </row>
    <row r="190" spans="1:11" x14ac:dyDescent="0.3">
      <c r="A190" s="1" t="s">
        <v>49</v>
      </c>
      <c r="B190" s="1" t="s">
        <v>31</v>
      </c>
      <c r="C190" s="1" t="s">
        <v>18</v>
      </c>
      <c r="D190" s="1" t="s">
        <v>56</v>
      </c>
      <c r="E190" s="1">
        <v>12</v>
      </c>
      <c r="F190" s="1">
        <v>8327</v>
      </c>
      <c r="G190" s="1">
        <v>10</v>
      </c>
      <c r="H190" s="2">
        <v>46184</v>
      </c>
      <c r="I190" s="2">
        <v>46185</v>
      </c>
      <c r="J190" s="1" t="s">
        <v>29</v>
      </c>
      <c r="K190" s="1">
        <v>1189</v>
      </c>
    </row>
    <row r="191" spans="1:11" x14ac:dyDescent="0.3">
      <c r="A191" s="1" t="s">
        <v>57</v>
      </c>
      <c r="B191" s="1" t="s">
        <v>17</v>
      </c>
      <c r="C191" s="1" t="s">
        <v>18</v>
      </c>
      <c r="D191" s="1" t="s">
        <v>28</v>
      </c>
      <c r="E191" s="1">
        <v>4</v>
      </c>
      <c r="F191" s="1">
        <v>10154</v>
      </c>
      <c r="G191" s="1">
        <v>7</v>
      </c>
      <c r="H191" s="2">
        <v>46052</v>
      </c>
      <c r="I191" s="2">
        <v>46062</v>
      </c>
      <c r="J191" s="1" t="s">
        <v>20</v>
      </c>
      <c r="K191" s="1">
        <v>1190</v>
      </c>
    </row>
    <row r="192" spans="1:11" x14ac:dyDescent="0.3">
      <c r="A192" s="1" t="s">
        <v>52</v>
      </c>
      <c r="B192" s="1" t="s">
        <v>33</v>
      </c>
      <c r="C192" s="1" t="s">
        <v>18</v>
      </c>
      <c r="D192" s="1" t="s">
        <v>56</v>
      </c>
      <c r="E192" s="1">
        <v>9</v>
      </c>
      <c r="F192" s="1">
        <v>8631</v>
      </c>
      <c r="G192" s="1">
        <v>10</v>
      </c>
      <c r="H192" s="2">
        <v>46149</v>
      </c>
      <c r="I192" s="2">
        <v>46156</v>
      </c>
      <c r="J192" s="1" t="s">
        <v>20</v>
      </c>
      <c r="K192" s="1">
        <v>1191</v>
      </c>
    </row>
    <row r="193" spans="1:11" x14ac:dyDescent="0.3">
      <c r="A193" s="1" t="s">
        <v>21</v>
      </c>
      <c r="B193" s="1" t="s">
        <v>33</v>
      </c>
      <c r="C193" s="1" t="s">
        <v>13</v>
      </c>
      <c r="D193" s="1" t="s">
        <v>53</v>
      </c>
      <c r="E193" s="1">
        <v>18</v>
      </c>
      <c r="F193" s="1">
        <v>49</v>
      </c>
      <c r="G193" s="1">
        <v>12</v>
      </c>
      <c r="H193" s="2">
        <v>46089</v>
      </c>
      <c r="I193" s="2">
        <v>46095</v>
      </c>
      <c r="J193" s="1" t="s">
        <v>24</v>
      </c>
      <c r="K193" s="1">
        <v>1192</v>
      </c>
    </row>
    <row r="194" spans="1:11" x14ac:dyDescent="0.3">
      <c r="A194" s="1" t="s">
        <v>57</v>
      </c>
      <c r="B194" s="1" t="s">
        <v>12</v>
      </c>
      <c r="C194" s="1" t="s">
        <v>18</v>
      </c>
      <c r="D194" s="1" t="s">
        <v>23</v>
      </c>
      <c r="E194" s="1">
        <v>19</v>
      </c>
      <c r="F194" s="1">
        <v>2699</v>
      </c>
      <c r="G194" s="1">
        <v>7</v>
      </c>
      <c r="H194" s="2">
        <v>46110</v>
      </c>
      <c r="I194" s="2">
        <v>46112</v>
      </c>
      <c r="J194" s="1" t="s">
        <v>29</v>
      </c>
      <c r="K194" s="1">
        <v>1193</v>
      </c>
    </row>
    <row r="195" spans="1:11" x14ac:dyDescent="0.3">
      <c r="A195" s="1" t="s">
        <v>57</v>
      </c>
      <c r="B195" s="1" t="s">
        <v>43</v>
      </c>
      <c r="C195" s="1" t="s">
        <v>18</v>
      </c>
      <c r="D195" s="1" t="s">
        <v>28</v>
      </c>
      <c r="E195" s="1">
        <v>13</v>
      </c>
      <c r="F195" s="1">
        <v>12856</v>
      </c>
      <c r="G195" s="1">
        <v>15</v>
      </c>
      <c r="H195" s="2">
        <v>46129</v>
      </c>
      <c r="I195" s="2">
        <v>46133</v>
      </c>
      <c r="J195" s="1" t="s">
        <v>51</v>
      </c>
      <c r="K195" s="1">
        <v>1194</v>
      </c>
    </row>
    <row r="196" spans="1:11" x14ac:dyDescent="0.3">
      <c r="A196" s="1" t="s">
        <v>59</v>
      </c>
      <c r="B196" s="1" t="s">
        <v>17</v>
      </c>
      <c r="C196" s="1" t="s">
        <v>13</v>
      </c>
      <c r="D196" s="1" t="s">
        <v>50</v>
      </c>
      <c r="E196" s="1">
        <v>19</v>
      </c>
      <c r="F196" s="1">
        <v>313</v>
      </c>
      <c r="G196" s="1">
        <v>2</v>
      </c>
      <c r="H196" s="2">
        <v>46198</v>
      </c>
      <c r="I196" s="2">
        <v>46206</v>
      </c>
      <c r="J196" s="1" t="s">
        <v>51</v>
      </c>
      <c r="K196" s="1">
        <v>1195</v>
      </c>
    </row>
    <row r="197" spans="1:11" x14ac:dyDescent="0.3">
      <c r="A197" s="1" t="s">
        <v>48</v>
      </c>
      <c r="B197" s="1" t="s">
        <v>22</v>
      </c>
      <c r="C197" s="1" t="s">
        <v>34</v>
      </c>
      <c r="D197" s="1" t="s">
        <v>35</v>
      </c>
      <c r="E197" s="1">
        <v>20</v>
      </c>
      <c r="F197" s="1">
        <v>3172</v>
      </c>
      <c r="G197" s="1">
        <v>5</v>
      </c>
      <c r="H197" s="2">
        <v>46155</v>
      </c>
      <c r="I197" s="2">
        <v>46159</v>
      </c>
      <c r="J197" s="1" t="s">
        <v>20</v>
      </c>
      <c r="K197" s="1">
        <v>1196</v>
      </c>
    </row>
    <row r="198" spans="1:11" x14ac:dyDescent="0.3">
      <c r="A198" s="1" t="s">
        <v>52</v>
      </c>
      <c r="B198" s="1" t="s">
        <v>31</v>
      </c>
      <c r="C198" s="1" t="s">
        <v>34</v>
      </c>
      <c r="D198" s="1" t="s">
        <v>35</v>
      </c>
      <c r="E198" s="1">
        <v>5</v>
      </c>
      <c r="F198" s="1">
        <v>45352</v>
      </c>
      <c r="G198" s="1">
        <v>12</v>
      </c>
      <c r="H198" s="2">
        <v>46045</v>
      </c>
      <c r="I198" s="2">
        <v>46048</v>
      </c>
      <c r="J198" s="1" t="s">
        <v>15</v>
      </c>
      <c r="K198" s="1">
        <v>1197</v>
      </c>
    </row>
    <row r="199" spans="1:11" x14ac:dyDescent="0.3">
      <c r="A199" s="1" t="s">
        <v>58</v>
      </c>
      <c r="B199" s="1" t="s">
        <v>12</v>
      </c>
      <c r="C199" s="1" t="s">
        <v>13</v>
      </c>
      <c r="D199" s="1" t="s">
        <v>14</v>
      </c>
      <c r="E199" s="1">
        <v>12</v>
      </c>
      <c r="F199" s="1">
        <v>491</v>
      </c>
      <c r="G199" s="1">
        <v>2</v>
      </c>
      <c r="H199" s="2">
        <v>46106</v>
      </c>
      <c r="I199" s="2">
        <v>46109</v>
      </c>
      <c r="J199" s="1" t="s">
        <v>51</v>
      </c>
      <c r="K199" s="1">
        <v>1198</v>
      </c>
    </row>
    <row r="200" spans="1:11" x14ac:dyDescent="0.3">
      <c r="A200" s="1" t="s">
        <v>11</v>
      </c>
      <c r="B200" s="1" t="s">
        <v>25</v>
      </c>
      <c r="C200" s="1" t="s">
        <v>34</v>
      </c>
      <c r="D200" s="1" t="s">
        <v>45</v>
      </c>
      <c r="E200" s="1">
        <v>2</v>
      </c>
      <c r="F200" s="1">
        <v>4375</v>
      </c>
      <c r="G200" s="1">
        <v>7</v>
      </c>
      <c r="H200" s="2">
        <v>46178</v>
      </c>
      <c r="I200" s="2">
        <v>46180</v>
      </c>
      <c r="J200" s="1" t="s">
        <v>24</v>
      </c>
      <c r="K200" s="1">
        <v>1199</v>
      </c>
    </row>
    <row r="201" spans="1:11" x14ac:dyDescent="0.3">
      <c r="A201" s="1" t="s">
        <v>29</v>
      </c>
      <c r="B201" s="1" t="s">
        <v>31</v>
      </c>
      <c r="C201" s="1" t="s">
        <v>34</v>
      </c>
      <c r="D201" s="1" t="s">
        <v>45</v>
      </c>
      <c r="E201" s="1">
        <v>13</v>
      </c>
      <c r="F201" s="1">
        <v>69422</v>
      </c>
      <c r="G201" s="1">
        <v>0</v>
      </c>
      <c r="H201" s="2">
        <v>46134</v>
      </c>
      <c r="I201" s="2">
        <v>46143</v>
      </c>
      <c r="J201" s="1" t="s">
        <v>29</v>
      </c>
      <c r="K201" s="1">
        <v>1200</v>
      </c>
    </row>
    <row r="202" spans="1:11" x14ac:dyDescent="0.3">
      <c r="A202" s="1" t="s">
        <v>54</v>
      </c>
      <c r="B202" s="1" t="s">
        <v>31</v>
      </c>
      <c r="C202" s="1" t="s">
        <v>13</v>
      </c>
      <c r="D202" s="1" t="s">
        <v>53</v>
      </c>
      <c r="E202" s="1">
        <v>18</v>
      </c>
      <c r="F202" s="1">
        <v>139</v>
      </c>
      <c r="G202" s="1">
        <v>12</v>
      </c>
      <c r="H202" s="2">
        <v>46075</v>
      </c>
      <c r="I202" s="2">
        <v>46076</v>
      </c>
      <c r="J202" s="1" t="s">
        <v>20</v>
      </c>
      <c r="K202" s="1">
        <v>1201</v>
      </c>
    </row>
    <row r="203" spans="1:11" x14ac:dyDescent="0.3">
      <c r="A203" s="1" t="s">
        <v>57</v>
      </c>
      <c r="B203" s="1" t="s">
        <v>22</v>
      </c>
      <c r="C203" s="1" t="s">
        <v>34</v>
      </c>
      <c r="D203" s="1" t="s">
        <v>35</v>
      </c>
      <c r="E203" s="1">
        <v>2</v>
      </c>
      <c r="F203" s="1">
        <v>20312</v>
      </c>
      <c r="G203" s="1">
        <v>12</v>
      </c>
      <c r="H203" s="2">
        <v>46082</v>
      </c>
      <c r="I203" s="2">
        <v>46091</v>
      </c>
      <c r="J203" s="1" t="s">
        <v>15</v>
      </c>
      <c r="K203" s="1">
        <v>1202</v>
      </c>
    </row>
    <row r="204" spans="1:11" x14ac:dyDescent="0.3">
      <c r="A204" s="1" t="s">
        <v>40</v>
      </c>
      <c r="B204" s="1" t="s">
        <v>22</v>
      </c>
      <c r="C204" s="1" t="s">
        <v>18</v>
      </c>
      <c r="D204" s="1" t="s">
        <v>23</v>
      </c>
      <c r="E204" s="1">
        <v>17</v>
      </c>
      <c r="F204" s="1">
        <v>6695</v>
      </c>
      <c r="G204" s="1">
        <v>2</v>
      </c>
      <c r="H204" s="2">
        <v>46119</v>
      </c>
      <c r="I204" s="2">
        <v>46122</v>
      </c>
      <c r="J204" s="1" t="s">
        <v>51</v>
      </c>
      <c r="K204" s="1">
        <v>1203</v>
      </c>
    </row>
    <row r="205" spans="1:11" x14ac:dyDescent="0.3">
      <c r="A205" s="1" t="s">
        <v>16</v>
      </c>
      <c r="B205" s="1" t="s">
        <v>31</v>
      </c>
      <c r="C205" s="1" t="s">
        <v>13</v>
      </c>
      <c r="D205" s="1" t="s">
        <v>37</v>
      </c>
      <c r="E205" s="1">
        <v>13</v>
      </c>
      <c r="F205" s="1">
        <v>416</v>
      </c>
      <c r="G205" s="1">
        <v>10</v>
      </c>
      <c r="H205" s="2">
        <v>46123</v>
      </c>
      <c r="I205" s="2">
        <v>46132</v>
      </c>
      <c r="J205" s="1" t="s">
        <v>20</v>
      </c>
      <c r="K205" s="1">
        <v>1204</v>
      </c>
    </row>
    <row r="206" spans="1:11" x14ac:dyDescent="0.3">
      <c r="A206" s="1" t="s">
        <v>21</v>
      </c>
      <c r="B206" s="1" t="s">
        <v>38</v>
      </c>
      <c r="C206" s="1" t="s">
        <v>13</v>
      </c>
      <c r="D206" s="1" t="s">
        <v>36</v>
      </c>
      <c r="E206" s="1">
        <v>1</v>
      </c>
      <c r="F206" s="1">
        <v>112</v>
      </c>
      <c r="G206" s="1">
        <v>7</v>
      </c>
      <c r="H206" s="2">
        <v>46033</v>
      </c>
      <c r="I206" s="2">
        <v>46040</v>
      </c>
      <c r="J206" s="1" t="s">
        <v>51</v>
      </c>
      <c r="K206" s="1">
        <v>1205</v>
      </c>
    </row>
    <row r="207" spans="1:11" x14ac:dyDescent="0.3">
      <c r="A207" s="1" t="s">
        <v>55</v>
      </c>
      <c r="B207" s="1" t="s">
        <v>33</v>
      </c>
      <c r="C207" s="1" t="s">
        <v>13</v>
      </c>
      <c r="D207" s="1" t="s">
        <v>14</v>
      </c>
      <c r="E207" s="1">
        <v>9</v>
      </c>
      <c r="F207" s="1">
        <v>60</v>
      </c>
      <c r="G207" s="1">
        <v>0</v>
      </c>
      <c r="H207" s="2">
        <v>46166</v>
      </c>
      <c r="I207" s="2">
        <v>46174</v>
      </c>
      <c r="J207" s="1" t="s">
        <v>15</v>
      </c>
      <c r="K207" s="1">
        <v>1206</v>
      </c>
    </row>
    <row r="208" spans="1:11" x14ac:dyDescent="0.3">
      <c r="A208" s="1" t="s">
        <v>55</v>
      </c>
      <c r="B208" s="1" t="s">
        <v>25</v>
      </c>
      <c r="C208" s="1" t="s">
        <v>13</v>
      </c>
      <c r="D208" s="1" t="s">
        <v>53</v>
      </c>
      <c r="E208" s="1">
        <v>7</v>
      </c>
      <c r="F208" s="1">
        <v>244</v>
      </c>
      <c r="G208" s="1">
        <v>2</v>
      </c>
      <c r="H208" s="2">
        <v>46164</v>
      </c>
      <c r="I208" s="2">
        <v>46173</v>
      </c>
      <c r="J208" s="1" t="s">
        <v>24</v>
      </c>
      <c r="K208" s="1">
        <v>1207</v>
      </c>
    </row>
    <row r="209" spans="1:11" x14ac:dyDescent="0.3">
      <c r="A209" s="1" t="s">
        <v>54</v>
      </c>
      <c r="B209" s="1" t="s">
        <v>43</v>
      </c>
      <c r="C209" s="1" t="s">
        <v>18</v>
      </c>
      <c r="D209" s="1" t="s">
        <v>44</v>
      </c>
      <c r="E209" s="1">
        <v>6</v>
      </c>
      <c r="F209" s="1">
        <v>7627</v>
      </c>
      <c r="G209" s="1">
        <v>10</v>
      </c>
      <c r="H209" s="2">
        <v>46042</v>
      </c>
      <c r="I209" s="2">
        <v>46047</v>
      </c>
      <c r="J209" s="1" t="s">
        <v>20</v>
      </c>
      <c r="K209" s="1">
        <v>1208</v>
      </c>
    </row>
    <row r="210" spans="1:11" x14ac:dyDescent="0.3">
      <c r="A210" s="1" t="s">
        <v>48</v>
      </c>
      <c r="B210" s="1" t="s">
        <v>38</v>
      </c>
      <c r="C210" s="1" t="s">
        <v>34</v>
      </c>
      <c r="D210" s="1" t="s">
        <v>35</v>
      </c>
      <c r="E210" s="1">
        <v>19</v>
      </c>
      <c r="F210" s="1">
        <v>20284</v>
      </c>
      <c r="G210" s="1">
        <v>10</v>
      </c>
      <c r="H210" s="2">
        <v>46103</v>
      </c>
      <c r="I210" s="2">
        <v>46110</v>
      </c>
      <c r="J210" s="1" t="s">
        <v>20</v>
      </c>
      <c r="K210" s="1">
        <v>1209</v>
      </c>
    </row>
    <row r="211" spans="1:11" x14ac:dyDescent="0.3">
      <c r="A211" s="1" t="s">
        <v>30</v>
      </c>
      <c r="B211" s="1" t="s">
        <v>31</v>
      </c>
      <c r="C211" s="1" t="s">
        <v>13</v>
      </c>
      <c r="D211" s="1" t="s">
        <v>53</v>
      </c>
      <c r="E211" s="1">
        <v>10</v>
      </c>
      <c r="F211" s="1">
        <v>349</v>
      </c>
      <c r="G211" s="1">
        <v>0</v>
      </c>
      <c r="H211" s="2">
        <v>46052</v>
      </c>
      <c r="I211" s="2">
        <v>46060</v>
      </c>
      <c r="J211" s="1" t="s">
        <v>29</v>
      </c>
      <c r="K211" s="1">
        <v>1210</v>
      </c>
    </row>
    <row r="212" spans="1:11" x14ac:dyDescent="0.3">
      <c r="A212" s="1" t="s">
        <v>48</v>
      </c>
      <c r="B212" s="1" t="s">
        <v>17</v>
      </c>
      <c r="C212" s="1" t="s">
        <v>34</v>
      </c>
      <c r="D212" s="1" t="s">
        <v>35</v>
      </c>
      <c r="E212" s="1">
        <v>3</v>
      </c>
      <c r="F212" s="1">
        <v>5962</v>
      </c>
      <c r="G212" s="1">
        <v>7</v>
      </c>
      <c r="H212" s="2">
        <v>46175</v>
      </c>
      <c r="I212" s="2">
        <v>46183</v>
      </c>
      <c r="J212" s="1" t="s">
        <v>15</v>
      </c>
      <c r="K212" s="1">
        <v>1211</v>
      </c>
    </row>
    <row r="213" spans="1:11" x14ac:dyDescent="0.3">
      <c r="A213" s="1" t="s">
        <v>59</v>
      </c>
      <c r="B213" s="1" t="s">
        <v>25</v>
      </c>
      <c r="C213" s="1" t="s">
        <v>34</v>
      </c>
      <c r="D213" s="1" t="s">
        <v>60</v>
      </c>
      <c r="E213" s="1">
        <v>10</v>
      </c>
      <c r="F213" s="1">
        <v>34380</v>
      </c>
      <c r="G213" s="1">
        <v>7</v>
      </c>
      <c r="H213" s="2">
        <v>46194</v>
      </c>
      <c r="I213" s="2">
        <v>46195</v>
      </c>
      <c r="J213" s="1" t="s">
        <v>29</v>
      </c>
      <c r="K213" s="1">
        <v>1212</v>
      </c>
    </row>
    <row r="214" spans="1:11" x14ac:dyDescent="0.3">
      <c r="A214" s="1" t="s">
        <v>32</v>
      </c>
      <c r="B214" s="1" t="s">
        <v>38</v>
      </c>
      <c r="C214" s="1" t="s">
        <v>34</v>
      </c>
      <c r="D214" s="1" t="s">
        <v>45</v>
      </c>
      <c r="E214" s="1">
        <v>16</v>
      </c>
      <c r="F214" s="1">
        <v>27741</v>
      </c>
      <c r="G214" s="1">
        <v>12</v>
      </c>
      <c r="H214" s="2">
        <v>46116</v>
      </c>
      <c r="I214" s="2">
        <v>46119</v>
      </c>
      <c r="J214" s="1" t="s">
        <v>15</v>
      </c>
      <c r="K214" s="1">
        <v>1213</v>
      </c>
    </row>
    <row r="215" spans="1:11" x14ac:dyDescent="0.3">
      <c r="A215" s="1" t="s">
        <v>42</v>
      </c>
      <c r="B215" s="1" t="s">
        <v>25</v>
      </c>
      <c r="C215" s="1" t="s">
        <v>18</v>
      </c>
      <c r="D215" s="1" t="s">
        <v>28</v>
      </c>
      <c r="E215" s="1">
        <v>19</v>
      </c>
      <c r="F215" s="1">
        <v>13832</v>
      </c>
      <c r="G215" s="1">
        <v>0</v>
      </c>
      <c r="H215" s="2">
        <v>46140</v>
      </c>
      <c r="I215" s="2">
        <v>46145</v>
      </c>
      <c r="J215" s="1" t="s">
        <v>51</v>
      </c>
      <c r="K215" s="1">
        <v>1214</v>
      </c>
    </row>
    <row r="216" spans="1:11" x14ac:dyDescent="0.3">
      <c r="A216" s="1" t="s">
        <v>27</v>
      </c>
      <c r="B216" s="1" t="s">
        <v>12</v>
      </c>
      <c r="C216" s="1" t="s">
        <v>18</v>
      </c>
      <c r="D216" s="1" t="s">
        <v>28</v>
      </c>
      <c r="E216" s="1">
        <v>6</v>
      </c>
      <c r="F216" s="1">
        <v>1254</v>
      </c>
      <c r="G216" s="1">
        <v>0</v>
      </c>
      <c r="H216" s="2">
        <v>46131</v>
      </c>
      <c r="I216" s="2">
        <v>46136</v>
      </c>
      <c r="J216" s="1" t="s">
        <v>29</v>
      </c>
      <c r="K216" s="1">
        <v>1215</v>
      </c>
    </row>
    <row r="217" spans="1:11" x14ac:dyDescent="0.3">
      <c r="A217" s="1" t="s">
        <v>40</v>
      </c>
      <c r="B217" s="1" t="s">
        <v>22</v>
      </c>
      <c r="C217" s="1" t="s">
        <v>34</v>
      </c>
      <c r="D217" s="1" t="s">
        <v>45</v>
      </c>
      <c r="E217" s="1">
        <v>10</v>
      </c>
      <c r="F217" s="1">
        <v>56709</v>
      </c>
      <c r="G217" s="1">
        <v>15</v>
      </c>
      <c r="H217" s="2">
        <v>46135</v>
      </c>
      <c r="I217" s="2">
        <v>46139</v>
      </c>
      <c r="J217" s="1" t="s">
        <v>29</v>
      </c>
      <c r="K217" s="1">
        <v>1216</v>
      </c>
    </row>
    <row r="218" spans="1:11" x14ac:dyDescent="0.3">
      <c r="A218" s="1" t="s">
        <v>30</v>
      </c>
      <c r="B218" s="1" t="s">
        <v>22</v>
      </c>
      <c r="C218" s="1" t="s">
        <v>13</v>
      </c>
      <c r="D218" s="1" t="s">
        <v>50</v>
      </c>
      <c r="E218" s="1">
        <v>18</v>
      </c>
      <c r="F218" s="1">
        <v>60</v>
      </c>
      <c r="G218" s="1">
        <v>0</v>
      </c>
      <c r="H218" s="2">
        <v>46171</v>
      </c>
      <c r="I218" s="2">
        <v>46172</v>
      </c>
      <c r="J218" s="1" t="s">
        <v>29</v>
      </c>
      <c r="K218" s="1">
        <v>1217</v>
      </c>
    </row>
    <row r="219" spans="1:11" x14ac:dyDescent="0.3">
      <c r="A219" s="1" t="s">
        <v>55</v>
      </c>
      <c r="B219" s="1" t="s">
        <v>38</v>
      </c>
      <c r="C219" s="1" t="s">
        <v>13</v>
      </c>
      <c r="D219" s="1" t="s">
        <v>14</v>
      </c>
      <c r="E219" s="1">
        <v>1</v>
      </c>
      <c r="F219" s="1">
        <v>134</v>
      </c>
      <c r="G219" s="1">
        <v>10</v>
      </c>
      <c r="H219" s="2">
        <v>46143</v>
      </c>
      <c r="I219" s="2">
        <v>46151</v>
      </c>
      <c r="J219" s="1" t="s">
        <v>51</v>
      </c>
      <c r="K219" s="1">
        <v>1218</v>
      </c>
    </row>
    <row r="220" spans="1:11" x14ac:dyDescent="0.3">
      <c r="A220" s="1" t="s">
        <v>46</v>
      </c>
      <c r="B220" s="1" t="s">
        <v>22</v>
      </c>
      <c r="C220" s="1" t="s">
        <v>13</v>
      </c>
      <c r="D220" s="1" t="s">
        <v>14</v>
      </c>
      <c r="E220" s="1">
        <v>4</v>
      </c>
      <c r="F220" s="1">
        <v>117</v>
      </c>
      <c r="G220" s="1">
        <v>15</v>
      </c>
      <c r="H220" s="2">
        <v>46202</v>
      </c>
      <c r="I220" s="2">
        <v>46206</v>
      </c>
      <c r="J220" s="1" t="s">
        <v>29</v>
      </c>
      <c r="K220" s="1">
        <v>1219</v>
      </c>
    </row>
    <row r="221" spans="1:11" x14ac:dyDescent="0.3">
      <c r="A221" s="1" t="s">
        <v>11</v>
      </c>
      <c r="B221" s="1" t="s">
        <v>25</v>
      </c>
      <c r="C221" s="1" t="s">
        <v>18</v>
      </c>
      <c r="D221" s="1" t="s">
        <v>56</v>
      </c>
      <c r="E221" s="1">
        <v>2</v>
      </c>
      <c r="F221" s="1">
        <v>8861</v>
      </c>
      <c r="G221" s="1">
        <v>2</v>
      </c>
      <c r="H221" s="2">
        <v>46170</v>
      </c>
      <c r="I221" s="2">
        <v>46174</v>
      </c>
      <c r="J221" s="1" t="s">
        <v>24</v>
      </c>
      <c r="K221" s="1">
        <v>1220</v>
      </c>
    </row>
    <row r="222" spans="1:11" x14ac:dyDescent="0.3">
      <c r="A222" s="1" t="s">
        <v>11</v>
      </c>
      <c r="B222" s="1" t="s">
        <v>31</v>
      </c>
      <c r="C222" s="1" t="s">
        <v>18</v>
      </c>
      <c r="D222" s="1" t="s">
        <v>56</v>
      </c>
      <c r="E222" s="1">
        <v>18</v>
      </c>
      <c r="F222" s="1">
        <v>2681</v>
      </c>
      <c r="G222" s="1">
        <v>10</v>
      </c>
      <c r="H222" s="2">
        <v>46122</v>
      </c>
      <c r="I222" s="2">
        <v>46125</v>
      </c>
      <c r="J222" s="1" t="s">
        <v>51</v>
      </c>
      <c r="K222" s="1">
        <v>1221</v>
      </c>
    </row>
    <row r="223" spans="1:11" x14ac:dyDescent="0.3">
      <c r="A223" s="1" t="s">
        <v>30</v>
      </c>
      <c r="B223" s="1" t="s">
        <v>33</v>
      </c>
      <c r="C223" s="1" t="s">
        <v>18</v>
      </c>
      <c r="D223" s="1" t="s">
        <v>23</v>
      </c>
      <c r="E223" s="1">
        <v>9</v>
      </c>
      <c r="F223" s="1">
        <v>2712</v>
      </c>
      <c r="G223" s="1">
        <v>12</v>
      </c>
      <c r="H223" s="2">
        <v>46154</v>
      </c>
      <c r="I223" s="2">
        <v>46163</v>
      </c>
      <c r="J223" s="1" t="s">
        <v>15</v>
      </c>
      <c r="K223" s="1">
        <v>1222</v>
      </c>
    </row>
    <row r="224" spans="1:11" x14ac:dyDescent="0.3">
      <c r="A224" s="1" t="s">
        <v>59</v>
      </c>
      <c r="B224" s="1" t="s">
        <v>17</v>
      </c>
      <c r="C224" s="1" t="s">
        <v>18</v>
      </c>
      <c r="D224" s="1" t="s">
        <v>23</v>
      </c>
      <c r="E224" s="1">
        <v>4</v>
      </c>
      <c r="F224" s="1">
        <v>2249</v>
      </c>
      <c r="G224" s="1">
        <v>7</v>
      </c>
      <c r="H224" s="2">
        <v>46077</v>
      </c>
      <c r="I224" s="2">
        <v>46084</v>
      </c>
      <c r="J224" s="1" t="s">
        <v>15</v>
      </c>
      <c r="K224" s="1">
        <v>1223</v>
      </c>
    </row>
    <row r="225" spans="1:11" x14ac:dyDescent="0.3">
      <c r="A225" s="1" t="s">
        <v>30</v>
      </c>
      <c r="B225" s="1" t="s">
        <v>38</v>
      </c>
      <c r="C225" s="1" t="s">
        <v>34</v>
      </c>
      <c r="D225" s="1" t="s">
        <v>45</v>
      </c>
      <c r="E225" s="1">
        <v>16</v>
      </c>
      <c r="F225" s="1">
        <v>18378</v>
      </c>
      <c r="G225" s="1">
        <v>10</v>
      </c>
      <c r="H225" s="2">
        <v>46045</v>
      </c>
      <c r="I225" s="2">
        <v>46052</v>
      </c>
      <c r="J225" s="1" t="s">
        <v>24</v>
      </c>
      <c r="K225" s="1">
        <v>1224</v>
      </c>
    </row>
    <row r="226" spans="1:11" x14ac:dyDescent="0.3">
      <c r="A226" s="1" t="s">
        <v>42</v>
      </c>
      <c r="B226" s="1" t="s">
        <v>31</v>
      </c>
      <c r="C226" s="1" t="s">
        <v>34</v>
      </c>
      <c r="D226" s="1" t="s">
        <v>35</v>
      </c>
      <c r="E226" s="1">
        <v>16</v>
      </c>
      <c r="F226" s="1">
        <v>32262</v>
      </c>
      <c r="G226" s="1">
        <v>12</v>
      </c>
      <c r="H226" s="2">
        <v>46125</v>
      </c>
      <c r="I226" s="2">
        <v>46126</v>
      </c>
      <c r="J226" s="1" t="s">
        <v>20</v>
      </c>
      <c r="K226" s="1">
        <v>1225</v>
      </c>
    </row>
    <row r="227" spans="1:11" x14ac:dyDescent="0.3">
      <c r="A227" s="1" t="s">
        <v>29</v>
      </c>
      <c r="B227" s="1" t="s">
        <v>31</v>
      </c>
      <c r="C227" s="1" t="s">
        <v>34</v>
      </c>
      <c r="D227" s="1" t="s">
        <v>41</v>
      </c>
      <c r="E227" s="1">
        <v>13</v>
      </c>
      <c r="F227" s="1">
        <v>21332</v>
      </c>
      <c r="G227" s="1">
        <v>0</v>
      </c>
      <c r="H227" s="2">
        <v>46044</v>
      </c>
      <c r="I227" s="2">
        <v>46048</v>
      </c>
      <c r="J227" s="1" t="s">
        <v>29</v>
      </c>
      <c r="K227" s="1">
        <v>1226</v>
      </c>
    </row>
    <row r="228" spans="1:11" x14ac:dyDescent="0.3">
      <c r="A228" s="1" t="s">
        <v>58</v>
      </c>
      <c r="B228" s="1" t="s">
        <v>22</v>
      </c>
      <c r="C228" s="1" t="s">
        <v>34</v>
      </c>
      <c r="D228" s="1" t="s">
        <v>45</v>
      </c>
      <c r="E228" s="1">
        <v>16</v>
      </c>
      <c r="F228" s="1">
        <v>1321</v>
      </c>
      <c r="G228" s="1">
        <v>12</v>
      </c>
      <c r="H228" s="2">
        <v>46113</v>
      </c>
      <c r="I228" s="2">
        <v>46116</v>
      </c>
      <c r="J228" s="1" t="s">
        <v>15</v>
      </c>
      <c r="K228" s="1">
        <v>1227</v>
      </c>
    </row>
    <row r="229" spans="1:11" x14ac:dyDescent="0.3">
      <c r="A229" s="1" t="s">
        <v>29</v>
      </c>
      <c r="B229" s="1" t="s">
        <v>25</v>
      </c>
      <c r="C229" s="1" t="s">
        <v>34</v>
      </c>
      <c r="D229" s="1" t="s">
        <v>45</v>
      </c>
      <c r="E229" s="1">
        <v>16</v>
      </c>
      <c r="F229" s="1">
        <v>17477</v>
      </c>
      <c r="G229" s="1">
        <v>10</v>
      </c>
      <c r="H229" s="2">
        <v>46041</v>
      </c>
      <c r="I229" s="2">
        <v>46043</v>
      </c>
      <c r="J229" s="1" t="s">
        <v>24</v>
      </c>
      <c r="K229" s="1">
        <v>1228</v>
      </c>
    </row>
    <row r="230" spans="1:11" x14ac:dyDescent="0.3">
      <c r="A230" s="1" t="s">
        <v>57</v>
      </c>
      <c r="B230" s="1" t="s">
        <v>12</v>
      </c>
      <c r="C230" s="1" t="s">
        <v>18</v>
      </c>
      <c r="D230" s="1" t="s">
        <v>56</v>
      </c>
      <c r="E230" s="1">
        <v>14</v>
      </c>
      <c r="F230" s="1">
        <v>5859</v>
      </c>
      <c r="G230" s="1">
        <v>12</v>
      </c>
      <c r="H230" s="2">
        <v>46027</v>
      </c>
      <c r="I230" s="2">
        <v>46036</v>
      </c>
      <c r="J230" s="1" t="s">
        <v>20</v>
      </c>
      <c r="K230" s="1">
        <v>1229</v>
      </c>
    </row>
    <row r="231" spans="1:11" x14ac:dyDescent="0.3">
      <c r="A231" s="1" t="s">
        <v>59</v>
      </c>
      <c r="B231" s="1" t="s">
        <v>33</v>
      </c>
      <c r="C231" s="1" t="s">
        <v>34</v>
      </c>
      <c r="D231" s="1" t="s">
        <v>60</v>
      </c>
      <c r="E231" s="1">
        <v>7</v>
      </c>
      <c r="F231" s="1">
        <v>2932</v>
      </c>
      <c r="G231" s="1">
        <v>7</v>
      </c>
      <c r="H231" s="2">
        <v>46050</v>
      </c>
      <c r="I231" s="2">
        <v>46059</v>
      </c>
      <c r="J231" s="1" t="s">
        <v>24</v>
      </c>
      <c r="K231" s="1">
        <v>1230</v>
      </c>
    </row>
    <row r="232" spans="1:11" x14ac:dyDescent="0.3">
      <c r="A232" s="1" t="s">
        <v>48</v>
      </c>
      <c r="B232" s="1" t="s">
        <v>38</v>
      </c>
      <c r="C232" s="1" t="s">
        <v>18</v>
      </c>
      <c r="D232" s="1" t="s">
        <v>19</v>
      </c>
      <c r="E232" s="1">
        <v>13</v>
      </c>
      <c r="F232" s="1">
        <v>10297</v>
      </c>
      <c r="G232" s="1">
        <v>12</v>
      </c>
      <c r="H232" s="2">
        <v>46178</v>
      </c>
      <c r="I232" s="2">
        <v>46186</v>
      </c>
      <c r="J232" s="1" t="s">
        <v>20</v>
      </c>
      <c r="K232" s="1">
        <v>1231</v>
      </c>
    </row>
    <row r="233" spans="1:11" x14ac:dyDescent="0.3">
      <c r="A233" s="1" t="s">
        <v>21</v>
      </c>
      <c r="B233" s="1" t="s">
        <v>12</v>
      </c>
      <c r="C233" s="1" t="s">
        <v>34</v>
      </c>
      <c r="D233" s="1" t="s">
        <v>60</v>
      </c>
      <c r="E233" s="1">
        <v>3</v>
      </c>
      <c r="F233" s="1">
        <v>13272</v>
      </c>
      <c r="G233" s="1">
        <v>2</v>
      </c>
      <c r="H233" s="2">
        <v>46060</v>
      </c>
      <c r="I233" s="2">
        <v>46065</v>
      </c>
      <c r="J233" s="1" t="s">
        <v>15</v>
      </c>
      <c r="K233" s="1">
        <v>1232</v>
      </c>
    </row>
    <row r="234" spans="1:11" x14ac:dyDescent="0.3">
      <c r="A234" s="1" t="s">
        <v>58</v>
      </c>
      <c r="B234" s="1" t="s">
        <v>22</v>
      </c>
      <c r="C234" s="1" t="s">
        <v>18</v>
      </c>
      <c r="D234" s="1" t="s">
        <v>19</v>
      </c>
      <c r="E234" s="1">
        <v>20</v>
      </c>
      <c r="F234" s="1">
        <v>13941</v>
      </c>
      <c r="G234" s="1">
        <v>15</v>
      </c>
      <c r="H234" s="2">
        <v>46198</v>
      </c>
      <c r="I234" s="2">
        <v>46202</v>
      </c>
      <c r="J234" s="1" t="s">
        <v>24</v>
      </c>
      <c r="K234" s="1">
        <v>1233</v>
      </c>
    </row>
    <row r="235" spans="1:11" x14ac:dyDescent="0.3">
      <c r="A235" s="1" t="s">
        <v>11</v>
      </c>
      <c r="B235" s="1" t="s">
        <v>25</v>
      </c>
      <c r="C235" s="1" t="s">
        <v>18</v>
      </c>
      <c r="D235" s="1" t="s">
        <v>28</v>
      </c>
      <c r="E235" s="1">
        <v>1</v>
      </c>
      <c r="F235" s="1">
        <v>14320</v>
      </c>
      <c r="G235" s="1">
        <v>12</v>
      </c>
      <c r="H235" s="2">
        <v>46114</v>
      </c>
      <c r="I235" s="2">
        <v>46121</v>
      </c>
      <c r="J235" s="1" t="s">
        <v>51</v>
      </c>
      <c r="K235" s="1">
        <v>1234</v>
      </c>
    </row>
    <row r="236" spans="1:11" x14ac:dyDescent="0.3">
      <c r="A236" s="1" t="s">
        <v>57</v>
      </c>
      <c r="B236" s="1" t="s">
        <v>25</v>
      </c>
      <c r="C236" s="1" t="s">
        <v>13</v>
      </c>
      <c r="D236" s="1" t="s">
        <v>50</v>
      </c>
      <c r="E236" s="1">
        <v>15</v>
      </c>
      <c r="F236" s="1">
        <v>267</v>
      </c>
      <c r="G236" s="1">
        <v>15</v>
      </c>
      <c r="H236" s="2">
        <v>46172</v>
      </c>
      <c r="I236" s="2">
        <v>46177</v>
      </c>
      <c r="J236" s="1" t="s">
        <v>29</v>
      </c>
      <c r="K236" s="1">
        <v>1235</v>
      </c>
    </row>
    <row r="237" spans="1:11" x14ac:dyDescent="0.3">
      <c r="A237" s="1" t="s">
        <v>54</v>
      </c>
      <c r="B237" s="1" t="s">
        <v>43</v>
      </c>
      <c r="C237" s="1" t="s">
        <v>13</v>
      </c>
      <c r="D237" s="1" t="s">
        <v>37</v>
      </c>
      <c r="E237" s="1">
        <v>12</v>
      </c>
      <c r="F237" s="1">
        <v>189</v>
      </c>
      <c r="G237" s="1">
        <v>7</v>
      </c>
      <c r="H237" s="2">
        <v>46164</v>
      </c>
      <c r="I237" s="2">
        <v>46169</v>
      </c>
      <c r="J237" s="1" t="s">
        <v>29</v>
      </c>
      <c r="K237" s="1">
        <v>1236</v>
      </c>
    </row>
    <row r="238" spans="1:11" x14ac:dyDescent="0.3">
      <c r="A238" s="1" t="s">
        <v>46</v>
      </c>
      <c r="B238" s="1" t="s">
        <v>38</v>
      </c>
      <c r="C238" s="1" t="s">
        <v>18</v>
      </c>
      <c r="D238" s="1" t="s">
        <v>56</v>
      </c>
      <c r="E238" s="1">
        <v>8</v>
      </c>
      <c r="F238" s="1">
        <v>12123</v>
      </c>
      <c r="G238" s="1">
        <v>2</v>
      </c>
      <c r="H238" s="2">
        <v>46137</v>
      </c>
      <c r="I238" s="2">
        <v>46145</v>
      </c>
      <c r="J238" s="1" t="s">
        <v>15</v>
      </c>
      <c r="K238" s="1">
        <v>1237</v>
      </c>
    </row>
    <row r="239" spans="1:11" x14ac:dyDescent="0.3">
      <c r="A239" s="1" t="s">
        <v>30</v>
      </c>
      <c r="B239" s="1" t="s">
        <v>31</v>
      </c>
      <c r="C239" s="1" t="s">
        <v>13</v>
      </c>
      <c r="D239" s="1" t="s">
        <v>14</v>
      </c>
      <c r="E239" s="1">
        <v>6</v>
      </c>
      <c r="F239" s="1">
        <v>180</v>
      </c>
      <c r="G239" s="1">
        <v>12</v>
      </c>
      <c r="H239" s="2">
        <v>46096</v>
      </c>
      <c r="I239" s="2">
        <v>46097</v>
      </c>
      <c r="J239" s="1" t="s">
        <v>51</v>
      </c>
      <c r="K239" s="1">
        <v>1238</v>
      </c>
    </row>
    <row r="240" spans="1:11" x14ac:dyDescent="0.3">
      <c r="A240" s="1" t="s">
        <v>48</v>
      </c>
      <c r="B240" s="1" t="s">
        <v>17</v>
      </c>
      <c r="C240" s="1" t="s">
        <v>18</v>
      </c>
      <c r="D240" s="1" t="s">
        <v>56</v>
      </c>
      <c r="E240" s="1">
        <v>2</v>
      </c>
      <c r="F240" s="1">
        <v>12330</v>
      </c>
      <c r="G240" s="1">
        <v>12</v>
      </c>
      <c r="H240" s="2">
        <v>46122</v>
      </c>
      <c r="I240" s="2">
        <v>46125</v>
      </c>
      <c r="J240" s="1" t="s">
        <v>15</v>
      </c>
      <c r="K240" s="1">
        <v>1239</v>
      </c>
    </row>
    <row r="241" spans="1:11" x14ac:dyDescent="0.3">
      <c r="A241" s="1" t="s">
        <v>55</v>
      </c>
      <c r="B241" s="1" t="s">
        <v>33</v>
      </c>
      <c r="C241" s="1" t="s">
        <v>18</v>
      </c>
      <c r="D241" s="1" t="s">
        <v>23</v>
      </c>
      <c r="E241" s="1">
        <v>2</v>
      </c>
      <c r="F241" s="1">
        <v>5475</v>
      </c>
      <c r="G241" s="1">
        <v>2</v>
      </c>
      <c r="H241" s="2">
        <v>46142</v>
      </c>
      <c r="I241" s="2">
        <v>46146</v>
      </c>
      <c r="J241" s="1" t="s">
        <v>29</v>
      </c>
      <c r="K241" s="1">
        <v>1240</v>
      </c>
    </row>
    <row r="242" spans="1:11" x14ac:dyDescent="0.3">
      <c r="A242" s="1" t="s">
        <v>46</v>
      </c>
      <c r="B242" s="1" t="s">
        <v>31</v>
      </c>
      <c r="C242" s="1" t="s">
        <v>18</v>
      </c>
      <c r="D242" s="1" t="s">
        <v>44</v>
      </c>
      <c r="E242" s="1">
        <v>1</v>
      </c>
      <c r="F242" s="1">
        <v>12537</v>
      </c>
      <c r="G242" s="1">
        <v>0</v>
      </c>
      <c r="H242" s="2">
        <v>46119</v>
      </c>
      <c r="I242" s="2">
        <v>46122</v>
      </c>
      <c r="J242" s="1" t="s">
        <v>15</v>
      </c>
      <c r="K242" s="1">
        <v>1241</v>
      </c>
    </row>
    <row r="243" spans="1:11" x14ac:dyDescent="0.3">
      <c r="A243" s="1" t="s">
        <v>54</v>
      </c>
      <c r="B243" s="1" t="s">
        <v>38</v>
      </c>
      <c r="C243" s="1" t="s">
        <v>13</v>
      </c>
      <c r="D243" s="1" t="s">
        <v>50</v>
      </c>
      <c r="E243" s="1">
        <v>7</v>
      </c>
      <c r="F243" s="1">
        <v>168</v>
      </c>
      <c r="G243" s="1">
        <v>10</v>
      </c>
      <c r="H243" s="2">
        <v>46191</v>
      </c>
      <c r="I243" s="2">
        <v>46196</v>
      </c>
      <c r="J243" s="1" t="s">
        <v>51</v>
      </c>
      <c r="K243" s="1">
        <v>1242</v>
      </c>
    </row>
    <row r="244" spans="1:11" x14ac:dyDescent="0.3">
      <c r="A244" s="1" t="s">
        <v>30</v>
      </c>
      <c r="B244" s="1" t="s">
        <v>31</v>
      </c>
      <c r="C244" s="1" t="s">
        <v>34</v>
      </c>
      <c r="D244" s="1" t="s">
        <v>41</v>
      </c>
      <c r="E244" s="1">
        <v>5</v>
      </c>
      <c r="F244" s="1">
        <v>11570</v>
      </c>
      <c r="G244" s="1">
        <v>15</v>
      </c>
      <c r="H244" s="2">
        <v>46069</v>
      </c>
      <c r="I244" s="2">
        <v>46077</v>
      </c>
      <c r="J244" s="1" t="s">
        <v>24</v>
      </c>
      <c r="K244" s="1">
        <v>1243</v>
      </c>
    </row>
    <row r="245" spans="1:11" x14ac:dyDescent="0.3">
      <c r="A245" s="1" t="s">
        <v>57</v>
      </c>
      <c r="B245" s="1" t="s">
        <v>38</v>
      </c>
      <c r="C245" s="1" t="s">
        <v>18</v>
      </c>
      <c r="D245" s="1" t="s">
        <v>28</v>
      </c>
      <c r="E245" s="1">
        <v>10</v>
      </c>
      <c r="F245" s="1">
        <v>6339</v>
      </c>
      <c r="G245" s="1">
        <v>12</v>
      </c>
      <c r="H245" s="2">
        <v>46200</v>
      </c>
      <c r="I245" s="2">
        <v>46205</v>
      </c>
      <c r="J245" s="1" t="s">
        <v>15</v>
      </c>
      <c r="K245" s="1">
        <v>1244</v>
      </c>
    </row>
    <row r="246" spans="1:11" x14ac:dyDescent="0.3">
      <c r="A246" s="1" t="s">
        <v>55</v>
      </c>
      <c r="B246" s="1" t="s">
        <v>43</v>
      </c>
      <c r="C246" s="1" t="s">
        <v>34</v>
      </c>
      <c r="D246" s="1" t="s">
        <v>41</v>
      </c>
      <c r="E246" s="1">
        <v>19</v>
      </c>
      <c r="F246" s="1">
        <v>69029</v>
      </c>
      <c r="G246" s="1">
        <v>7</v>
      </c>
      <c r="H246" s="2">
        <v>46176</v>
      </c>
      <c r="I246" s="2">
        <v>46179</v>
      </c>
      <c r="J246" s="1" t="s">
        <v>29</v>
      </c>
      <c r="K246" s="1">
        <v>1245</v>
      </c>
    </row>
    <row r="247" spans="1:11" x14ac:dyDescent="0.3">
      <c r="A247" s="1" t="s">
        <v>55</v>
      </c>
      <c r="B247" s="1" t="s">
        <v>22</v>
      </c>
      <c r="C247" s="1" t="s">
        <v>34</v>
      </c>
      <c r="D247" s="1" t="s">
        <v>35</v>
      </c>
      <c r="E247" s="1">
        <v>13</v>
      </c>
      <c r="F247" s="1">
        <v>1825</v>
      </c>
      <c r="G247" s="1">
        <v>2</v>
      </c>
      <c r="H247" s="2">
        <v>46039</v>
      </c>
      <c r="I247" s="2">
        <v>46045</v>
      </c>
      <c r="J247" s="1" t="s">
        <v>51</v>
      </c>
      <c r="K247" s="1">
        <v>1246</v>
      </c>
    </row>
    <row r="248" spans="1:11" x14ac:dyDescent="0.3">
      <c r="A248" s="1" t="s">
        <v>26</v>
      </c>
      <c r="B248" s="1" t="s">
        <v>12</v>
      </c>
      <c r="C248" s="1" t="s">
        <v>13</v>
      </c>
      <c r="D248" s="1" t="s">
        <v>50</v>
      </c>
      <c r="E248" s="1">
        <v>10</v>
      </c>
      <c r="F248" s="1">
        <v>336</v>
      </c>
      <c r="G248" s="1">
        <v>7</v>
      </c>
      <c r="H248" s="2">
        <v>46173</v>
      </c>
      <c r="I248" s="2">
        <v>46175</v>
      </c>
      <c r="J248" s="1" t="s">
        <v>20</v>
      </c>
      <c r="K248" s="1">
        <v>1247</v>
      </c>
    </row>
    <row r="249" spans="1:11" x14ac:dyDescent="0.3">
      <c r="A249" s="1" t="s">
        <v>27</v>
      </c>
      <c r="B249" s="1" t="s">
        <v>43</v>
      </c>
      <c r="C249" s="1" t="s">
        <v>13</v>
      </c>
      <c r="D249" s="1" t="s">
        <v>37</v>
      </c>
      <c r="E249" s="1">
        <v>5</v>
      </c>
      <c r="F249" s="1">
        <v>398</v>
      </c>
      <c r="G249" s="1">
        <v>7</v>
      </c>
      <c r="H249" s="2">
        <v>46161</v>
      </c>
      <c r="I249" s="2">
        <v>46171</v>
      </c>
      <c r="J249" s="1" t="s">
        <v>29</v>
      </c>
      <c r="K249" s="1">
        <v>1248</v>
      </c>
    </row>
    <row r="250" spans="1:11" x14ac:dyDescent="0.3">
      <c r="A250" s="1" t="s">
        <v>16</v>
      </c>
      <c r="B250" s="1" t="s">
        <v>25</v>
      </c>
      <c r="C250" s="1" t="s">
        <v>34</v>
      </c>
      <c r="D250" s="1" t="s">
        <v>41</v>
      </c>
      <c r="E250" s="1">
        <v>18</v>
      </c>
      <c r="F250" s="1">
        <v>6360</v>
      </c>
      <c r="G250" s="1">
        <v>12</v>
      </c>
      <c r="H250" s="2">
        <v>46163</v>
      </c>
      <c r="I250" s="2">
        <v>46165</v>
      </c>
      <c r="J250" s="1" t="s">
        <v>20</v>
      </c>
      <c r="K250" s="1">
        <v>1249</v>
      </c>
    </row>
    <row r="251" spans="1:11" x14ac:dyDescent="0.3">
      <c r="A251" s="1" t="s">
        <v>11</v>
      </c>
      <c r="B251" s="1" t="s">
        <v>17</v>
      </c>
      <c r="C251" s="1" t="s">
        <v>34</v>
      </c>
      <c r="D251" s="1" t="s">
        <v>45</v>
      </c>
      <c r="E251" s="1">
        <v>2</v>
      </c>
      <c r="F251" s="1">
        <v>65953</v>
      </c>
      <c r="G251" s="1">
        <v>7</v>
      </c>
      <c r="H251" s="2">
        <v>46051</v>
      </c>
      <c r="I251" s="2">
        <v>46053</v>
      </c>
      <c r="J251" s="1" t="s">
        <v>29</v>
      </c>
      <c r="K251" s="1">
        <v>1250</v>
      </c>
    </row>
    <row r="252" spans="1:11" x14ac:dyDescent="0.3">
      <c r="A252" s="1" t="s">
        <v>55</v>
      </c>
      <c r="B252" s="1" t="s">
        <v>38</v>
      </c>
      <c r="C252" s="1" t="s">
        <v>34</v>
      </c>
      <c r="D252" s="1" t="s">
        <v>61</v>
      </c>
      <c r="E252" s="1">
        <v>19</v>
      </c>
      <c r="F252" s="1">
        <v>48548</v>
      </c>
      <c r="G252" s="1">
        <v>0</v>
      </c>
      <c r="H252" s="2">
        <v>46112</v>
      </c>
      <c r="I252" s="2">
        <v>46121</v>
      </c>
      <c r="J252" s="1" t="s">
        <v>51</v>
      </c>
      <c r="K252" s="1">
        <v>1251</v>
      </c>
    </row>
    <row r="253" spans="1:11" x14ac:dyDescent="0.3">
      <c r="A253" s="1" t="s">
        <v>47</v>
      </c>
      <c r="B253" s="1" t="s">
        <v>25</v>
      </c>
      <c r="C253" s="1" t="s">
        <v>13</v>
      </c>
      <c r="D253" s="1" t="s">
        <v>36</v>
      </c>
      <c r="E253" s="1">
        <v>15</v>
      </c>
      <c r="F253" s="1">
        <v>257</v>
      </c>
      <c r="G253" s="1">
        <v>5</v>
      </c>
      <c r="H253" s="2">
        <v>46166</v>
      </c>
      <c r="I253" s="2">
        <v>46173</v>
      </c>
      <c r="J253" s="1" t="s">
        <v>20</v>
      </c>
      <c r="K253" s="1">
        <v>1252</v>
      </c>
    </row>
    <row r="254" spans="1:11" x14ac:dyDescent="0.3">
      <c r="A254" s="1" t="s">
        <v>21</v>
      </c>
      <c r="B254" s="1" t="s">
        <v>31</v>
      </c>
      <c r="C254" s="1" t="s">
        <v>34</v>
      </c>
      <c r="D254" s="1" t="s">
        <v>45</v>
      </c>
      <c r="E254" s="1">
        <v>20</v>
      </c>
      <c r="F254" s="1">
        <v>47880</v>
      </c>
      <c r="G254" s="1">
        <v>7</v>
      </c>
      <c r="H254" s="2">
        <v>46074</v>
      </c>
      <c r="I254" s="2">
        <v>46075</v>
      </c>
      <c r="J254" s="1" t="s">
        <v>29</v>
      </c>
      <c r="K254" s="1">
        <v>1253</v>
      </c>
    </row>
    <row r="255" spans="1:11" x14ac:dyDescent="0.3">
      <c r="A255" s="1" t="s">
        <v>52</v>
      </c>
      <c r="B255" s="1" t="s">
        <v>22</v>
      </c>
      <c r="C255" s="1" t="s">
        <v>13</v>
      </c>
      <c r="D255" s="1" t="s">
        <v>50</v>
      </c>
      <c r="E255" s="1">
        <v>18</v>
      </c>
      <c r="F255" s="1">
        <v>447</v>
      </c>
      <c r="G255" s="1">
        <v>15</v>
      </c>
      <c r="H255" s="2">
        <v>46141</v>
      </c>
      <c r="I255" s="2">
        <v>46149</v>
      </c>
      <c r="J255" s="1" t="s">
        <v>24</v>
      </c>
      <c r="K255" s="1">
        <v>1254</v>
      </c>
    </row>
    <row r="256" spans="1:11" x14ac:dyDescent="0.3">
      <c r="A256" s="1" t="s">
        <v>32</v>
      </c>
      <c r="B256" s="1" t="s">
        <v>17</v>
      </c>
      <c r="C256" s="1" t="s">
        <v>18</v>
      </c>
      <c r="D256" s="1" t="s">
        <v>19</v>
      </c>
      <c r="E256" s="1">
        <v>1</v>
      </c>
      <c r="F256" s="1">
        <v>2240</v>
      </c>
      <c r="G256" s="1">
        <v>5</v>
      </c>
      <c r="H256" s="2">
        <v>46091</v>
      </c>
      <c r="I256" s="2">
        <v>46095</v>
      </c>
      <c r="J256" s="1" t="s">
        <v>20</v>
      </c>
      <c r="K256" s="1">
        <v>1255</v>
      </c>
    </row>
    <row r="257" spans="1:11" x14ac:dyDescent="0.3">
      <c r="A257" s="1" t="s">
        <v>48</v>
      </c>
      <c r="B257" s="1" t="s">
        <v>31</v>
      </c>
      <c r="C257" s="1" t="s">
        <v>13</v>
      </c>
      <c r="D257" s="1" t="s">
        <v>50</v>
      </c>
      <c r="E257" s="1">
        <v>19</v>
      </c>
      <c r="F257" s="1">
        <v>406</v>
      </c>
      <c r="G257" s="1">
        <v>7</v>
      </c>
      <c r="H257" s="2">
        <v>46057</v>
      </c>
      <c r="I257" s="2">
        <v>46061</v>
      </c>
      <c r="J257" s="1" t="s">
        <v>15</v>
      </c>
      <c r="K257" s="1">
        <v>1256</v>
      </c>
    </row>
    <row r="258" spans="1:11" x14ac:dyDescent="0.3">
      <c r="A258" s="1" t="s">
        <v>54</v>
      </c>
      <c r="B258" s="1" t="s">
        <v>25</v>
      </c>
      <c r="C258" s="1" t="s">
        <v>34</v>
      </c>
      <c r="D258" s="1" t="s">
        <v>61</v>
      </c>
      <c r="E258" s="1">
        <v>7</v>
      </c>
      <c r="F258" s="1">
        <v>53243</v>
      </c>
      <c r="G258" s="1">
        <v>12</v>
      </c>
      <c r="H258" s="2">
        <v>46161</v>
      </c>
      <c r="I258" s="2">
        <v>46171</v>
      </c>
      <c r="J258" s="1" t="s">
        <v>15</v>
      </c>
      <c r="K258" s="1">
        <v>1257</v>
      </c>
    </row>
    <row r="259" spans="1:11" x14ac:dyDescent="0.3">
      <c r="A259" s="1" t="s">
        <v>32</v>
      </c>
      <c r="B259" s="1" t="s">
        <v>31</v>
      </c>
      <c r="C259" s="1" t="s">
        <v>34</v>
      </c>
      <c r="D259" s="1" t="s">
        <v>60</v>
      </c>
      <c r="E259" s="1">
        <v>1</v>
      </c>
      <c r="F259" s="1">
        <v>10600</v>
      </c>
      <c r="G259" s="1">
        <v>5</v>
      </c>
      <c r="H259" s="2">
        <v>46137</v>
      </c>
      <c r="I259" s="2">
        <v>46138</v>
      </c>
      <c r="J259" s="1" t="s">
        <v>29</v>
      </c>
      <c r="K259" s="1">
        <v>1258</v>
      </c>
    </row>
    <row r="260" spans="1:11" x14ac:dyDescent="0.3">
      <c r="A260" s="1" t="s">
        <v>42</v>
      </c>
      <c r="B260" s="1" t="s">
        <v>22</v>
      </c>
      <c r="C260" s="1" t="s">
        <v>34</v>
      </c>
      <c r="D260" s="1" t="s">
        <v>45</v>
      </c>
      <c r="E260" s="1">
        <v>10</v>
      </c>
      <c r="F260" s="1">
        <v>38771</v>
      </c>
      <c r="G260" s="1">
        <v>15</v>
      </c>
      <c r="H260" s="2">
        <v>46172</v>
      </c>
      <c r="I260" s="2">
        <v>46182</v>
      </c>
      <c r="J260" s="1" t="s">
        <v>15</v>
      </c>
      <c r="K260" s="1">
        <v>1259</v>
      </c>
    </row>
    <row r="261" spans="1:11" x14ac:dyDescent="0.3">
      <c r="A261" s="1" t="s">
        <v>54</v>
      </c>
      <c r="B261" s="1" t="s">
        <v>38</v>
      </c>
      <c r="C261" s="1" t="s">
        <v>34</v>
      </c>
      <c r="D261" s="1" t="s">
        <v>41</v>
      </c>
      <c r="E261" s="1">
        <v>19</v>
      </c>
      <c r="F261" s="1">
        <v>54981</v>
      </c>
      <c r="G261" s="1">
        <v>10</v>
      </c>
      <c r="H261" s="2">
        <v>46040</v>
      </c>
      <c r="I261" s="2">
        <v>46045</v>
      </c>
      <c r="J261" s="1" t="s">
        <v>29</v>
      </c>
      <c r="K261" s="1">
        <v>1260</v>
      </c>
    </row>
    <row r="262" spans="1:11" x14ac:dyDescent="0.3">
      <c r="A262" s="1" t="s">
        <v>40</v>
      </c>
      <c r="B262" s="1" t="s">
        <v>17</v>
      </c>
      <c r="C262" s="1" t="s">
        <v>13</v>
      </c>
      <c r="D262" s="1" t="s">
        <v>50</v>
      </c>
      <c r="E262" s="1">
        <v>20</v>
      </c>
      <c r="F262" s="1">
        <v>162</v>
      </c>
      <c r="G262" s="1">
        <v>7</v>
      </c>
      <c r="H262" s="2">
        <v>46119</v>
      </c>
      <c r="I262" s="2">
        <v>46120</v>
      </c>
      <c r="J262" s="1" t="s">
        <v>51</v>
      </c>
      <c r="K262" s="1">
        <v>1261</v>
      </c>
    </row>
    <row r="263" spans="1:11" x14ac:dyDescent="0.3">
      <c r="A263" s="1" t="s">
        <v>16</v>
      </c>
      <c r="B263" s="1" t="s">
        <v>22</v>
      </c>
      <c r="C263" s="1" t="s">
        <v>18</v>
      </c>
      <c r="D263" s="1" t="s">
        <v>28</v>
      </c>
      <c r="E263" s="1">
        <v>9</v>
      </c>
      <c r="F263" s="1">
        <v>2231</v>
      </c>
      <c r="G263" s="1">
        <v>15</v>
      </c>
      <c r="H263" s="2">
        <v>46174</v>
      </c>
      <c r="I263" s="2">
        <v>46183</v>
      </c>
      <c r="J263" s="1" t="s">
        <v>15</v>
      </c>
      <c r="K263" s="1">
        <v>1262</v>
      </c>
    </row>
    <row r="264" spans="1:11" x14ac:dyDescent="0.3">
      <c r="A264" s="1" t="s">
        <v>29</v>
      </c>
      <c r="B264" s="1" t="s">
        <v>38</v>
      </c>
      <c r="C264" s="1" t="s">
        <v>18</v>
      </c>
      <c r="D264" s="1" t="s">
        <v>28</v>
      </c>
      <c r="E264" s="1">
        <v>10</v>
      </c>
      <c r="F264" s="1">
        <v>1505</v>
      </c>
      <c r="G264" s="1">
        <v>0</v>
      </c>
      <c r="H264" s="2">
        <v>46130</v>
      </c>
      <c r="I264" s="2">
        <v>46138</v>
      </c>
      <c r="J264" s="1" t="s">
        <v>51</v>
      </c>
      <c r="K264" s="1">
        <v>1263</v>
      </c>
    </row>
    <row r="265" spans="1:11" x14ac:dyDescent="0.3">
      <c r="A265" s="1" t="s">
        <v>11</v>
      </c>
      <c r="B265" s="1" t="s">
        <v>22</v>
      </c>
      <c r="C265" s="1" t="s">
        <v>18</v>
      </c>
      <c r="D265" s="1" t="s">
        <v>28</v>
      </c>
      <c r="E265" s="1">
        <v>15</v>
      </c>
      <c r="F265" s="1">
        <v>6365</v>
      </c>
      <c r="G265" s="1">
        <v>10</v>
      </c>
      <c r="H265" s="2">
        <v>46200</v>
      </c>
      <c r="I265" s="2">
        <v>46206</v>
      </c>
      <c r="J265" s="1" t="s">
        <v>20</v>
      </c>
      <c r="K265" s="1">
        <v>1264</v>
      </c>
    </row>
    <row r="266" spans="1:11" x14ac:dyDescent="0.3">
      <c r="A266" s="1" t="s">
        <v>58</v>
      </c>
      <c r="B266" s="1" t="s">
        <v>22</v>
      </c>
      <c r="C266" s="1" t="s">
        <v>18</v>
      </c>
      <c r="D266" s="1" t="s">
        <v>19</v>
      </c>
      <c r="E266" s="1">
        <v>1</v>
      </c>
      <c r="F266" s="1">
        <v>1052</v>
      </c>
      <c r="G266" s="1">
        <v>7</v>
      </c>
      <c r="H266" s="2">
        <v>46117</v>
      </c>
      <c r="I266" s="2">
        <v>46127</v>
      </c>
      <c r="J266" s="1" t="s">
        <v>51</v>
      </c>
      <c r="K266" s="1">
        <v>1265</v>
      </c>
    </row>
    <row r="267" spans="1:11" x14ac:dyDescent="0.3">
      <c r="A267" s="1" t="s">
        <v>29</v>
      </c>
      <c r="B267" s="1" t="s">
        <v>33</v>
      </c>
      <c r="C267" s="1" t="s">
        <v>13</v>
      </c>
      <c r="D267" s="1" t="s">
        <v>14</v>
      </c>
      <c r="E267" s="1">
        <v>17</v>
      </c>
      <c r="F267" s="1">
        <v>365</v>
      </c>
      <c r="G267" s="1">
        <v>2</v>
      </c>
      <c r="H267" s="2">
        <v>46096</v>
      </c>
      <c r="I267" s="2">
        <v>46104</v>
      </c>
      <c r="J267" s="1" t="s">
        <v>51</v>
      </c>
      <c r="K267" s="1">
        <v>1266</v>
      </c>
    </row>
    <row r="268" spans="1:11" x14ac:dyDescent="0.3">
      <c r="A268" s="1" t="s">
        <v>27</v>
      </c>
      <c r="B268" s="1" t="s">
        <v>38</v>
      </c>
      <c r="C268" s="1" t="s">
        <v>13</v>
      </c>
      <c r="D268" s="1" t="s">
        <v>50</v>
      </c>
      <c r="E268" s="1">
        <v>1</v>
      </c>
      <c r="F268" s="1">
        <v>50</v>
      </c>
      <c r="G268" s="1">
        <v>0</v>
      </c>
      <c r="H268" s="2">
        <v>46129</v>
      </c>
      <c r="I268" s="2">
        <v>46138</v>
      </c>
      <c r="J268" s="1" t="s">
        <v>20</v>
      </c>
      <c r="K268" s="1">
        <v>1267</v>
      </c>
    </row>
    <row r="269" spans="1:11" x14ac:dyDescent="0.3">
      <c r="A269" s="1" t="s">
        <v>42</v>
      </c>
      <c r="B269" s="1" t="s">
        <v>38</v>
      </c>
      <c r="C269" s="1" t="s">
        <v>34</v>
      </c>
      <c r="D269" s="1" t="s">
        <v>45</v>
      </c>
      <c r="E269" s="1">
        <v>10</v>
      </c>
      <c r="F269" s="1">
        <v>46291</v>
      </c>
      <c r="G269" s="1">
        <v>12</v>
      </c>
      <c r="H269" s="2">
        <v>46199</v>
      </c>
      <c r="I269" s="2">
        <v>46202</v>
      </c>
      <c r="J269" s="1" t="s">
        <v>20</v>
      </c>
      <c r="K269" s="1">
        <v>1268</v>
      </c>
    </row>
    <row r="270" spans="1:11" x14ac:dyDescent="0.3">
      <c r="A270" s="1" t="s">
        <v>52</v>
      </c>
      <c r="B270" s="1" t="s">
        <v>43</v>
      </c>
      <c r="C270" s="1" t="s">
        <v>18</v>
      </c>
      <c r="D270" s="1" t="s">
        <v>19</v>
      </c>
      <c r="E270" s="1">
        <v>14</v>
      </c>
      <c r="F270" s="1">
        <v>5704</v>
      </c>
      <c r="G270" s="1">
        <v>2</v>
      </c>
      <c r="H270" s="2">
        <v>46129</v>
      </c>
      <c r="I270" s="2">
        <v>46131</v>
      </c>
      <c r="J270" s="1" t="s">
        <v>15</v>
      </c>
      <c r="K270" s="1">
        <v>1269</v>
      </c>
    </row>
    <row r="271" spans="1:11" x14ac:dyDescent="0.3">
      <c r="A271" s="1" t="s">
        <v>49</v>
      </c>
      <c r="B271" s="1" t="s">
        <v>43</v>
      </c>
      <c r="C271" s="1" t="s">
        <v>34</v>
      </c>
      <c r="D271" s="1" t="s">
        <v>35</v>
      </c>
      <c r="E271" s="1">
        <v>16</v>
      </c>
      <c r="F271" s="1">
        <v>62941</v>
      </c>
      <c r="G271" s="1">
        <v>7</v>
      </c>
      <c r="H271" s="2">
        <v>46135</v>
      </c>
      <c r="I271" s="2">
        <v>46141</v>
      </c>
      <c r="J271" s="1" t="s">
        <v>51</v>
      </c>
      <c r="K271" s="1">
        <v>1270</v>
      </c>
    </row>
    <row r="272" spans="1:11" x14ac:dyDescent="0.3">
      <c r="A272" s="1" t="s">
        <v>40</v>
      </c>
      <c r="B272" s="1" t="s">
        <v>33</v>
      </c>
      <c r="C272" s="1" t="s">
        <v>34</v>
      </c>
      <c r="D272" s="1" t="s">
        <v>60</v>
      </c>
      <c r="E272" s="1">
        <v>20</v>
      </c>
      <c r="F272" s="1">
        <v>36941</v>
      </c>
      <c r="G272" s="1">
        <v>15</v>
      </c>
      <c r="H272" s="2">
        <v>46083</v>
      </c>
      <c r="I272" s="2">
        <v>46085</v>
      </c>
      <c r="J272" s="1" t="s">
        <v>29</v>
      </c>
      <c r="K272" s="1">
        <v>1271</v>
      </c>
    </row>
    <row r="273" spans="1:11" x14ac:dyDescent="0.3">
      <c r="A273" s="1" t="s">
        <v>52</v>
      </c>
      <c r="B273" s="1" t="s">
        <v>38</v>
      </c>
      <c r="C273" s="1" t="s">
        <v>34</v>
      </c>
      <c r="D273" s="1" t="s">
        <v>41</v>
      </c>
      <c r="E273" s="1">
        <v>13</v>
      </c>
      <c r="F273" s="1">
        <v>42179</v>
      </c>
      <c r="G273" s="1">
        <v>0</v>
      </c>
      <c r="H273" s="2">
        <v>46078</v>
      </c>
      <c r="I273" s="2">
        <v>46084</v>
      </c>
      <c r="J273" s="1" t="s">
        <v>20</v>
      </c>
      <c r="K273" s="1">
        <v>1272</v>
      </c>
    </row>
    <row r="274" spans="1:11" x14ac:dyDescent="0.3">
      <c r="A274" s="1" t="s">
        <v>46</v>
      </c>
      <c r="B274" s="1" t="s">
        <v>25</v>
      </c>
      <c r="C274" s="1" t="s">
        <v>34</v>
      </c>
      <c r="D274" s="1" t="s">
        <v>39</v>
      </c>
      <c r="E274" s="1">
        <v>12</v>
      </c>
      <c r="F274" s="1">
        <v>20618</v>
      </c>
      <c r="G274" s="1">
        <v>12</v>
      </c>
      <c r="H274" s="2">
        <v>46172</v>
      </c>
      <c r="I274" s="2">
        <v>46174</v>
      </c>
      <c r="J274" s="1" t="s">
        <v>20</v>
      </c>
      <c r="K274" s="1">
        <v>1273</v>
      </c>
    </row>
    <row r="275" spans="1:11" x14ac:dyDescent="0.3">
      <c r="A275" s="1" t="s">
        <v>26</v>
      </c>
      <c r="B275" s="1" t="s">
        <v>25</v>
      </c>
      <c r="C275" s="1" t="s">
        <v>34</v>
      </c>
      <c r="D275" s="1" t="s">
        <v>41</v>
      </c>
      <c r="E275" s="1">
        <v>13</v>
      </c>
      <c r="F275" s="1">
        <v>36652</v>
      </c>
      <c r="G275" s="1">
        <v>12</v>
      </c>
      <c r="H275" s="2">
        <v>46179</v>
      </c>
      <c r="I275" s="2">
        <v>46186</v>
      </c>
      <c r="J275" s="1" t="s">
        <v>20</v>
      </c>
      <c r="K275" s="1">
        <v>1274</v>
      </c>
    </row>
    <row r="276" spans="1:11" x14ac:dyDescent="0.3">
      <c r="A276" s="1" t="s">
        <v>16</v>
      </c>
      <c r="B276" s="1" t="s">
        <v>31</v>
      </c>
      <c r="C276" s="1" t="s">
        <v>13</v>
      </c>
      <c r="D276" s="1" t="s">
        <v>50</v>
      </c>
      <c r="E276" s="1">
        <v>20</v>
      </c>
      <c r="F276" s="1">
        <v>451</v>
      </c>
      <c r="G276" s="1">
        <v>15</v>
      </c>
      <c r="H276" s="2">
        <v>46092</v>
      </c>
      <c r="I276" s="2">
        <v>46094</v>
      </c>
      <c r="J276" s="1" t="s">
        <v>20</v>
      </c>
      <c r="K276" s="1">
        <v>1275</v>
      </c>
    </row>
    <row r="277" spans="1:11" x14ac:dyDescent="0.3">
      <c r="A277" s="1" t="s">
        <v>40</v>
      </c>
      <c r="B277" s="1" t="s">
        <v>12</v>
      </c>
      <c r="C277" s="1" t="s">
        <v>18</v>
      </c>
      <c r="D277" s="1" t="s">
        <v>19</v>
      </c>
      <c r="E277" s="1">
        <v>1</v>
      </c>
      <c r="F277" s="1">
        <v>13437</v>
      </c>
      <c r="G277" s="1">
        <v>15</v>
      </c>
      <c r="H277" s="2">
        <v>46097</v>
      </c>
      <c r="I277" s="2">
        <v>46099</v>
      </c>
      <c r="J277" s="1" t="s">
        <v>24</v>
      </c>
      <c r="K277" s="1">
        <v>1276</v>
      </c>
    </row>
    <row r="278" spans="1:11" x14ac:dyDescent="0.3">
      <c r="A278" s="1" t="s">
        <v>59</v>
      </c>
      <c r="B278" s="1" t="s">
        <v>17</v>
      </c>
      <c r="C278" s="1" t="s">
        <v>13</v>
      </c>
      <c r="D278" s="1" t="s">
        <v>36</v>
      </c>
      <c r="E278" s="1">
        <v>14</v>
      </c>
      <c r="F278" s="1">
        <v>276</v>
      </c>
      <c r="G278" s="1">
        <v>0</v>
      </c>
      <c r="H278" s="2">
        <v>46086</v>
      </c>
      <c r="I278" s="2">
        <v>46089</v>
      </c>
      <c r="J278" s="1" t="s">
        <v>15</v>
      </c>
      <c r="K278" s="1">
        <v>1277</v>
      </c>
    </row>
    <row r="279" spans="1:11" x14ac:dyDescent="0.3">
      <c r="A279" s="1" t="s">
        <v>47</v>
      </c>
      <c r="B279" s="1" t="s">
        <v>22</v>
      </c>
      <c r="C279" s="1" t="s">
        <v>34</v>
      </c>
      <c r="D279" s="1" t="s">
        <v>61</v>
      </c>
      <c r="E279" s="1">
        <v>4</v>
      </c>
      <c r="F279" s="1">
        <v>20639</v>
      </c>
      <c r="G279" s="1">
        <v>7</v>
      </c>
      <c r="H279" s="2">
        <v>46180</v>
      </c>
      <c r="I279" s="2">
        <v>46186</v>
      </c>
      <c r="J279" s="1" t="s">
        <v>20</v>
      </c>
      <c r="K279" s="1">
        <v>1278</v>
      </c>
    </row>
    <row r="280" spans="1:11" x14ac:dyDescent="0.3">
      <c r="A280" s="1" t="s">
        <v>55</v>
      </c>
      <c r="B280" s="1" t="s">
        <v>33</v>
      </c>
      <c r="C280" s="1" t="s">
        <v>34</v>
      </c>
      <c r="D280" s="1" t="s">
        <v>45</v>
      </c>
      <c r="E280" s="1">
        <v>20</v>
      </c>
      <c r="F280" s="1">
        <v>49042</v>
      </c>
      <c r="G280" s="1">
        <v>2</v>
      </c>
      <c r="H280" s="2">
        <v>46124</v>
      </c>
      <c r="I280" s="2">
        <v>46126</v>
      </c>
      <c r="J280" s="1" t="s">
        <v>15</v>
      </c>
      <c r="K280" s="1">
        <v>1279</v>
      </c>
    </row>
    <row r="281" spans="1:11" x14ac:dyDescent="0.3">
      <c r="A281" s="1" t="s">
        <v>59</v>
      </c>
      <c r="B281" s="1" t="s">
        <v>38</v>
      </c>
      <c r="C281" s="1" t="s">
        <v>13</v>
      </c>
      <c r="D281" s="1" t="s">
        <v>53</v>
      </c>
      <c r="E281" s="1">
        <v>9</v>
      </c>
      <c r="F281" s="1">
        <v>50</v>
      </c>
      <c r="G281" s="1">
        <v>7</v>
      </c>
      <c r="H281" s="2">
        <v>46085</v>
      </c>
      <c r="I281" s="2">
        <v>46095</v>
      </c>
      <c r="J281" s="1" t="s">
        <v>51</v>
      </c>
      <c r="K281" s="1">
        <v>1280</v>
      </c>
    </row>
    <row r="282" spans="1:11" x14ac:dyDescent="0.3">
      <c r="A282" s="1" t="s">
        <v>55</v>
      </c>
      <c r="B282" s="1" t="s">
        <v>17</v>
      </c>
      <c r="C282" s="1" t="s">
        <v>13</v>
      </c>
      <c r="D282" s="1" t="s">
        <v>50</v>
      </c>
      <c r="E282" s="1">
        <v>6</v>
      </c>
      <c r="F282" s="1">
        <v>253</v>
      </c>
      <c r="G282" s="1">
        <v>0</v>
      </c>
      <c r="H282" s="2">
        <v>46055</v>
      </c>
      <c r="I282" s="2">
        <v>46063</v>
      </c>
      <c r="J282" s="1" t="s">
        <v>24</v>
      </c>
      <c r="K282" s="1">
        <v>1281</v>
      </c>
    </row>
    <row r="283" spans="1:11" x14ac:dyDescent="0.3">
      <c r="A283" s="1" t="s">
        <v>57</v>
      </c>
      <c r="B283" s="1" t="s">
        <v>43</v>
      </c>
      <c r="C283" s="1" t="s">
        <v>18</v>
      </c>
      <c r="D283" s="1" t="s">
        <v>44</v>
      </c>
      <c r="E283" s="1">
        <v>12</v>
      </c>
      <c r="F283" s="1">
        <v>3178</v>
      </c>
      <c r="G283" s="1">
        <v>10</v>
      </c>
      <c r="H283" s="2">
        <v>46176</v>
      </c>
      <c r="I283" s="2">
        <v>46177</v>
      </c>
      <c r="J283" s="1" t="s">
        <v>29</v>
      </c>
      <c r="K283" s="1">
        <v>1282</v>
      </c>
    </row>
    <row r="284" spans="1:11" x14ac:dyDescent="0.3">
      <c r="A284" s="1" t="s">
        <v>40</v>
      </c>
      <c r="B284" s="1" t="s">
        <v>12</v>
      </c>
      <c r="C284" s="1" t="s">
        <v>18</v>
      </c>
      <c r="D284" s="1" t="s">
        <v>23</v>
      </c>
      <c r="E284" s="1">
        <v>6</v>
      </c>
      <c r="F284" s="1">
        <v>1167</v>
      </c>
      <c r="G284" s="1">
        <v>2</v>
      </c>
      <c r="H284" s="2">
        <v>46100</v>
      </c>
      <c r="I284" s="2">
        <v>46106</v>
      </c>
      <c r="J284" s="1" t="s">
        <v>15</v>
      </c>
      <c r="K284" s="1">
        <v>1283</v>
      </c>
    </row>
    <row r="285" spans="1:11" x14ac:dyDescent="0.3">
      <c r="A285" s="1" t="s">
        <v>40</v>
      </c>
      <c r="B285" s="1" t="s">
        <v>25</v>
      </c>
      <c r="C285" s="1" t="s">
        <v>13</v>
      </c>
      <c r="D285" s="1" t="s">
        <v>37</v>
      </c>
      <c r="E285" s="1">
        <v>16</v>
      </c>
      <c r="F285" s="1">
        <v>419</v>
      </c>
      <c r="G285" s="1">
        <v>2</v>
      </c>
      <c r="H285" s="2">
        <v>46082</v>
      </c>
      <c r="I285" s="2">
        <v>46090</v>
      </c>
      <c r="J285" s="1" t="s">
        <v>15</v>
      </c>
      <c r="K285" s="1">
        <v>1284</v>
      </c>
    </row>
    <row r="286" spans="1:11" x14ac:dyDescent="0.3">
      <c r="A286" s="1" t="s">
        <v>32</v>
      </c>
      <c r="B286" s="1" t="s">
        <v>38</v>
      </c>
      <c r="C286" s="1" t="s">
        <v>13</v>
      </c>
      <c r="D286" s="1" t="s">
        <v>36</v>
      </c>
      <c r="E286" s="1">
        <v>7</v>
      </c>
      <c r="F286" s="1">
        <v>439</v>
      </c>
      <c r="G286" s="1">
        <v>15</v>
      </c>
      <c r="H286" s="2">
        <v>46055</v>
      </c>
      <c r="I286" s="2">
        <v>46058</v>
      </c>
      <c r="J286" s="1" t="s">
        <v>20</v>
      </c>
      <c r="K286" s="1">
        <v>1285</v>
      </c>
    </row>
    <row r="287" spans="1:11" x14ac:dyDescent="0.3">
      <c r="A287" s="1" t="s">
        <v>46</v>
      </c>
      <c r="B287" s="1" t="s">
        <v>17</v>
      </c>
      <c r="C287" s="1" t="s">
        <v>18</v>
      </c>
      <c r="D287" s="1" t="s">
        <v>56</v>
      </c>
      <c r="E287" s="1">
        <v>9</v>
      </c>
      <c r="F287" s="1">
        <v>1340</v>
      </c>
      <c r="G287" s="1">
        <v>2</v>
      </c>
      <c r="H287" s="2">
        <v>46168</v>
      </c>
      <c r="I287" s="2">
        <v>46173</v>
      </c>
      <c r="J287" s="1" t="s">
        <v>15</v>
      </c>
      <c r="K287" s="1">
        <v>1286</v>
      </c>
    </row>
    <row r="288" spans="1:11" x14ac:dyDescent="0.3">
      <c r="A288" s="1" t="s">
        <v>59</v>
      </c>
      <c r="B288" s="1" t="s">
        <v>31</v>
      </c>
      <c r="C288" s="1" t="s">
        <v>13</v>
      </c>
      <c r="D288" s="1" t="s">
        <v>14</v>
      </c>
      <c r="E288" s="1">
        <v>15</v>
      </c>
      <c r="F288" s="1">
        <v>251</v>
      </c>
      <c r="G288" s="1">
        <v>2</v>
      </c>
      <c r="H288" s="2">
        <v>46116</v>
      </c>
      <c r="I288" s="2">
        <v>46122</v>
      </c>
      <c r="J288" s="1" t="s">
        <v>51</v>
      </c>
      <c r="K288" s="1">
        <v>1287</v>
      </c>
    </row>
    <row r="289" spans="1:11" x14ac:dyDescent="0.3">
      <c r="A289" s="1" t="s">
        <v>54</v>
      </c>
      <c r="B289" s="1" t="s">
        <v>22</v>
      </c>
      <c r="C289" s="1" t="s">
        <v>34</v>
      </c>
      <c r="D289" s="1" t="s">
        <v>60</v>
      </c>
      <c r="E289" s="1">
        <v>14</v>
      </c>
      <c r="F289" s="1">
        <v>35601</v>
      </c>
      <c r="G289" s="1">
        <v>10</v>
      </c>
      <c r="H289" s="2">
        <v>46179</v>
      </c>
      <c r="I289" s="2">
        <v>46187</v>
      </c>
      <c r="J289" s="1" t="s">
        <v>29</v>
      </c>
      <c r="K289" s="1">
        <v>1288</v>
      </c>
    </row>
    <row r="290" spans="1:11" x14ac:dyDescent="0.3">
      <c r="A290" s="1" t="s">
        <v>26</v>
      </c>
      <c r="B290" s="1" t="s">
        <v>22</v>
      </c>
      <c r="C290" s="1" t="s">
        <v>34</v>
      </c>
      <c r="D290" s="1" t="s">
        <v>45</v>
      </c>
      <c r="E290" s="1">
        <v>19</v>
      </c>
      <c r="F290" s="1">
        <v>25336</v>
      </c>
      <c r="G290" s="1">
        <v>2</v>
      </c>
      <c r="H290" s="2">
        <v>46122</v>
      </c>
      <c r="I290" s="2">
        <v>46130</v>
      </c>
      <c r="J290" s="1" t="s">
        <v>24</v>
      </c>
      <c r="K290" s="1">
        <v>1289</v>
      </c>
    </row>
    <row r="291" spans="1:11" x14ac:dyDescent="0.3">
      <c r="A291" s="1" t="s">
        <v>26</v>
      </c>
      <c r="B291" s="1" t="s">
        <v>22</v>
      </c>
      <c r="C291" s="1" t="s">
        <v>34</v>
      </c>
      <c r="D291" s="1" t="s">
        <v>35</v>
      </c>
      <c r="E291" s="1">
        <v>3</v>
      </c>
      <c r="F291" s="1">
        <v>69793</v>
      </c>
      <c r="G291" s="1">
        <v>15</v>
      </c>
      <c r="H291" s="2">
        <v>46110</v>
      </c>
      <c r="I291" s="2">
        <v>46111</v>
      </c>
      <c r="J291" s="1" t="s">
        <v>29</v>
      </c>
      <c r="K291" s="1">
        <v>1290</v>
      </c>
    </row>
    <row r="292" spans="1:11" x14ac:dyDescent="0.3">
      <c r="A292" s="1" t="s">
        <v>21</v>
      </c>
      <c r="B292" s="1" t="s">
        <v>17</v>
      </c>
      <c r="C292" s="1" t="s">
        <v>13</v>
      </c>
      <c r="D292" s="1" t="s">
        <v>36</v>
      </c>
      <c r="E292" s="1">
        <v>17</v>
      </c>
      <c r="F292" s="1">
        <v>415</v>
      </c>
      <c r="G292" s="1">
        <v>5</v>
      </c>
      <c r="H292" s="2">
        <v>46137</v>
      </c>
      <c r="I292" s="2">
        <v>46141</v>
      </c>
      <c r="J292" s="1" t="s">
        <v>20</v>
      </c>
      <c r="K292" s="1">
        <v>1291</v>
      </c>
    </row>
    <row r="293" spans="1:11" x14ac:dyDescent="0.3">
      <c r="A293" s="1" t="s">
        <v>54</v>
      </c>
      <c r="B293" s="1" t="s">
        <v>33</v>
      </c>
      <c r="C293" s="1" t="s">
        <v>34</v>
      </c>
      <c r="D293" s="1" t="s">
        <v>61</v>
      </c>
      <c r="E293" s="1">
        <v>11</v>
      </c>
      <c r="F293" s="1">
        <v>25158</v>
      </c>
      <c r="G293" s="1">
        <v>5</v>
      </c>
      <c r="H293" s="2">
        <v>46186</v>
      </c>
      <c r="I293" s="2">
        <v>46193</v>
      </c>
      <c r="J293" s="1" t="s">
        <v>20</v>
      </c>
      <c r="K293" s="1">
        <v>1292</v>
      </c>
    </row>
    <row r="294" spans="1:11" x14ac:dyDescent="0.3">
      <c r="A294" s="1" t="s">
        <v>49</v>
      </c>
      <c r="B294" s="1" t="s">
        <v>43</v>
      </c>
      <c r="C294" s="1" t="s">
        <v>18</v>
      </c>
      <c r="D294" s="1" t="s">
        <v>23</v>
      </c>
      <c r="E294" s="1">
        <v>7</v>
      </c>
      <c r="F294" s="1">
        <v>11481</v>
      </c>
      <c r="G294" s="1">
        <v>15</v>
      </c>
      <c r="H294" s="2">
        <v>46045</v>
      </c>
      <c r="I294" s="2">
        <v>46050</v>
      </c>
      <c r="J294" s="1" t="s">
        <v>20</v>
      </c>
      <c r="K294" s="1">
        <v>1293</v>
      </c>
    </row>
    <row r="295" spans="1:11" x14ac:dyDescent="0.3">
      <c r="A295" s="1" t="s">
        <v>21</v>
      </c>
      <c r="B295" s="1" t="s">
        <v>12</v>
      </c>
      <c r="C295" s="1" t="s">
        <v>18</v>
      </c>
      <c r="D295" s="1" t="s">
        <v>19</v>
      </c>
      <c r="E295" s="1">
        <v>8</v>
      </c>
      <c r="F295" s="1">
        <v>14448</v>
      </c>
      <c r="G295" s="1">
        <v>10</v>
      </c>
      <c r="H295" s="2">
        <v>46181</v>
      </c>
      <c r="I295" s="2">
        <v>46189</v>
      </c>
      <c r="J295" s="1" t="s">
        <v>15</v>
      </c>
      <c r="K295" s="1">
        <v>1294</v>
      </c>
    </row>
    <row r="296" spans="1:11" x14ac:dyDescent="0.3">
      <c r="A296" s="1" t="s">
        <v>52</v>
      </c>
      <c r="B296" s="1" t="s">
        <v>38</v>
      </c>
      <c r="C296" s="1" t="s">
        <v>18</v>
      </c>
      <c r="D296" s="1" t="s">
        <v>28</v>
      </c>
      <c r="E296" s="1">
        <v>16</v>
      </c>
      <c r="F296" s="1">
        <v>11935</v>
      </c>
      <c r="G296" s="1">
        <v>12</v>
      </c>
      <c r="H296" s="2">
        <v>46157</v>
      </c>
      <c r="I296" s="2">
        <v>46162</v>
      </c>
      <c r="J296" s="1" t="s">
        <v>15</v>
      </c>
      <c r="K296" s="1">
        <v>1295</v>
      </c>
    </row>
    <row r="297" spans="1:11" x14ac:dyDescent="0.3">
      <c r="A297" s="1" t="s">
        <v>26</v>
      </c>
      <c r="B297" s="1" t="s">
        <v>38</v>
      </c>
      <c r="C297" s="1" t="s">
        <v>13</v>
      </c>
      <c r="D297" s="1" t="s">
        <v>50</v>
      </c>
      <c r="E297" s="1">
        <v>6</v>
      </c>
      <c r="F297" s="1">
        <v>201</v>
      </c>
      <c r="G297" s="1">
        <v>0</v>
      </c>
      <c r="H297" s="2">
        <v>46063</v>
      </c>
      <c r="I297" s="2">
        <v>46072</v>
      </c>
      <c r="J297" s="1" t="s">
        <v>51</v>
      </c>
      <c r="K297" s="1">
        <v>1296</v>
      </c>
    </row>
    <row r="298" spans="1:11" x14ac:dyDescent="0.3">
      <c r="A298" s="1" t="s">
        <v>54</v>
      </c>
      <c r="B298" s="1" t="s">
        <v>25</v>
      </c>
      <c r="C298" s="1" t="s">
        <v>34</v>
      </c>
      <c r="D298" s="1" t="s">
        <v>35</v>
      </c>
      <c r="E298" s="1">
        <v>14</v>
      </c>
      <c r="F298" s="1">
        <v>24524</v>
      </c>
      <c r="G298" s="1">
        <v>10</v>
      </c>
      <c r="H298" s="2">
        <v>46178</v>
      </c>
      <c r="I298" s="2">
        <v>46187</v>
      </c>
      <c r="J298" s="1" t="s">
        <v>29</v>
      </c>
      <c r="K298" s="1">
        <v>1297</v>
      </c>
    </row>
    <row r="299" spans="1:11" x14ac:dyDescent="0.3">
      <c r="A299" s="1" t="s">
        <v>21</v>
      </c>
      <c r="B299" s="1" t="s">
        <v>12</v>
      </c>
      <c r="C299" s="1" t="s">
        <v>34</v>
      </c>
      <c r="D299" s="1" t="s">
        <v>61</v>
      </c>
      <c r="E299" s="1">
        <v>19</v>
      </c>
      <c r="F299" s="1">
        <v>20745</v>
      </c>
      <c r="G299" s="1">
        <v>2</v>
      </c>
      <c r="H299" s="2">
        <v>46083</v>
      </c>
      <c r="I299" s="2">
        <v>46093</v>
      </c>
      <c r="J299" s="1" t="s">
        <v>24</v>
      </c>
      <c r="K299" s="1">
        <v>1298</v>
      </c>
    </row>
    <row r="300" spans="1:11" x14ac:dyDescent="0.3">
      <c r="A300" s="1" t="s">
        <v>26</v>
      </c>
      <c r="B300" s="1" t="s">
        <v>17</v>
      </c>
      <c r="C300" s="1" t="s">
        <v>18</v>
      </c>
      <c r="D300" s="1" t="s">
        <v>56</v>
      </c>
      <c r="E300" s="1">
        <v>8</v>
      </c>
      <c r="F300" s="1">
        <v>8783</v>
      </c>
      <c r="G300" s="1">
        <v>2</v>
      </c>
      <c r="H300" s="2">
        <v>46123</v>
      </c>
      <c r="I300" s="2">
        <v>46132</v>
      </c>
      <c r="J300" s="1" t="s">
        <v>15</v>
      </c>
      <c r="K300" s="1">
        <v>1299</v>
      </c>
    </row>
    <row r="301" spans="1:11" x14ac:dyDescent="0.3">
      <c r="A301" s="1" t="s">
        <v>47</v>
      </c>
      <c r="B301" s="1" t="s">
        <v>33</v>
      </c>
      <c r="C301" s="1" t="s">
        <v>34</v>
      </c>
      <c r="D301" s="1" t="s">
        <v>45</v>
      </c>
      <c r="E301" s="1">
        <v>20</v>
      </c>
      <c r="F301" s="1">
        <v>1392</v>
      </c>
      <c r="G301" s="1">
        <v>2</v>
      </c>
      <c r="H301" s="2">
        <v>46110</v>
      </c>
      <c r="I301" s="2">
        <v>46117</v>
      </c>
      <c r="J301" s="1" t="s">
        <v>24</v>
      </c>
      <c r="K301" s="1">
        <v>1300</v>
      </c>
    </row>
    <row r="302" spans="1:11" x14ac:dyDescent="0.3">
      <c r="A302" s="1" t="s">
        <v>54</v>
      </c>
      <c r="B302" s="1" t="s">
        <v>17</v>
      </c>
      <c r="C302" s="1" t="s">
        <v>18</v>
      </c>
      <c r="D302" s="1" t="s">
        <v>28</v>
      </c>
      <c r="E302" s="1">
        <v>3</v>
      </c>
      <c r="F302" s="1">
        <v>7020</v>
      </c>
      <c r="G302" s="1">
        <v>10</v>
      </c>
      <c r="H302" s="2">
        <v>46028</v>
      </c>
      <c r="I302" s="2">
        <v>46038</v>
      </c>
      <c r="J302" s="1" t="s">
        <v>24</v>
      </c>
      <c r="K302" s="1">
        <v>1301</v>
      </c>
    </row>
    <row r="303" spans="1:11" x14ac:dyDescent="0.3">
      <c r="A303" s="1" t="s">
        <v>57</v>
      </c>
      <c r="B303" s="1" t="s">
        <v>12</v>
      </c>
      <c r="C303" s="1" t="s">
        <v>34</v>
      </c>
      <c r="D303" s="1" t="s">
        <v>35</v>
      </c>
      <c r="E303" s="1">
        <v>9</v>
      </c>
      <c r="F303" s="1">
        <v>8500</v>
      </c>
      <c r="G303" s="1">
        <v>15</v>
      </c>
      <c r="H303" s="2">
        <v>46163</v>
      </c>
      <c r="I303" s="2">
        <v>46172</v>
      </c>
      <c r="J303" s="1" t="s">
        <v>24</v>
      </c>
      <c r="K303" s="1">
        <v>1302</v>
      </c>
    </row>
    <row r="304" spans="1:11" x14ac:dyDescent="0.3">
      <c r="A304" s="1" t="s">
        <v>57</v>
      </c>
      <c r="B304" s="1" t="s">
        <v>38</v>
      </c>
      <c r="C304" s="1" t="s">
        <v>34</v>
      </c>
      <c r="D304" s="1" t="s">
        <v>35</v>
      </c>
      <c r="E304" s="1">
        <v>13</v>
      </c>
      <c r="F304" s="1">
        <v>5170</v>
      </c>
      <c r="G304" s="1">
        <v>2</v>
      </c>
      <c r="H304" s="2">
        <v>46124</v>
      </c>
      <c r="I304" s="2">
        <v>46127</v>
      </c>
      <c r="J304" s="1" t="s">
        <v>15</v>
      </c>
      <c r="K304" s="1">
        <v>1303</v>
      </c>
    </row>
    <row r="305" spans="1:11" x14ac:dyDescent="0.3">
      <c r="A305" s="1" t="s">
        <v>59</v>
      </c>
      <c r="B305" s="1" t="s">
        <v>25</v>
      </c>
      <c r="C305" s="1" t="s">
        <v>13</v>
      </c>
      <c r="D305" s="1" t="s">
        <v>36</v>
      </c>
      <c r="E305" s="1">
        <v>20</v>
      </c>
      <c r="F305" s="1">
        <v>368</v>
      </c>
      <c r="G305" s="1">
        <v>7</v>
      </c>
      <c r="H305" s="2">
        <v>46042</v>
      </c>
      <c r="I305" s="2">
        <v>46051</v>
      </c>
      <c r="J305" s="1" t="s">
        <v>51</v>
      </c>
      <c r="K305" s="1">
        <v>1304</v>
      </c>
    </row>
    <row r="306" spans="1:11" x14ac:dyDescent="0.3">
      <c r="A306" s="1" t="s">
        <v>58</v>
      </c>
      <c r="B306" s="1" t="s">
        <v>31</v>
      </c>
      <c r="C306" s="1" t="s">
        <v>34</v>
      </c>
      <c r="D306" s="1" t="s">
        <v>60</v>
      </c>
      <c r="E306" s="1">
        <v>20</v>
      </c>
      <c r="F306" s="1">
        <v>31406</v>
      </c>
      <c r="G306" s="1">
        <v>15</v>
      </c>
      <c r="H306" s="2">
        <v>46146</v>
      </c>
      <c r="I306" s="2">
        <v>46154</v>
      </c>
      <c r="J306" s="1" t="s">
        <v>51</v>
      </c>
      <c r="K306" s="1">
        <v>1305</v>
      </c>
    </row>
    <row r="307" spans="1:11" x14ac:dyDescent="0.3">
      <c r="A307" s="1" t="s">
        <v>54</v>
      </c>
      <c r="B307" s="1" t="s">
        <v>43</v>
      </c>
      <c r="C307" s="1" t="s">
        <v>13</v>
      </c>
      <c r="D307" s="1" t="s">
        <v>36</v>
      </c>
      <c r="E307" s="1">
        <v>1</v>
      </c>
      <c r="F307" s="1">
        <v>332</v>
      </c>
      <c r="G307" s="1">
        <v>0</v>
      </c>
      <c r="H307" s="2">
        <v>46191</v>
      </c>
      <c r="I307" s="2">
        <v>46194</v>
      </c>
      <c r="J307" s="1" t="s">
        <v>20</v>
      </c>
      <c r="K307" s="1">
        <v>1306</v>
      </c>
    </row>
    <row r="308" spans="1:11" x14ac:dyDescent="0.3">
      <c r="A308" s="1" t="s">
        <v>57</v>
      </c>
      <c r="B308" s="1" t="s">
        <v>43</v>
      </c>
      <c r="C308" s="1" t="s">
        <v>34</v>
      </c>
      <c r="D308" s="1" t="s">
        <v>35</v>
      </c>
      <c r="E308" s="1">
        <v>18</v>
      </c>
      <c r="F308" s="1">
        <v>7541</v>
      </c>
      <c r="G308" s="1">
        <v>12</v>
      </c>
      <c r="H308" s="2">
        <v>46048</v>
      </c>
      <c r="I308" s="2">
        <v>46051</v>
      </c>
      <c r="J308" s="1" t="s">
        <v>51</v>
      </c>
      <c r="K308" s="1">
        <v>1307</v>
      </c>
    </row>
    <row r="309" spans="1:11" x14ac:dyDescent="0.3">
      <c r="A309" s="1" t="s">
        <v>30</v>
      </c>
      <c r="B309" s="1" t="s">
        <v>22</v>
      </c>
      <c r="C309" s="1" t="s">
        <v>34</v>
      </c>
      <c r="D309" s="1" t="s">
        <v>41</v>
      </c>
      <c r="E309" s="1">
        <v>12</v>
      </c>
      <c r="F309" s="1">
        <v>66075</v>
      </c>
      <c r="G309" s="1">
        <v>5</v>
      </c>
      <c r="H309" s="2">
        <v>46129</v>
      </c>
      <c r="I309" s="2">
        <v>46135</v>
      </c>
      <c r="J309" s="1" t="s">
        <v>20</v>
      </c>
      <c r="K309" s="1">
        <v>1308</v>
      </c>
    </row>
    <row r="310" spans="1:11" x14ac:dyDescent="0.3">
      <c r="A310" s="1" t="s">
        <v>29</v>
      </c>
      <c r="B310" s="1" t="s">
        <v>31</v>
      </c>
      <c r="C310" s="1" t="s">
        <v>13</v>
      </c>
      <c r="D310" s="1" t="s">
        <v>50</v>
      </c>
      <c r="E310" s="1">
        <v>2</v>
      </c>
      <c r="F310" s="1">
        <v>35</v>
      </c>
      <c r="G310" s="1">
        <v>5</v>
      </c>
      <c r="H310" s="2">
        <v>46197</v>
      </c>
      <c r="I310" s="2">
        <v>46198</v>
      </c>
      <c r="J310" s="1" t="s">
        <v>24</v>
      </c>
      <c r="K310" s="1">
        <v>1309</v>
      </c>
    </row>
    <row r="311" spans="1:11" x14ac:dyDescent="0.3">
      <c r="A311" s="1" t="s">
        <v>49</v>
      </c>
      <c r="B311" s="1" t="s">
        <v>17</v>
      </c>
      <c r="C311" s="1" t="s">
        <v>18</v>
      </c>
      <c r="D311" s="1" t="s">
        <v>56</v>
      </c>
      <c r="E311" s="1">
        <v>19</v>
      </c>
      <c r="F311" s="1">
        <v>12691</v>
      </c>
      <c r="G311" s="1">
        <v>0</v>
      </c>
      <c r="H311" s="2">
        <v>46181</v>
      </c>
      <c r="I311" s="2">
        <v>46189</v>
      </c>
      <c r="J311" s="1" t="s">
        <v>29</v>
      </c>
      <c r="K311" s="1">
        <v>1310</v>
      </c>
    </row>
    <row r="312" spans="1:11" x14ac:dyDescent="0.3">
      <c r="A312" s="1" t="s">
        <v>55</v>
      </c>
      <c r="B312" s="1" t="s">
        <v>12</v>
      </c>
      <c r="C312" s="1" t="s">
        <v>13</v>
      </c>
      <c r="D312" s="1" t="s">
        <v>14</v>
      </c>
      <c r="E312" s="1">
        <v>2</v>
      </c>
      <c r="F312" s="1">
        <v>209</v>
      </c>
      <c r="G312" s="1">
        <v>0</v>
      </c>
      <c r="H312" s="2">
        <v>46173</v>
      </c>
      <c r="I312" s="2">
        <v>46176</v>
      </c>
      <c r="J312" s="1" t="s">
        <v>20</v>
      </c>
      <c r="K312" s="1">
        <v>1311</v>
      </c>
    </row>
    <row r="313" spans="1:11" x14ac:dyDescent="0.3">
      <c r="A313" s="1" t="s">
        <v>57</v>
      </c>
      <c r="B313" s="1" t="s">
        <v>22</v>
      </c>
      <c r="C313" s="1" t="s">
        <v>18</v>
      </c>
      <c r="D313" s="1" t="s">
        <v>56</v>
      </c>
      <c r="E313" s="1">
        <v>20</v>
      </c>
      <c r="F313" s="1">
        <v>3274</v>
      </c>
      <c r="G313" s="1">
        <v>2</v>
      </c>
      <c r="H313" s="2">
        <v>46148</v>
      </c>
      <c r="I313" s="2">
        <v>46156</v>
      </c>
      <c r="J313" s="1" t="s">
        <v>24</v>
      </c>
      <c r="K313" s="1">
        <v>1312</v>
      </c>
    </row>
    <row r="314" spans="1:11" x14ac:dyDescent="0.3">
      <c r="A314" s="1" t="s">
        <v>59</v>
      </c>
      <c r="B314" s="1" t="s">
        <v>22</v>
      </c>
      <c r="C314" s="1" t="s">
        <v>18</v>
      </c>
      <c r="D314" s="1" t="s">
        <v>56</v>
      </c>
      <c r="E314" s="1">
        <v>6</v>
      </c>
      <c r="F314" s="1">
        <v>10864</v>
      </c>
      <c r="G314" s="1">
        <v>10</v>
      </c>
      <c r="H314" s="2">
        <v>46041</v>
      </c>
      <c r="I314" s="2">
        <v>46049</v>
      </c>
      <c r="J314" s="1" t="s">
        <v>15</v>
      </c>
      <c r="K314" s="1">
        <v>1313</v>
      </c>
    </row>
    <row r="315" spans="1:11" x14ac:dyDescent="0.3">
      <c r="A315" s="1" t="s">
        <v>52</v>
      </c>
      <c r="B315" s="1" t="s">
        <v>33</v>
      </c>
      <c r="C315" s="1" t="s">
        <v>18</v>
      </c>
      <c r="D315" s="1" t="s">
        <v>19</v>
      </c>
      <c r="E315" s="1">
        <v>10</v>
      </c>
      <c r="F315" s="1">
        <v>6328</v>
      </c>
      <c r="G315" s="1">
        <v>2</v>
      </c>
      <c r="H315" s="2">
        <v>46196</v>
      </c>
      <c r="I315" s="2">
        <v>46197</v>
      </c>
      <c r="J315" s="1" t="s">
        <v>29</v>
      </c>
      <c r="K315" s="1">
        <v>1314</v>
      </c>
    </row>
    <row r="316" spans="1:11" x14ac:dyDescent="0.3">
      <c r="A316" s="1" t="s">
        <v>49</v>
      </c>
      <c r="B316" s="1" t="s">
        <v>31</v>
      </c>
      <c r="C316" s="1" t="s">
        <v>34</v>
      </c>
      <c r="D316" s="1" t="s">
        <v>41</v>
      </c>
      <c r="E316" s="1">
        <v>14</v>
      </c>
      <c r="F316" s="1">
        <v>57670</v>
      </c>
      <c r="G316" s="1">
        <v>2</v>
      </c>
      <c r="H316" s="2">
        <v>46186</v>
      </c>
      <c r="I316" s="2">
        <v>46196</v>
      </c>
      <c r="J316" s="1" t="s">
        <v>15</v>
      </c>
      <c r="K316" s="1">
        <v>1315</v>
      </c>
    </row>
    <row r="317" spans="1:11" x14ac:dyDescent="0.3">
      <c r="A317" s="1" t="s">
        <v>46</v>
      </c>
      <c r="B317" s="1" t="s">
        <v>12</v>
      </c>
      <c r="C317" s="1" t="s">
        <v>18</v>
      </c>
      <c r="D317" s="1" t="s">
        <v>28</v>
      </c>
      <c r="E317" s="1">
        <v>7</v>
      </c>
      <c r="F317" s="1">
        <v>9838</v>
      </c>
      <c r="G317" s="1">
        <v>7</v>
      </c>
      <c r="H317" s="2">
        <v>46078</v>
      </c>
      <c r="I317" s="2">
        <v>46085</v>
      </c>
      <c r="J317" s="1" t="s">
        <v>20</v>
      </c>
      <c r="K317" s="1">
        <v>1316</v>
      </c>
    </row>
    <row r="318" spans="1:11" x14ac:dyDescent="0.3">
      <c r="A318" s="1" t="s">
        <v>59</v>
      </c>
      <c r="B318" s="1" t="s">
        <v>33</v>
      </c>
      <c r="C318" s="1" t="s">
        <v>34</v>
      </c>
      <c r="D318" s="1" t="s">
        <v>41</v>
      </c>
      <c r="E318" s="1">
        <v>7</v>
      </c>
      <c r="F318" s="1">
        <v>67339</v>
      </c>
      <c r="G318" s="1">
        <v>5</v>
      </c>
      <c r="H318" s="2">
        <v>46159</v>
      </c>
      <c r="I318" s="2">
        <v>46169</v>
      </c>
      <c r="J318" s="1" t="s">
        <v>51</v>
      </c>
      <c r="K318" s="1">
        <v>1317</v>
      </c>
    </row>
    <row r="319" spans="1:11" x14ac:dyDescent="0.3">
      <c r="A319" s="1" t="s">
        <v>11</v>
      </c>
      <c r="B319" s="1" t="s">
        <v>43</v>
      </c>
      <c r="C319" s="1" t="s">
        <v>13</v>
      </c>
      <c r="D319" s="1" t="s">
        <v>50</v>
      </c>
      <c r="E319" s="1">
        <v>4</v>
      </c>
      <c r="F319" s="1">
        <v>38</v>
      </c>
      <c r="G319" s="1">
        <v>12</v>
      </c>
      <c r="H319" s="2">
        <v>46169</v>
      </c>
      <c r="I319" s="2">
        <v>46175</v>
      </c>
      <c r="J319" s="1" t="s">
        <v>29</v>
      </c>
      <c r="K319" s="1">
        <v>1318</v>
      </c>
    </row>
    <row r="320" spans="1:11" x14ac:dyDescent="0.3">
      <c r="A320" s="1" t="s">
        <v>21</v>
      </c>
      <c r="B320" s="1" t="s">
        <v>17</v>
      </c>
      <c r="C320" s="1" t="s">
        <v>34</v>
      </c>
      <c r="D320" s="1" t="s">
        <v>61</v>
      </c>
      <c r="E320" s="1">
        <v>17</v>
      </c>
      <c r="F320" s="1">
        <v>58407</v>
      </c>
      <c r="G320" s="1">
        <v>7</v>
      </c>
      <c r="H320" s="2">
        <v>46094</v>
      </c>
      <c r="I320" s="2">
        <v>46102</v>
      </c>
      <c r="J320" s="1" t="s">
        <v>15</v>
      </c>
      <c r="K320" s="1">
        <v>1319</v>
      </c>
    </row>
    <row r="321" spans="1:11" x14ac:dyDescent="0.3">
      <c r="A321" s="1" t="s">
        <v>47</v>
      </c>
      <c r="B321" s="1" t="s">
        <v>38</v>
      </c>
      <c r="C321" s="1" t="s">
        <v>13</v>
      </c>
      <c r="D321" s="1" t="s">
        <v>36</v>
      </c>
      <c r="E321" s="1">
        <v>20</v>
      </c>
      <c r="F321" s="1">
        <v>55</v>
      </c>
      <c r="G321" s="1">
        <v>7</v>
      </c>
      <c r="H321" s="2">
        <v>46183</v>
      </c>
      <c r="I321" s="2">
        <v>46186</v>
      </c>
      <c r="J321" s="1" t="s">
        <v>20</v>
      </c>
      <c r="K321" s="1">
        <v>1320</v>
      </c>
    </row>
    <row r="322" spans="1:11" x14ac:dyDescent="0.3">
      <c r="A322" s="1" t="s">
        <v>32</v>
      </c>
      <c r="B322" s="1" t="s">
        <v>22</v>
      </c>
      <c r="C322" s="1" t="s">
        <v>18</v>
      </c>
      <c r="D322" s="1" t="s">
        <v>19</v>
      </c>
      <c r="E322" s="1">
        <v>8</v>
      </c>
      <c r="F322" s="1">
        <v>5619</v>
      </c>
      <c r="G322" s="1">
        <v>7</v>
      </c>
      <c r="H322" s="2">
        <v>46107</v>
      </c>
      <c r="I322" s="2">
        <v>46109</v>
      </c>
      <c r="J322" s="1" t="s">
        <v>51</v>
      </c>
      <c r="K322" s="1">
        <v>1321</v>
      </c>
    </row>
    <row r="323" spans="1:11" x14ac:dyDescent="0.3">
      <c r="A323" s="1" t="s">
        <v>27</v>
      </c>
      <c r="B323" s="1" t="s">
        <v>12</v>
      </c>
      <c r="C323" s="1" t="s">
        <v>18</v>
      </c>
      <c r="D323" s="1" t="s">
        <v>23</v>
      </c>
      <c r="E323" s="1">
        <v>14</v>
      </c>
      <c r="F323" s="1">
        <v>9081</v>
      </c>
      <c r="G323" s="1">
        <v>15</v>
      </c>
      <c r="H323" s="2">
        <v>46141</v>
      </c>
      <c r="I323" s="2">
        <v>46146</v>
      </c>
      <c r="J323" s="1" t="s">
        <v>15</v>
      </c>
      <c r="K323" s="1">
        <v>1322</v>
      </c>
    </row>
    <row r="324" spans="1:11" x14ac:dyDescent="0.3">
      <c r="A324" s="1" t="s">
        <v>57</v>
      </c>
      <c r="B324" s="1" t="s">
        <v>38</v>
      </c>
      <c r="C324" s="1" t="s">
        <v>34</v>
      </c>
      <c r="D324" s="1" t="s">
        <v>61</v>
      </c>
      <c r="E324" s="1">
        <v>2</v>
      </c>
      <c r="F324" s="1">
        <v>32074</v>
      </c>
      <c r="G324" s="1">
        <v>10</v>
      </c>
      <c r="H324" s="2">
        <v>46073</v>
      </c>
      <c r="I324" s="2">
        <v>46078</v>
      </c>
      <c r="J324" s="1" t="s">
        <v>15</v>
      </c>
      <c r="K324" s="1">
        <v>1323</v>
      </c>
    </row>
    <row r="325" spans="1:11" x14ac:dyDescent="0.3">
      <c r="A325" s="1" t="s">
        <v>32</v>
      </c>
      <c r="B325" s="1" t="s">
        <v>22</v>
      </c>
      <c r="C325" s="1" t="s">
        <v>18</v>
      </c>
      <c r="D325" s="1" t="s">
        <v>19</v>
      </c>
      <c r="E325" s="1">
        <v>1</v>
      </c>
      <c r="F325" s="1">
        <v>4286</v>
      </c>
      <c r="G325" s="1">
        <v>15</v>
      </c>
      <c r="H325" s="2">
        <v>46053</v>
      </c>
      <c r="I325" s="2">
        <v>46056</v>
      </c>
      <c r="J325" s="1" t="s">
        <v>20</v>
      </c>
      <c r="K325" s="1">
        <v>1324</v>
      </c>
    </row>
    <row r="326" spans="1:11" x14ac:dyDescent="0.3">
      <c r="A326" s="1" t="s">
        <v>48</v>
      </c>
      <c r="B326" s="1" t="s">
        <v>43</v>
      </c>
      <c r="C326" s="1" t="s">
        <v>34</v>
      </c>
      <c r="D326" s="1" t="s">
        <v>39</v>
      </c>
      <c r="E326" s="1">
        <v>9</v>
      </c>
      <c r="F326" s="1">
        <v>58442</v>
      </c>
      <c r="G326" s="1">
        <v>12</v>
      </c>
      <c r="H326" s="2">
        <v>46076</v>
      </c>
      <c r="I326" s="2">
        <v>46085</v>
      </c>
      <c r="J326" s="1" t="s">
        <v>20</v>
      </c>
      <c r="K326" s="1">
        <v>1325</v>
      </c>
    </row>
    <row r="327" spans="1:11" x14ac:dyDescent="0.3">
      <c r="A327" s="1" t="s">
        <v>26</v>
      </c>
      <c r="B327" s="1" t="s">
        <v>17</v>
      </c>
      <c r="C327" s="1" t="s">
        <v>18</v>
      </c>
      <c r="D327" s="1" t="s">
        <v>44</v>
      </c>
      <c r="E327" s="1">
        <v>18</v>
      </c>
      <c r="F327" s="1">
        <v>1830</v>
      </c>
      <c r="G327" s="1">
        <v>10</v>
      </c>
      <c r="H327" s="2">
        <v>46165</v>
      </c>
      <c r="I327" s="2">
        <v>46172</v>
      </c>
      <c r="J327" s="1" t="s">
        <v>15</v>
      </c>
      <c r="K327" s="1">
        <v>1326</v>
      </c>
    </row>
    <row r="328" spans="1:11" x14ac:dyDescent="0.3">
      <c r="A328" s="1" t="s">
        <v>48</v>
      </c>
      <c r="B328" s="1" t="s">
        <v>12</v>
      </c>
      <c r="C328" s="1" t="s">
        <v>13</v>
      </c>
      <c r="D328" s="1" t="s">
        <v>53</v>
      </c>
      <c r="E328" s="1">
        <v>15</v>
      </c>
      <c r="F328" s="1">
        <v>449</v>
      </c>
      <c r="G328" s="1">
        <v>5</v>
      </c>
      <c r="H328" s="2">
        <v>46152</v>
      </c>
      <c r="I328" s="2">
        <v>46153</v>
      </c>
      <c r="J328" s="1" t="s">
        <v>15</v>
      </c>
      <c r="K328" s="1">
        <v>1327</v>
      </c>
    </row>
    <row r="329" spans="1:11" x14ac:dyDescent="0.3">
      <c r="A329" s="1" t="s">
        <v>16</v>
      </c>
      <c r="B329" s="1" t="s">
        <v>38</v>
      </c>
      <c r="C329" s="1" t="s">
        <v>13</v>
      </c>
      <c r="D329" s="1" t="s">
        <v>36</v>
      </c>
      <c r="E329" s="1">
        <v>4</v>
      </c>
      <c r="F329" s="1">
        <v>132</v>
      </c>
      <c r="G329" s="1">
        <v>0</v>
      </c>
      <c r="H329" s="2">
        <v>46109</v>
      </c>
      <c r="I329" s="2">
        <v>46114</v>
      </c>
      <c r="J329" s="1" t="s">
        <v>29</v>
      </c>
      <c r="K329" s="1">
        <v>1328</v>
      </c>
    </row>
    <row r="330" spans="1:11" x14ac:dyDescent="0.3">
      <c r="A330" s="1" t="s">
        <v>30</v>
      </c>
      <c r="B330" s="1" t="s">
        <v>43</v>
      </c>
      <c r="C330" s="1" t="s">
        <v>13</v>
      </c>
      <c r="D330" s="1" t="s">
        <v>53</v>
      </c>
      <c r="E330" s="1">
        <v>18</v>
      </c>
      <c r="F330" s="1">
        <v>227</v>
      </c>
      <c r="G330" s="1">
        <v>5</v>
      </c>
      <c r="H330" s="2">
        <v>46126</v>
      </c>
      <c r="I330" s="2">
        <v>46136</v>
      </c>
      <c r="J330" s="1" t="s">
        <v>29</v>
      </c>
      <c r="K330" s="1">
        <v>1329</v>
      </c>
    </row>
    <row r="331" spans="1:11" x14ac:dyDescent="0.3">
      <c r="A331" s="1" t="s">
        <v>49</v>
      </c>
      <c r="B331" s="1" t="s">
        <v>17</v>
      </c>
      <c r="C331" s="1" t="s">
        <v>18</v>
      </c>
      <c r="D331" s="1" t="s">
        <v>19</v>
      </c>
      <c r="E331" s="1">
        <v>13</v>
      </c>
      <c r="F331" s="1">
        <v>12071</v>
      </c>
      <c r="G331" s="1">
        <v>0</v>
      </c>
      <c r="H331" s="2">
        <v>46032</v>
      </c>
      <c r="I331" s="2">
        <v>46036</v>
      </c>
      <c r="J331" s="1" t="s">
        <v>51</v>
      </c>
      <c r="K331" s="1">
        <v>1330</v>
      </c>
    </row>
    <row r="332" spans="1:11" x14ac:dyDescent="0.3">
      <c r="A332" s="1" t="s">
        <v>21</v>
      </c>
      <c r="B332" s="1" t="s">
        <v>25</v>
      </c>
      <c r="C332" s="1" t="s">
        <v>34</v>
      </c>
      <c r="D332" s="1" t="s">
        <v>61</v>
      </c>
      <c r="E332" s="1">
        <v>2</v>
      </c>
      <c r="F332" s="1">
        <v>43557</v>
      </c>
      <c r="G332" s="1">
        <v>2</v>
      </c>
      <c r="H332" s="2">
        <v>46190</v>
      </c>
      <c r="I332" s="2">
        <v>46200</v>
      </c>
      <c r="J332" s="1" t="s">
        <v>15</v>
      </c>
      <c r="K332" s="1">
        <v>1331</v>
      </c>
    </row>
    <row r="333" spans="1:11" x14ac:dyDescent="0.3">
      <c r="A333" s="1" t="s">
        <v>29</v>
      </c>
      <c r="B333" s="1" t="s">
        <v>43</v>
      </c>
      <c r="C333" s="1" t="s">
        <v>13</v>
      </c>
      <c r="D333" s="1" t="s">
        <v>50</v>
      </c>
      <c r="E333" s="1">
        <v>7</v>
      </c>
      <c r="F333" s="1">
        <v>439</v>
      </c>
      <c r="G333" s="1">
        <v>2</v>
      </c>
      <c r="H333" s="2">
        <v>46154</v>
      </c>
      <c r="I333" s="2">
        <v>46157</v>
      </c>
      <c r="J333" s="1" t="s">
        <v>15</v>
      </c>
      <c r="K333" s="1">
        <v>1332</v>
      </c>
    </row>
    <row r="334" spans="1:11" x14ac:dyDescent="0.3">
      <c r="A334" s="1" t="s">
        <v>29</v>
      </c>
      <c r="B334" s="1" t="s">
        <v>38</v>
      </c>
      <c r="C334" s="1" t="s">
        <v>13</v>
      </c>
      <c r="D334" s="1" t="s">
        <v>53</v>
      </c>
      <c r="E334" s="1">
        <v>20</v>
      </c>
      <c r="F334" s="1">
        <v>416</v>
      </c>
      <c r="G334" s="1">
        <v>12</v>
      </c>
      <c r="H334" s="2">
        <v>46145</v>
      </c>
      <c r="I334" s="2">
        <v>46146</v>
      </c>
      <c r="J334" s="1" t="s">
        <v>51</v>
      </c>
      <c r="K334" s="1">
        <v>1333</v>
      </c>
    </row>
    <row r="335" spans="1:11" x14ac:dyDescent="0.3">
      <c r="A335" s="1" t="s">
        <v>40</v>
      </c>
      <c r="B335" s="1" t="s">
        <v>12</v>
      </c>
      <c r="C335" s="1" t="s">
        <v>34</v>
      </c>
      <c r="D335" s="1" t="s">
        <v>41</v>
      </c>
      <c r="E335" s="1">
        <v>15</v>
      </c>
      <c r="F335" s="1">
        <v>39853</v>
      </c>
      <c r="G335" s="1">
        <v>7</v>
      </c>
      <c r="H335" s="2">
        <v>46038</v>
      </c>
      <c r="I335" s="2">
        <v>46047</v>
      </c>
      <c r="J335" s="1" t="s">
        <v>51</v>
      </c>
      <c r="K335" s="1">
        <v>1334</v>
      </c>
    </row>
    <row r="336" spans="1:11" x14ac:dyDescent="0.3">
      <c r="A336" s="1" t="s">
        <v>47</v>
      </c>
      <c r="B336" s="1" t="s">
        <v>17</v>
      </c>
      <c r="C336" s="1" t="s">
        <v>18</v>
      </c>
      <c r="D336" s="1" t="s">
        <v>19</v>
      </c>
      <c r="E336" s="1">
        <v>9</v>
      </c>
      <c r="F336" s="1">
        <v>1495</v>
      </c>
      <c r="G336" s="1">
        <v>12</v>
      </c>
      <c r="H336" s="2">
        <v>46168</v>
      </c>
      <c r="I336" s="2">
        <v>46173</v>
      </c>
      <c r="J336" s="1" t="s">
        <v>15</v>
      </c>
      <c r="K336" s="1">
        <v>1335</v>
      </c>
    </row>
    <row r="337" spans="1:11" x14ac:dyDescent="0.3">
      <c r="A337" s="1" t="s">
        <v>16</v>
      </c>
      <c r="B337" s="1" t="s">
        <v>25</v>
      </c>
      <c r="C337" s="1" t="s">
        <v>18</v>
      </c>
      <c r="D337" s="1" t="s">
        <v>56</v>
      </c>
      <c r="E337" s="1">
        <v>10</v>
      </c>
      <c r="F337" s="1">
        <v>5624</v>
      </c>
      <c r="G337" s="1">
        <v>0</v>
      </c>
      <c r="H337" s="2">
        <v>46086</v>
      </c>
      <c r="I337" s="2">
        <v>46092</v>
      </c>
      <c r="J337" s="1" t="s">
        <v>29</v>
      </c>
      <c r="K337" s="1">
        <v>1336</v>
      </c>
    </row>
    <row r="338" spans="1:11" x14ac:dyDescent="0.3">
      <c r="A338" s="1" t="s">
        <v>16</v>
      </c>
      <c r="B338" s="1" t="s">
        <v>12</v>
      </c>
      <c r="C338" s="1" t="s">
        <v>13</v>
      </c>
      <c r="D338" s="1" t="s">
        <v>53</v>
      </c>
      <c r="E338" s="1">
        <v>14</v>
      </c>
      <c r="F338" s="1">
        <v>373</v>
      </c>
      <c r="G338" s="1">
        <v>10</v>
      </c>
      <c r="H338" s="2">
        <v>46074</v>
      </c>
      <c r="I338" s="2">
        <v>46080</v>
      </c>
      <c r="J338" s="1" t="s">
        <v>29</v>
      </c>
      <c r="K338" s="1">
        <v>1337</v>
      </c>
    </row>
    <row r="339" spans="1:11" x14ac:dyDescent="0.3">
      <c r="A339" s="1" t="s">
        <v>59</v>
      </c>
      <c r="B339" s="1" t="s">
        <v>25</v>
      </c>
      <c r="C339" s="1" t="s">
        <v>34</v>
      </c>
      <c r="D339" s="1" t="s">
        <v>60</v>
      </c>
      <c r="E339" s="1">
        <v>10</v>
      </c>
      <c r="F339" s="1">
        <v>16719</v>
      </c>
      <c r="G339" s="1">
        <v>5</v>
      </c>
      <c r="H339" s="2">
        <v>46177</v>
      </c>
      <c r="I339" s="2">
        <v>46179</v>
      </c>
      <c r="J339" s="1" t="s">
        <v>15</v>
      </c>
      <c r="K339" s="1">
        <v>1338</v>
      </c>
    </row>
    <row r="340" spans="1:11" x14ac:dyDescent="0.3">
      <c r="A340" s="1" t="s">
        <v>32</v>
      </c>
      <c r="B340" s="1" t="s">
        <v>25</v>
      </c>
      <c r="C340" s="1" t="s">
        <v>13</v>
      </c>
      <c r="D340" s="1" t="s">
        <v>14</v>
      </c>
      <c r="E340" s="1">
        <v>6</v>
      </c>
      <c r="F340" s="1">
        <v>302</v>
      </c>
      <c r="G340" s="1">
        <v>5</v>
      </c>
      <c r="H340" s="2">
        <v>46142</v>
      </c>
      <c r="I340" s="2">
        <v>46148</v>
      </c>
      <c r="J340" s="1" t="s">
        <v>20</v>
      </c>
      <c r="K340" s="1">
        <v>1339</v>
      </c>
    </row>
    <row r="341" spans="1:11" x14ac:dyDescent="0.3">
      <c r="A341" s="1" t="s">
        <v>48</v>
      </c>
      <c r="B341" s="1" t="s">
        <v>17</v>
      </c>
      <c r="C341" s="1" t="s">
        <v>18</v>
      </c>
      <c r="D341" s="1" t="s">
        <v>19</v>
      </c>
      <c r="E341" s="1">
        <v>12</v>
      </c>
      <c r="F341" s="1">
        <v>3857</v>
      </c>
      <c r="G341" s="1">
        <v>12</v>
      </c>
      <c r="H341" s="2">
        <v>46196</v>
      </c>
      <c r="I341" s="2">
        <v>46198</v>
      </c>
      <c r="J341" s="1" t="s">
        <v>51</v>
      </c>
      <c r="K341" s="1">
        <v>1340</v>
      </c>
    </row>
    <row r="342" spans="1:11" x14ac:dyDescent="0.3">
      <c r="A342" s="1" t="s">
        <v>57</v>
      </c>
      <c r="B342" s="1" t="s">
        <v>38</v>
      </c>
      <c r="C342" s="1" t="s">
        <v>18</v>
      </c>
      <c r="D342" s="1" t="s">
        <v>19</v>
      </c>
      <c r="E342" s="1">
        <v>19</v>
      </c>
      <c r="F342" s="1">
        <v>6488</v>
      </c>
      <c r="G342" s="1">
        <v>15</v>
      </c>
      <c r="H342" s="2">
        <v>46026</v>
      </c>
      <c r="I342" s="2">
        <v>46030</v>
      </c>
      <c r="J342" s="1" t="s">
        <v>20</v>
      </c>
      <c r="K342" s="1">
        <v>1341</v>
      </c>
    </row>
    <row r="343" spans="1:11" x14ac:dyDescent="0.3">
      <c r="A343" s="1" t="s">
        <v>59</v>
      </c>
      <c r="B343" s="1" t="s">
        <v>31</v>
      </c>
      <c r="C343" s="1" t="s">
        <v>34</v>
      </c>
      <c r="D343" s="1" t="s">
        <v>35</v>
      </c>
      <c r="E343" s="1">
        <v>13</v>
      </c>
      <c r="F343" s="1">
        <v>47881</v>
      </c>
      <c r="G343" s="1">
        <v>15</v>
      </c>
      <c r="H343" s="2">
        <v>46132</v>
      </c>
      <c r="I343" s="2">
        <v>46139</v>
      </c>
      <c r="J343" s="1" t="s">
        <v>29</v>
      </c>
      <c r="K343" s="1">
        <v>1342</v>
      </c>
    </row>
    <row r="344" spans="1:11" x14ac:dyDescent="0.3">
      <c r="A344" s="1" t="s">
        <v>59</v>
      </c>
      <c r="B344" s="1" t="s">
        <v>31</v>
      </c>
      <c r="C344" s="1" t="s">
        <v>34</v>
      </c>
      <c r="D344" s="1" t="s">
        <v>39</v>
      </c>
      <c r="E344" s="1">
        <v>14</v>
      </c>
      <c r="F344" s="1">
        <v>32719</v>
      </c>
      <c r="G344" s="1">
        <v>15</v>
      </c>
      <c r="H344" s="2">
        <v>46174</v>
      </c>
      <c r="I344" s="2">
        <v>46179</v>
      </c>
      <c r="J344" s="1" t="s">
        <v>15</v>
      </c>
      <c r="K344" s="1">
        <v>1343</v>
      </c>
    </row>
    <row r="345" spans="1:11" x14ac:dyDescent="0.3">
      <c r="A345" s="1" t="s">
        <v>30</v>
      </c>
      <c r="B345" s="1" t="s">
        <v>17</v>
      </c>
      <c r="C345" s="1" t="s">
        <v>13</v>
      </c>
      <c r="D345" s="1" t="s">
        <v>53</v>
      </c>
      <c r="E345" s="1">
        <v>18</v>
      </c>
      <c r="F345" s="1">
        <v>240</v>
      </c>
      <c r="G345" s="1">
        <v>10</v>
      </c>
      <c r="H345" s="2">
        <v>46155</v>
      </c>
      <c r="I345" s="2">
        <v>46156</v>
      </c>
      <c r="J345" s="1" t="s">
        <v>24</v>
      </c>
      <c r="K345" s="1">
        <v>1344</v>
      </c>
    </row>
    <row r="346" spans="1:11" x14ac:dyDescent="0.3">
      <c r="A346" s="1" t="s">
        <v>32</v>
      </c>
      <c r="B346" s="1" t="s">
        <v>12</v>
      </c>
      <c r="C346" s="1" t="s">
        <v>34</v>
      </c>
      <c r="D346" s="1" t="s">
        <v>45</v>
      </c>
      <c r="E346" s="1">
        <v>12</v>
      </c>
      <c r="F346" s="1">
        <v>50544</v>
      </c>
      <c r="G346" s="1">
        <v>10</v>
      </c>
      <c r="H346" s="2">
        <v>46095</v>
      </c>
      <c r="I346" s="2">
        <v>46097</v>
      </c>
      <c r="J346" s="1" t="s">
        <v>29</v>
      </c>
      <c r="K346" s="1">
        <v>1345</v>
      </c>
    </row>
    <row r="347" spans="1:11" x14ac:dyDescent="0.3">
      <c r="A347" s="1" t="s">
        <v>32</v>
      </c>
      <c r="B347" s="1" t="s">
        <v>22</v>
      </c>
      <c r="C347" s="1" t="s">
        <v>18</v>
      </c>
      <c r="D347" s="1" t="s">
        <v>19</v>
      </c>
      <c r="E347" s="1">
        <v>16</v>
      </c>
      <c r="F347" s="1">
        <v>6910</v>
      </c>
      <c r="G347" s="1">
        <v>15</v>
      </c>
      <c r="H347" s="2">
        <v>46140</v>
      </c>
      <c r="I347" s="2">
        <v>46142</v>
      </c>
      <c r="J347" s="1" t="s">
        <v>29</v>
      </c>
      <c r="K347" s="1">
        <v>1346</v>
      </c>
    </row>
    <row r="348" spans="1:11" x14ac:dyDescent="0.3">
      <c r="A348" s="1" t="s">
        <v>29</v>
      </c>
      <c r="B348" s="1" t="s">
        <v>22</v>
      </c>
      <c r="C348" s="1" t="s">
        <v>34</v>
      </c>
      <c r="D348" s="1" t="s">
        <v>35</v>
      </c>
      <c r="E348" s="1">
        <v>16</v>
      </c>
      <c r="F348" s="1">
        <v>6034</v>
      </c>
      <c r="G348" s="1">
        <v>15</v>
      </c>
      <c r="H348" s="2">
        <v>46037</v>
      </c>
      <c r="I348" s="2">
        <v>46044</v>
      </c>
      <c r="J348" s="1" t="s">
        <v>24</v>
      </c>
      <c r="K348" s="1">
        <v>1347</v>
      </c>
    </row>
    <row r="349" spans="1:11" x14ac:dyDescent="0.3">
      <c r="A349" s="1" t="s">
        <v>11</v>
      </c>
      <c r="B349" s="1" t="s">
        <v>33</v>
      </c>
      <c r="C349" s="1" t="s">
        <v>13</v>
      </c>
      <c r="D349" s="1" t="s">
        <v>50</v>
      </c>
      <c r="E349" s="1">
        <v>12</v>
      </c>
      <c r="F349" s="1">
        <v>244</v>
      </c>
      <c r="G349" s="1">
        <v>7</v>
      </c>
      <c r="H349" s="2">
        <v>46048</v>
      </c>
      <c r="I349" s="2">
        <v>46053</v>
      </c>
      <c r="J349" s="1" t="s">
        <v>15</v>
      </c>
      <c r="K349" s="1">
        <v>1348</v>
      </c>
    </row>
    <row r="350" spans="1:11" x14ac:dyDescent="0.3">
      <c r="A350" s="1" t="s">
        <v>40</v>
      </c>
      <c r="B350" s="1" t="s">
        <v>33</v>
      </c>
      <c r="C350" s="1" t="s">
        <v>34</v>
      </c>
      <c r="D350" s="1" t="s">
        <v>35</v>
      </c>
      <c r="E350" s="1">
        <v>20</v>
      </c>
      <c r="F350" s="1">
        <v>62721</v>
      </c>
      <c r="G350" s="1">
        <v>7</v>
      </c>
      <c r="H350" s="2">
        <v>46079</v>
      </c>
      <c r="I350" s="2">
        <v>46083</v>
      </c>
      <c r="J350" s="1" t="s">
        <v>20</v>
      </c>
      <c r="K350" s="1">
        <v>1349</v>
      </c>
    </row>
    <row r="351" spans="1:11" x14ac:dyDescent="0.3">
      <c r="A351" s="1" t="s">
        <v>26</v>
      </c>
      <c r="B351" s="1" t="s">
        <v>43</v>
      </c>
      <c r="C351" s="1" t="s">
        <v>18</v>
      </c>
      <c r="D351" s="1" t="s">
        <v>28</v>
      </c>
      <c r="E351" s="1">
        <v>16</v>
      </c>
      <c r="F351" s="1">
        <v>11790</v>
      </c>
      <c r="G351" s="1">
        <v>12</v>
      </c>
      <c r="H351" s="2">
        <v>46185</v>
      </c>
      <c r="I351" s="2">
        <v>46190</v>
      </c>
      <c r="J351" s="1" t="s">
        <v>29</v>
      </c>
      <c r="K351" s="1">
        <v>1350</v>
      </c>
    </row>
    <row r="352" spans="1:11" x14ac:dyDescent="0.3">
      <c r="A352" s="1" t="s">
        <v>42</v>
      </c>
      <c r="B352" s="1" t="s">
        <v>33</v>
      </c>
      <c r="C352" s="1" t="s">
        <v>34</v>
      </c>
      <c r="D352" s="1" t="s">
        <v>45</v>
      </c>
      <c r="E352" s="1">
        <v>12</v>
      </c>
      <c r="F352" s="1">
        <v>1272</v>
      </c>
      <c r="G352" s="1">
        <v>0</v>
      </c>
      <c r="H352" s="2">
        <v>46026</v>
      </c>
      <c r="I352" s="2">
        <v>46029</v>
      </c>
      <c r="J352" s="1" t="s">
        <v>15</v>
      </c>
      <c r="K352" s="1">
        <v>1351</v>
      </c>
    </row>
    <row r="353" spans="1:11" x14ac:dyDescent="0.3">
      <c r="A353" s="1" t="s">
        <v>54</v>
      </c>
      <c r="B353" s="1" t="s">
        <v>22</v>
      </c>
      <c r="C353" s="1" t="s">
        <v>13</v>
      </c>
      <c r="D353" s="1" t="s">
        <v>14</v>
      </c>
      <c r="E353" s="1">
        <v>12</v>
      </c>
      <c r="F353" s="1">
        <v>203</v>
      </c>
      <c r="G353" s="1">
        <v>5</v>
      </c>
      <c r="H353" s="2">
        <v>46024</v>
      </c>
      <c r="I353" s="2">
        <v>46033</v>
      </c>
      <c r="J353" s="1" t="s">
        <v>15</v>
      </c>
      <c r="K353" s="1">
        <v>1352</v>
      </c>
    </row>
    <row r="354" spans="1:11" x14ac:dyDescent="0.3">
      <c r="A354" s="1" t="s">
        <v>47</v>
      </c>
      <c r="B354" s="1" t="s">
        <v>43</v>
      </c>
      <c r="C354" s="1" t="s">
        <v>13</v>
      </c>
      <c r="D354" s="1" t="s">
        <v>14</v>
      </c>
      <c r="E354" s="1">
        <v>6</v>
      </c>
      <c r="F354" s="1">
        <v>495</v>
      </c>
      <c r="G354" s="1">
        <v>2</v>
      </c>
      <c r="H354" s="2">
        <v>46194</v>
      </c>
      <c r="I354" s="2">
        <v>46200</v>
      </c>
      <c r="J354" s="1" t="s">
        <v>24</v>
      </c>
      <c r="K354" s="1">
        <v>1353</v>
      </c>
    </row>
    <row r="355" spans="1:11" x14ac:dyDescent="0.3">
      <c r="A355" s="1" t="s">
        <v>47</v>
      </c>
      <c r="B355" s="1" t="s">
        <v>43</v>
      </c>
      <c r="C355" s="1" t="s">
        <v>34</v>
      </c>
      <c r="D355" s="1" t="s">
        <v>35</v>
      </c>
      <c r="E355" s="1">
        <v>15</v>
      </c>
      <c r="F355" s="1">
        <v>14927</v>
      </c>
      <c r="G355" s="1">
        <v>15</v>
      </c>
      <c r="H355" s="2">
        <v>46118</v>
      </c>
      <c r="I355" s="2">
        <v>46120</v>
      </c>
      <c r="J355" s="1" t="s">
        <v>51</v>
      </c>
      <c r="K355" s="1">
        <v>1354</v>
      </c>
    </row>
    <row r="356" spans="1:11" x14ac:dyDescent="0.3">
      <c r="A356" s="1" t="s">
        <v>27</v>
      </c>
      <c r="B356" s="1" t="s">
        <v>12</v>
      </c>
      <c r="C356" s="1" t="s">
        <v>34</v>
      </c>
      <c r="D356" s="1" t="s">
        <v>60</v>
      </c>
      <c r="E356" s="1">
        <v>18</v>
      </c>
      <c r="F356" s="1">
        <v>35997</v>
      </c>
      <c r="G356" s="1">
        <v>2</v>
      </c>
      <c r="H356" s="2">
        <v>46024</v>
      </c>
      <c r="I356" s="2">
        <v>46031</v>
      </c>
      <c r="J356" s="1" t="s">
        <v>51</v>
      </c>
      <c r="K356" s="1">
        <v>1355</v>
      </c>
    </row>
    <row r="357" spans="1:11" x14ac:dyDescent="0.3">
      <c r="A357" s="1" t="s">
        <v>26</v>
      </c>
      <c r="B357" s="1" t="s">
        <v>38</v>
      </c>
      <c r="C357" s="1" t="s">
        <v>34</v>
      </c>
      <c r="D357" s="1" t="s">
        <v>60</v>
      </c>
      <c r="E357" s="1">
        <v>16</v>
      </c>
      <c r="F357" s="1">
        <v>53457</v>
      </c>
      <c r="G357" s="1">
        <v>10</v>
      </c>
      <c r="H357" s="2">
        <v>46201</v>
      </c>
      <c r="I357" s="2">
        <v>46204</v>
      </c>
      <c r="J357" s="1" t="s">
        <v>15</v>
      </c>
      <c r="K357" s="1">
        <v>1356</v>
      </c>
    </row>
    <row r="358" spans="1:11" x14ac:dyDescent="0.3">
      <c r="A358" s="1" t="s">
        <v>59</v>
      </c>
      <c r="B358" s="1" t="s">
        <v>25</v>
      </c>
      <c r="C358" s="1" t="s">
        <v>13</v>
      </c>
      <c r="D358" s="1" t="s">
        <v>37</v>
      </c>
      <c r="E358" s="1">
        <v>6</v>
      </c>
      <c r="F358" s="1">
        <v>365</v>
      </c>
      <c r="G358" s="1">
        <v>7</v>
      </c>
      <c r="H358" s="2">
        <v>46133</v>
      </c>
      <c r="I358" s="2">
        <v>46140</v>
      </c>
      <c r="J358" s="1" t="s">
        <v>51</v>
      </c>
      <c r="K358" s="1">
        <v>1357</v>
      </c>
    </row>
    <row r="359" spans="1:11" x14ac:dyDescent="0.3">
      <c r="A359" s="1" t="s">
        <v>40</v>
      </c>
      <c r="B359" s="1" t="s">
        <v>38</v>
      </c>
      <c r="C359" s="1" t="s">
        <v>18</v>
      </c>
      <c r="D359" s="1" t="s">
        <v>19</v>
      </c>
      <c r="E359" s="1">
        <v>7</v>
      </c>
      <c r="F359" s="1">
        <v>6618</v>
      </c>
      <c r="G359" s="1">
        <v>0</v>
      </c>
      <c r="H359" s="2">
        <v>46127</v>
      </c>
      <c r="I359" s="2">
        <v>46129</v>
      </c>
      <c r="J359" s="1" t="s">
        <v>20</v>
      </c>
      <c r="K359" s="1">
        <v>1358</v>
      </c>
    </row>
    <row r="360" spans="1:11" x14ac:dyDescent="0.3">
      <c r="A360" s="1" t="s">
        <v>54</v>
      </c>
      <c r="B360" s="1" t="s">
        <v>12</v>
      </c>
      <c r="C360" s="1" t="s">
        <v>34</v>
      </c>
      <c r="D360" s="1" t="s">
        <v>61</v>
      </c>
      <c r="E360" s="1">
        <v>9</v>
      </c>
      <c r="F360" s="1">
        <v>38179</v>
      </c>
      <c r="G360" s="1">
        <v>0</v>
      </c>
      <c r="H360" s="2">
        <v>46096</v>
      </c>
      <c r="I360" s="2">
        <v>46099</v>
      </c>
      <c r="J360" s="1" t="s">
        <v>15</v>
      </c>
      <c r="K360" s="1">
        <v>1359</v>
      </c>
    </row>
    <row r="361" spans="1:11" x14ac:dyDescent="0.3">
      <c r="A361" s="1" t="s">
        <v>11</v>
      </c>
      <c r="B361" s="1" t="s">
        <v>43</v>
      </c>
      <c r="C361" s="1" t="s">
        <v>18</v>
      </c>
      <c r="D361" s="1" t="s">
        <v>23</v>
      </c>
      <c r="E361" s="1">
        <v>19</v>
      </c>
      <c r="F361" s="1">
        <v>6681</v>
      </c>
      <c r="G361" s="1">
        <v>2</v>
      </c>
      <c r="H361" s="2">
        <v>46146</v>
      </c>
      <c r="I361" s="2">
        <v>46150</v>
      </c>
      <c r="J361" s="1" t="s">
        <v>15</v>
      </c>
      <c r="K361" s="1">
        <v>1360</v>
      </c>
    </row>
    <row r="362" spans="1:11" x14ac:dyDescent="0.3">
      <c r="A362" s="1" t="s">
        <v>42</v>
      </c>
      <c r="B362" s="1" t="s">
        <v>17</v>
      </c>
      <c r="C362" s="1" t="s">
        <v>18</v>
      </c>
      <c r="D362" s="1" t="s">
        <v>23</v>
      </c>
      <c r="E362" s="1">
        <v>2</v>
      </c>
      <c r="F362" s="1">
        <v>1822</v>
      </c>
      <c r="G362" s="1">
        <v>5</v>
      </c>
      <c r="H362" s="2">
        <v>46141</v>
      </c>
      <c r="I362" s="2">
        <v>46145</v>
      </c>
      <c r="J362" s="1" t="s">
        <v>20</v>
      </c>
      <c r="K362" s="1">
        <v>1361</v>
      </c>
    </row>
    <row r="363" spans="1:11" x14ac:dyDescent="0.3">
      <c r="A363" s="1" t="s">
        <v>16</v>
      </c>
      <c r="B363" s="1" t="s">
        <v>12</v>
      </c>
      <c r="C363" s="1" t="s">
        <v>18</v>
      </c>
      <c r="D363" s="1" t="s">
        <v>28</v>
      </c>
      <c r="E363" s="1">
        <v>1</v>
      </c>
      <c r="F363" s="1">
        <v>10474</v>
      </c>
      <c r="G363" s="1">
        <v>0</v>
      </c>
      <c r="H363" s="2">
        <v>46094</v>
      </c>
      <c r="I363" s="2">
        <v>46096</v>
      </c>
      <c r="J363" s="1" t="s">
        <v>29</v>
      </c>
      <c r="K363" s="1">
        <v>1362</v>
      </c>
    </row>
    <row r="364" spans="1:11" x14ac:dyDescent="0.3">
      <c r="A364" s="1" t="s">
        <v>27</v>
      </c>
      <c r="B364" s="1" t="s">
        <v>25</v>
      </c>
      <c r="C364" s="1" t="s">
        <v>34</v>
      </c>
      <c r="D364" s="1" t="s">
        <v>35</v>
      </c>
      <c r="E364" s="1">
        <v>7</v>
      </c>
      <c r="F364" s="1">
        <v>45381</v>
      </c>
      <c r="G364" s="1">
        <v>0</v>
      </c>
      <c r="H364" s="2">
        <v>46122</v>
      </c>
      <c r="I364" s="2">
        <v>46128</v>
      </c>
      <c r="J364" s="1" t="s">
        <v>15</v>
      </c>
      <c r="K364" s="1">
        <v>1363</v>
      </c>
    </row>
    <row r="365" spans="1:11" x14ac:dyDescent="0.3">
      <c r="A365" s="1" t="s">
        <v>30</v>
      </c>
      <c r="B365" s="1" t="s">
        <v>22</v>
      </c>
      <c r="C365" s="1" t="s">
        <v>18</v>
      </c>
      <c r="D365" s="1" t="s">
        <v>56</v>
      </c>
      <c r="E365" s="1">
        <v>16</v>
      </c>
      <c r="F365" s="1">
        <v>1744</v>
      </c>
      <c r="G365" s="1">
        <v>15</v>
      </c>
      <c r="H365" s="2">
        <v>46031</v>
      </c>
      <c r="I365" s="2">
        <v>46033</v>
      </c>
      <c r="J365" s="1" t="s">
        <v>51</v>
      </c>
      <c r="K365" s="1">
        <v>1364</v>
      </c>
    </row>
    <row r="366" spans="1:11" x14ac:dyDescent="0.3">
      <c r="A366" s="1" t="s">
        <v>46</v>
      </c>
      <c r="B366" s="1" t="s">
        <v>33</v>
      </c>
      <c r="C366" s="1" t="s">
        <v>13</v>
      </c>
      <c r="D366" s="1" t="s">
        <v>50</v>
      </c>
      <c r="E366" s="1">
        <v>17</v>
      </c>
      <c r="F366" s="1">
        <v>119</v>
      </c>
      <c r="G366" s="1">
        <v>7</v>
      </c>
      <c r="H366" s="2">
        <v>46070</v>
      </c>
      <c r="I366" s="2">
        <v>46072</v>
      </c>
      <c r="J366" s="1" t="s">
        <v>20</v>
      </c>
      <c r="K366" s="1">
        <v>1365</v>
      </c>
    </row>
    <row r="367" spans="1:11" x14ac:dyDescent="0.3">
      <c r="A367" s="1" t="s">
        <v>26</v>
      </c>
      <c r="B367" s="1" t="s">
        <v>17</v>
      </c>
      <c r="C367" s="1" t="s">
        <v>34</v>
      </c>
      <c r="D367" s="1" t="s">
        <v>61</v>
      </c>
      <c r="E367" s="1">
        <v>20</v>
      </c>
      <c r="F367" s="1">
        <v>44312</v>
      </c>
      <c r="G367" s="1">
        <v>10</v>
      </c>
      <c r="H367" s="2">
        <v>46047</v>
      </c>
      <c r="I367" s="2">
        <v>46054</v>
      </c>
      <c r="J367" s="1" t="s">
        <v>29</v>
      </c>
      <c r="K367" s="1">
        <v>1366</v>
      </c>
    </row>
    <row r="368" spans="1:11" x14ac:dyDescent="0.3">
      <c r="A368" s="1" t="s">
        <v>54</v>
      </c>
      <c r="B368" s="1" t="s">
        <v>25</v>
      </c>
      <c r="C368" s="1" t="s">
        <v>13</v>
      </c>
      <c r="D368" s="1" t="s">
        <v>53</v>
      </c>
      <c r="E368" s="1">
        <v>1</v>
      </c>
      <c r="F368" s="1">
        <v>371</v>
      </c>
      <c r="G368" s="1">
        <v>5</v>
      </c>
      <c r="H368" s="2">
        <v>46158</v>
      </c>
      <c r="I368" s="2">
        <v>46168</v>
      </c>
      <c r="J368" s="1" t="s">
        <v>29</v>
      </c>
      <c r="K368" s="1">
        <v>1367</v>
      </c>
    </row>
    <row r="369" spans="1:11" x14ac:dyDescent="0.3">
      <c r="A369" s="1" t="s">
        <v>55</v>
      </c>
      <c r="B369" s="1" t="s">
        <v>38</v>
      </c>
      <c r="C369" s="1" t="s">
        <v>13</v>
      </c>
      <c r="D369" s="1" t="s">
        <v>36</v>
      </c>
      <c r="E369" s="1">
        <v>9</v>
      </c>
      <c r="F369" s="1">
        <v>115</v>
      </c>
      <c r="G369" s="1">
        <v>0</v>
      </c>
      <c r="H369" s="2">
        <v>46036</v>
      </c>
      <c r="I369" s="2">
        <v>46045</v>
      </c>
      <c r="J369" s="1" t="s">
        <v>24</v>
      </c>
      <c r="K369" s="1">
        <v>1368</v>
      </c>
    </row>
    <row r="370" spans="1:11" x14ac:dyDescent="0.3">
      <c r="A370" s="1" t="s">
        <v>57</v>
      </c>
      <c r="B370" s="1" t="s">
        <v>25</v>
      </c>
      <c r="C370" s="1" t="s">
        <v>18</v>
      </c>
      <c r="D370" s="1" t="s">
        <v>19</v>
      </c>
      <c r="E370" s="1">
        <v>19</v>
      </c>
      <c r="F370" s="1">
        <v>5840</v>
      </c>
      <c r="G370" s="1">
        <v>5</v>
      </c>
      <c r="H370" s="2">
        <v>46062</v>
      </c>
      <c r="I370" s="2">
        <v>46067</v>
      </c>
      <c r="J370" s="1" t="s">
        <v>15</v>
      </c>
      <c r="K370" s="1">
        <v>1369</v>
      </c>
    </row>
    <row r="371" spans="1:11" x14ac:dyDescent="0.3">
      <c r="A371" s="1" t="s">
        <v>59</v>
      </c>
      <c r="B371" s="1" t="s">
        <v>38</v>
      </c>
      <c r="C371" s="1" t="s">
        <v>13</v>
      </c>
      <c r="D371" s="1" t="s">
        <v>53</v>
      </c>
      <c r="E371" s="1">
        <v>13</v>
      </c>
      <c r="F371" s="1">
        <v>337</v>
      </c>
      <c r="G371" s="1">
        <v>7</v>
      </c>
      <c r="H371" s="2">
        <v>46184</v>
      </c>
      <c r="I371" s="2">
        <v>46188</v>
      </c>
      <c r="J371" s="1" t="s">
        <v>15</v>
      </c>
      <c r="K371" s="1">
        <v>1370</v>
      </c>
    </row>
    <row r="372" spans="1:11" x14ac:dyDescent="0.3">
      <c r="A372" s="1" t="s">
        <v>48</v>
      </c>
      <c r="B372" s="1" t="s">
        <v>38</v>
      </c>
      <c r="C372" s="1" t="s">
        <v>18</v>
      </c>
      <c r="D372" s="1" t="s">
        <v>19</v>
      </c>
      <c r="E372" s="1">
        <v>19</v>
      </c>
      <c r="F372" s="1">
        <v>1087</v>
      </c>
      <c r="G372" s="1">
        <v>15</v>
      </c>
      <c r="H372" s="2">
        <v>46072</v>
      </c>
      <c r="I372" s="2">
        <v>46082</v>
      </c>
      <c r="J372" s="1" t="s">
        <v>20</v>
      </c>
      <c r="K372" s="1">
        <v>1371</v>
      </c>
    </row>
    <row r="373" spans="1:11" x14ac:dyDescent="0.3">
      <c r="A373" s="1" t="s">
        <v>48</v>
      </c>
      <c r="B373" s="1" t="s">
        <v>17</v>
      </c>
      <c r="C373" s="1" t="s">
        <v>34</v>
      </c>
      <c r="D373" s="1" t="s">
        <v>39</v>
      </c>
      <c r="E373" s="1">
        <v>9</v>
      </c>
      <c r="F373" s="1">
        <v>9551</v>
      </c>
      <c r="G373" s="1">
        <v>10</v>
      </c>
      <c r="H373" s="2">
        <v>46161</v>
      </c>
      <c r="I373" s="2">
        <v>46168</v>
      </c>
      <c r="J373" s="1" t="s">
        <v>15</v>
      </c>
      <c r="K373" s="1">
        <v>1372</v>
      </c>
    </row>
    <row r="374" spans="1:11" x14ac:dyDescent="0.3">
      <c r="A374" s="1" t="s">
        <v>54</v>
      </c>
      <c r="B374" s="1" t="s">
        <v>25</v>
      </c>
      <c r="C374" s="1" t="s">
        <v>34</v>
      </c>
      <c r="D374" s="1" t="s">
        <v>60</v>
      </c>
      <c r="E374" s="1">
        <v>11</v>
      </c>
      <c r="F374" s="1">
        <v>47930</v>
      </c>
      <c r="G374" s="1">
        <v>12</v>
      </c>
      <c r="H374" s="2">
        <v>46191</v>
      </c>
      <c r="I374" s="2">
        <v>46201</v>
      </c>
      <c r="J374" s="1" t="s">
        <v>20</v>
      </c>
      <c r="K374" s="1">
        <v>1373</v>
      </c>
    </row>
    <row r="375" spans="1:11" x14ac:dyDescent="0.3">
      <c r="A375" s="1" t="s">
        <v>57</v>
      </c>
      <c r="B375" s="1" t="s">
        <v>33</v>
      </c>
      <c r="C375" s="1" t="s">
        <v>34</v>
      </c>
      <c r="D375" s="1" t="s">
        <v>35</v>
      </c>
      <c r="E375" s="1">
        <v>12</v>
      </c>
      <c r="F375" s="1">
        <v>66052</v>
      </c>
      <c r="G375" s="1">
        <v>2</v>
      </c>
      <c r="H375" s="2">
        <v>46063</v>
      </c>
      <c r="I375" s="2">
        <v>46066</v>
      </c>
      <c r="J375" s="1" t="s">
        <v>51</v>
      </c>
      <c r="K375" s="1">
        <v>1374</v>
      </c>
    </row>
    <row r="376" spans="1:11" x14ac:dyDescent="0.3">
      <c r="A376" s="1" t="s">
        <v>46</v>
      </c>
      <c r="B376" s="1" t="s">
        <v>43</v>
      </c>
      <c r="C376" s="1" t="s">
        <v>34</v>
      </c>
      <c r="D376" s="1" t="s">
        <v>45</v>
      </c>
      <c r="E376" s="1">
        <v>20</v>
      </c>
      <c r="F376" s="1">
        <v>56766</v>
      </c>
      <c r="G376" s="1">
        <v>0</v>
      </c>
      <c r="H376" s="2">
        <v>46052</v>
      </c>
      <c r="I376" s="2">
        <v>46061</v>
      </c>
      <c r="J376" s="1" t="s">
        <v>24</v>
      </c>
      <c r="K376" s="1">
        <v>1375</v>
      </c>
    </row>
    <row r="377" spans="1:11" x14ac:dyDescent="0.3">
      <c r="A377" s="1" t="s">
        <v>52</v>
      </c>
      <c r="B377" s="1" t="s">
        <v>31</v>
      </c>
      <c r="C377" s="1" t="s">
        <v>13</v>
      </c>
      <c r="D377" s="1" t="s">
        <v>50</v>
      </c>
      <c r="E377" s="1">
        <v>20</v>
      </c>
      <c r="F377" s="1">
        <v>429</v>
      </c>
      <c r="G377" s="1">
        <v>5</v>
      </c>
      <c r="H377" s="2">
        <v>46178</v>
      </c>
      <c r="I377" s="2">
        <v>46184</v>
      </c>
      <c r="J377" s="1" t="s">
        <v>20</v>
      </c>
      <c r="K377" s="1">
        <v>1376</v>
      </c>
    </row>
    <row r="378" spans="1:11" x14ac:dyDescent="0.3">
      <c r="A378" s="1" t="s">
        <v>32</v>
      </c>
      <c r="B378" s="1" t="s">
        <v>38</v>
      </c>
      <c r="C378" s="1" t="s">
        <v>18</v>
      </c>
      <c r="D378" s="1" t="s">
        <v>19</v>
      </c>
      <c r="E378" s="1">
        <v>3</v>
      </c>
      <c r="F378" s="1">
        <v>5480</v>
      </c>
      <c r="G378" s="1">
        <v>12</v>
      </c>
      <c r="H378" s="2">
        <v>46105</v>
      </c>
      <c r="I378" s="2">
        <v>46111</v>
      </c>
      <c r="J378" s="1" t="s">
        <v>24</v>
      </c>
      <c r="K378" s="1">
        <v>1377</v>
      </c>
    </row>
    <row r="379" spans="1:11" x14ac:dyDescent="0.3">
      <c r="A379" s="1" t="s">
        <v>55</v>
      </c>
      <c r="B379" s="1" t="s">
        <v>22</v>
      </c>
      <c r="C379" s="1" t="s">
        <v>34</v>
      </c>
      <c r="D379" s="1" t="s">
        <v>45</v>
      </c>
      <c r="E379" s="1">
        <v>15</v>
      </c>
      <c r="F379" s="1">
        <v>22693</v>
      </c>
      <c r="G379" s="1">
        <v>12</v>
      </c>
      <c r="H379" s="2">
        <v>46074</v>
      </c>
      <c r="I379" s="2">
        <v>46080</v>
      </c>
      <c r="J379" s="1" t="s">
        <v>51</v>
      </c>
      <c r="K379" s="1">
        <v>1378</v>
      </c>
    </row>
    <row r="380" spans="1:11" x14ac:dyDescent="0.3">
      <c r="A380" s="1" t="s">
        <v>47</v>
      </c>
      <c r="B380" s="1" t="s">
        <v>17</v>
      </c>
      <c r="C380" s="1" t="s">
        <v>13</v>
      </c>
      <c r="D380" s="1" t="s">
        <v>14</v>
      </c>
      <c r="E380" s="1">
        <v>11</v>
      </c>
      <c r="F380" s="1">
        <v>136</v>
      </c>
      <c r="G380" s="1">
        <v>15</v>
      </c>
      <c r="H380" s="2">
        <v>46106</v>
      </c>
      <c r="I380" s="2">
        <v>46107</v>
      </c>
      <c r="J380" s="1" t="s">
        <v>20</v>
      </c>
      <c r="K380" s="1">
        <v>1379</v>
      </c>
    </row>
    <row r="381" spans="1:11" x14ac:dyDescent="0.3">
      <c r="A381" s="1" t="s">
        <v>52</v>
      </c>
      <c r="B381" s="1" t="s">
        <v>43</v>
      </c>
      <c r="C381" s="1" t="s">
        <v>13</v>
      </c>
      <c r="D381" s="1" t="s">
        <v>53</v>
      </c>
      <c r="E381" s="1">
        <v>3</v>
      </c>
      <c r="F381" s="1">
        <v>412</v>
      </c>
      <c r="G381" s="1">
        <v>7</v>
      </c>
      <c r="H381" s="2">
        <v>46128</v>
      </c>
      <c r="I381" s="2">
        <v>46138</v>
      </c>
      <c r="J381" s="1" t="s">
        <v>24</v>
      </c>
      <c r="K381" s="1">
        <v>1380</v>
      </c>
    </row>
    <row r="382" spans="1:11" x14ac:dyDescent="0.3">
      <c r="A382" s="1" t="s">
        <v>55</v>
      </c>
      <c r="B382" s="1" t="s">
        <v>33</v>
      </c>
      <c r="C382" s="1" t="s">
        <v>18</v>
      </c>
      <c r="D382" s="1" t="s">
        <v>28</v>
      </c>
      <c r="E382" s="1">
        <v>5</v>
      </c>
      <c r="F382" s="1">
        <v>7484</v>
      </c>
      <c r="G382" s="1">
        <v>2</v>
      </c>
      <c r="H382" s="2">
        <v>46089</v>
      </c>
      <c r="I382" s="2">
        <v>46093</v>
      </c>
      <c r="J382" s="1" t="s">
        <v>20</v>
      </c>
      <c r="K382" s="1">
        <v>1381</v>
      </c>
    </row>
    <row r="383" spans="1:11" x14ac:dyDescent="0.3">
      <c r="A383" s="1" t="s">
        <v>49</v>
      </c>
      <c r="B383" s="1" t="s">
        <v>33</v>
      </c>
      <c r="C383" s="1" t="s">
        <v>34</v>
      </c>
      <c r="D383" s="1" t="s">
        <v>60</v>
      </c>
      <c r="E383" s="1">
        <v>11</v>
      </c>
      <c r="F383" s="1">
        <v>36198</v>
      </c>
      <c r="G383" s="1">
        <v>0</v>
      </c>
      <c r="H383" s="2">
        <v>46130</v>
      </c>
      <c r="I383" s="2">
        <v>46134</v>
      </c>
      <c r="J383" s="1" t="s">
        <v>15</v>
      </c>
      <c r="K383" s="1">
        <v>1382</v>
      </c>
    </row>
    <row r="384" spans="1:11" x14ac:dyDescent="0.3">
      <c r="A384" s="1" t="s">
        <v>32</v>
      </c>
      <c r="B384" s="1" t="s">
        <v>12</v>
      </c>
      <c r="C384" s="1" t="s">
        <v>13</v>
      </c>
      <c r="D384" s="1" t="s">
        <v>53</v>
      </c>
      <c r="E384" s="1">
        <v>14</v>
      </c>
      <c r="F384" s="1">
        <v>334</v>
      </c>
      <c r="G384" s="1">
        <v>10</v>
      </c>
      <c r="H384" s="2">
        <v>46196</v>
      </c>
      <c r="I384" s="2">
        <v>46203</v>
      </c>
      <c r="J384" s="1" t="s">
        <v>15</v>
      </c>
      <c r="K384" s="1">
        <v>1383</v>
      </c>
    </row>
    <row r="385" spans="1:11" x14ac:dyDescent="0.3">
      <c r="A385" s="1" t="s">
        <v>59</v>
      </c>
      <c r="B385" s="1" t="s">
        <v>12</v>
      </c>
      <c r="C385" s="1" t="s">
        <v>34</v>
      </c>
      <c r="D385" s="1" t="s">
        <v>39</v>
      </c>
      <c r="E385" s="1">
        <v>15</v>
      </c>
      <c r="F385" s="1">
        <v>38116</v>
      </c>
      <c r="G385" s="1">
        <v>0</v>
      </c>
      <c r="H385" s="2">
        <v>46074</v>
      </c>
      <c r="I385" s="2">
        <v>46078</v>
      </c>
      <c r="J385" s="1" t="s">
        <v>29</v>
      </c>
      <c r="K385" s="1">
        <v>1384</v>
      </c>
    </row>
    <row r="386" spans="1:11" x14ac:dyDescent="0.3">
      <c r="A386" s="1" t="s">
        <v>26</v>
      </c>
      <c r="B386" s="1" t="s">
        <v>33</v>
      </c>
      <c r="C386" s="1" t="s">
        <v>34</v>
      </c>
      <c r="D386" s="1" t="s">
        <v>39</v>
      </c>
      <c r="E386" s="1">
        <v>12</v>
      </c>
      <c r="F386" s="1">
        <v>61360</v>
      </c>
      <c r="G386" s="1">
        <v>10</v>
      </c>
      <c r="H386" s="2">
        <v>46048</v>
      </c>
      <c r="I386" s="2">
        <v>46053</v>
      </c>
      <c r="J386" s="1" t="s">
        <v>51</v>
      </c>
      <c r="K386" s="1">
        <v>1385</v>
      </c>
    </row>
    <row r="387" spans="1:11" x14ac:dyDescent="0.3">
      <c r="A387" s="1" t="s">
        <v>27</v>
      </c>
      <c r="B387" s="1" t="s">
        <v>31</v>
      </c>
      <c r="C387" s="1" t="s">
        <v>18</v>
      </c>
      <c r="D387" s="1" t="s">
        <v>28</v>
      </c>
      <c r="E387" s="1">
        <v>9</v>
      </c>
      <c r="F387" s="1">
        <v>7509</v>
      </c>
      <c r="G387" s="1">
        <v>5</v>
      </c>
      <c r="H387" s="2">
        <v>46162</v>
      </c>
      <c r="I387" s="2">
        <v>46171</v>
      </c>
      <c r="J387" s="1" t="s">
        <v>51</v>
      </c>
      <c r="K387" s="1">
        <v>1386</v>
      </c>
    </row>
    <row r="388" spans="1:11" x14ac:dyDescent="0.3">
      <c r="A388" s="1" t="s">
        <v>54</v>
      </c>
      <c r="B388" s="1" t="s">
        <v>33</v>
      </c>
      <c r="C388" s="1" t="s">
        <v>34</v>
      </c>
      <c r="D388" s="1" t="s">
        <v>35</v>
      </c>
      <c r="E388" s="1">
        <v>11</v>
      </c>
      <c r="F388" s="1">
        <v>56515</v>
      </c>
      <c r="G388" s="1">
        <v>5</v>
      </c>
      <c r="H388" s="2">
        <v>46102</v>
      </c>
      <c r="I388" s="2">
        <v>46112</v>
      </c>
      <c r="J388" s="1" t="s">
        <v>24</v>
      </c>
      <c r="K388" s="1">
        <v>1387</v>
      </c>
    </row>
    <row r="389" spans="1:11" x14ac:dyDescent="0.3">
      <c r="A389" s="1" t="s">
        <v>55</v>
      </c>
      <c r="B389" s="1" t="s">
        <v>31</v>
      </c>
      <c r="C389" s="1" t="s">
        <v>18</v>
      </c>
      <c r="D389" s="1" t="s">
        <v>28</v>
      </c>
      <c r="E389" s="1">
        <v>12</v>
      </c>
      <c r="F389" s="1">
        <v>11662</v>
      </c>
      <c r="G389" s="1">
        <v>12</v>
      </c>
      <c r="H389" s="2">
        <v>46094</v>
      </c>
      <c r="I389" s="2">
        <v>46096</v>
      </c>
      <c r="J389" s="1" t="s">
        <v>20</v>
      </c>
      <c r="K389" s="1">
        <v>1388</v>
      </c>
    </row>
    <row r="390" spans="1:11" x14ac:dyDescent="0.3">
      <c r="A390" s="1" t="s">
        <v>32</v>
      </c>
      <c r="B390" s="1" t="s">
        <v>12</v>
      </c>
      <c r="C390" s="1" t="s">
        <v>34</v>
      </c>
      <c r="D390" s="1" t="s">
        <v>41</v>
      </c>
      <c r="E390" s="1">
        <v>3</v>
      </c>
      <c r="F390" s="1">
        <v>56380</v>
      </c>
      <c r="G390" s="1">
        <v>5</v>
      </c>
      <c r="H390" s="2">
        <v>46044</v>
      </c>
      <c r="I390" s="2">
        <v>46048</v>
      </c>
      <c r="J390" s="1" t="s">
        <v>51</v>
      </c>
      <c r="K390" s="1">
        <v>1389</v>
      </c>
    </row>
    <row r="391" spans="1:11" x14ac:dyDescent="0.3">
      <c r="A391" s="1" t="s">
        <v>58</v>
      </c>
      <c r="B391" s="1" t="s">
        <v>43</v>
      </c>
      <c r="C391" s="1" t="s">
        <v>18</v>
      </c>
      <c r="D391" s="1" t="s">
        <v>19</v>
      </c>
      <c r="E391" s="1">
        <v>9</v>
      </c>
      <c r="F391" s="1">
        <v>7670</v>
      </c>
      <c r="G391" s="1">
        <v>0</v>
      </c>
      <c r="H391" s="2">
        <v>46076</v>
      </c>
      <c r="I391" s="2">
        <v>46081</v>
      </c>
      <c r="J391" s="1" t="s">
        <v>51</v>
      </c>
      <c r="K391" s="1">
        <v>1390</v>
      </c>
    </row>
    <row r="392" spans="1:11" x14ac:dyDescent="0.3">
      <c r="A392" s="1" t="s">
        <v>30</v>
      </c>
      <c r="B392" s="1" t="s">
        <v>31</v>
      </c>
      <c r="C392" s="1" t="s">
        <v>34</v>
      </c>
      <c r="D392" s="1" t="s">
        <v>35</v>
      </c>
      <c r="E392" s="1">
        <v>5</v>
      </c>
      <c r="F392" s="1">
        <v>65270</v>
      </c>
      <c r="G392" s="1">
        <v>5</v>
      </c>
      <c r="H392" s="2">
        <v>46100</v>
      </c>
      <c r="I392" s="2">
        <v>46103</v>
      </c>
      <c r="J392" s="1" t="s">
        <v>24</v>
      </c>
      <c r="K392" s="1">
        <v>1391</v>
      </c>
    </row>
    <row r="393" spans="1:11" x14ac:dyDescent="0.3">
      <c r="A393" s="1" t="s">
        <v>29</v>
      </c>
      <c r="B393" s="1" t="s">
        <v>43</v>
      </c>
      <c r="C393" s="1" t="s">
        <v>34</v>
      </c>
      <c r="D393" s="1" t="s">
        <v>35</v>
      </c>
      <c r="E393" s="1">
        <v>13</v>
      </c>
      <c r="F393" s="1">
        <v>23903</v>
      </c>
      <c r="G393" s="1">
        <v>5</v>
      </c>
      <c r="H393" s="2">
        <v>46124</v>
      </c>
      <c r="I393" s="2">
        <v>46125</v>
      </c>
      <c r="J393" s="1" t="s">
        <v>29</v>
      </c>
      <c r="K393" s="1">
        <v>1392</v>
      </c>
    </row>
    <row r="394" spans="1:11" x14ac:dyDescent="0.3">
      <c r="A394" s="1" t="s">
        <v>30</v>
      </c>
      <c r="B394" s="1" t="s">
        <v>25</v>
      </c>
      <c r="C394" s="1" t="s">
        <v>34</v>
      </c>
      <c r="D394" s="1" t="s">
        <v>45</v>
      </c>
      <c r="E394" s="1">
        <v>17</v>
      </c>
      <c r="F394" s="1">
        <v>30351</v>
      </c>
      <c r="G394" s="1">
        <v>15</v>
      </c>
      <c r="H394" s="2">
        <v>46047</v>
      </c>
      <c r="I394" s="2">
        <v>46051</v>
      </c>
      <c r="J394" s="1" t="s">
        <v>51</v>
      </c>
      <c r="K394" s="1">
        <v>1393</v>
      </c>
    </row>
    <row r="395" spans="1:11" x14ac:dyDescent="0.3">
      <c r="A395" s="1" t="s">
        <v>54</v>
      </c>
      <c r="B395" s="1" t="s">
        <v>12</v>
      </c>
      <c r="C395" s="1" t="s">
        <v>13</v>
      </c>
      <c r="D395" s="1" t="s">
        <v>14</v>
      </c>
      <c r="E395" s="1">
        <v>10</v>
      </c>
      <c r="F395" s="1">
        <v>138</v>
      </c>
      <c r="G395" s="1">
        <v>2</v>
      </c>
      <c r="H395" s="2">
        <v>46056</v>
      </c>
      <c r="I395" s="2">
        <v>46057</v>
      </c>
      <c r="J395" s="1" t="s">
        <v>15</v>
      </c>
      <c r="K395" s="1">
        <v>1394</v>
      </c>
    </row>
    <row r="396" spans="1:11" x14ac:dyDescent="0.3">
      <c r="A396" s="1" t="s">
        <v>54</v>
      </c>
      <c r="B396" s="1" t="s">
        <v>33</v>
      </c>
      <c r="C396" s="1" t="s">
        <v>18</v>
      </c>
      <c r="D396" s="1" t="s">
        <v>44</v>
      </c>
      <c r="E396" s="1">
        <v>18</v>
      </c>
      <c r="F396" s="1">
        <v>10402</v>
      </c>
      <c r="G396" s="1">
        <v>15</v>
      </c>
      <c r="H396" s="2">
        <v>46062</v>
      </c>
      <c r="I396" s="2">
        <v>46067</v>
      </c>
      <c r="J396" s="1" t="s">
        <v>29</v>
      </c>
      <c r="K396" s="1">
        <v>1395</v>
      </c>
    </row>
    <row r="397" spans="1:11" x14ac:dyDescent="0.3">
      <c r="A397" s="1" t="s">
        <v>21</v>
      </c>
      <c r="B397" s="1" t="s">
        <v>38</v>
      </c>
      <c r="C397" s="1" t="s">
        <v>13</v>
      </c>
      <c r="D397" s="1" t="s">
        <v>53</v>
      </c>
      <c r="E397" s="1">
        <v>8</v>
      </c>
      <c r="F397" s="1">
        <v>54</v>
      </c>
      <c r="G397" s="1">
        <v>15</v>
      </c>
      <c r="H397" s="2">
        <v>46031</v>
      </c>
      <c r="I397" s="2">
        <v>46035</v>
      </c>
      <c r="J397" s="1" t="s">
        <v>15</v>
      </c>
      <c r="K397" s="1">
        <v>1396</v>
      </c>
    </row>
    <row r="398" spans="1:11" x14ac:dyDescent="0.3">
      <c r="A398" s="1" t="s">
        <v>21</v>
      </c>
      <c r="B398" s="1" t="s">
        <v>33</v>
      </c>
      <c r="C398" s="1" t="s">
        <v>18</v>
      </c>
      <c r="D398" s="1" t="s">
        <v>23</v>
      </c>
      <c r="E398" s="1">
        <v>1</v>
      </c>
      <c r="F398" s="1">
        <v>8948</v>
      </c>
      <c r="G398" s="1">
        <v>5</v>
      </c>
      <c r="H398" s="2">
        <v>46194</v>
      </c>
      <c r="I398" s="2">
        <v>46201</v>
      </c>
      <c r="J398" s="1" t="s">
        <v>51</v>
      </c>
      <c r="K398" s="1">
        <v>1397</v>
      </c>
    </row>
    <row r="399" spans="1:11" x14ac:dyDescent="0.3">
      <c r="A399" s="1" t="s">
        <v>58</v>
      </c>
      <c r="B399" s="1" t="s">
        <v>43</v>
      </c>
      <c r="C399" s="1" t="s">
        <v>34</v>
      </c>
      <c r="D399" s="1" t="s">
        <v>39</v>
      </c>
      <c r="E399" s="1">
        <v>12</v>
      </c>
      <c r="F399" s="1">
        <v>10668</v>
      </c>
      <c r="G399" s="1">
        <v>0</v>
      </c>
      <c r="H399" s="2">
        <v>46170</v>
      </c>
      <c r="I399" s="2">
        <v>46176</v>
      </c>
      <c r="J399" s="1" t="s">
        <v>15</v>
      </c>
      <c r="K399" s="1">
        <v>1398</v>
      </c>
    </row>
    <row r="400" spans="1:11" x14ac:dyDescent="0.3">
      <c r="A400" s="1" t="s">
        <v>48</v>
      </c>
      <c r="B400" s="1" t="s">
        <v>31</v>
      </c>
      <c r="C400" s="1" t="s">
        <v>13</v>
      </c>
      <c r="D400" s="1" t="s">
        <v>14</v>
      </c>
      <c r="E400" s="1">
        <v>15</v>
      </c>
      <c r="F400" s="1">
        <v>87</v>
      </c>
      <c r="G400" s="1">
        <v>15</v>
      </c>
      <c r="H400" s="2">
        <v>46089</v>
      </c>
      <c r="I400" s="2">
        <v>46093</v>
      </c>
      <c r="J400" s="1" t="s">
        <v>20</v>
      </c>
      <c r="K400" s="1">
        <v>1399</v>
      </c>
    </row>
    <row r="401" spans="1:11" x14ac:dyDescent="0.3">
      <c r="A401" s="1" t="s">
        <v>40</v>
      </c>
      <c r="B401" s="1" t="s">
        <v>22</v>
      </c>
      <c r="C401" s="1" t="s">
        <v>34</v>
      </c>
      <c r="D401" s="1" t="s">
        <v>35</v>
      </c>
      <c r="E401" s="1">
        <v>13</v>
      </c>
      <c r="F401" s="1">
        <v>52411</v>
      </c>
      <c r="G401" s="1">
        <v>15</v>
      </c>
      <c r="H401" s="2">
        <v>46090</v>
      </c>
      <c r="I401" s="2">
        <v>46092</v>
      </c>
      <c r="J401" s="1" t="s">
        <v>20</v>
      </c>
      <c r="K401" s="1">
        <v>1400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401"/>
  <sheetViews>
    <sheetView workbookViewId="0"/>
  </sheetViews>
  <sheetFormatPr defaultColWidth="14.44140625" defaultRowHeight="15" customHeight="1" x14ac:dyDescent="0.3"/>
  <sheetData>
    <row r="1" spans="1:11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0</v>
      </c>
    </row>
    <row r="2" spans="1:11" x14ac:dyDescent="0.3">
      <c r="A2" s="1" t="s">
        <v>11</v>
      </c>
      <c r="B2" s="1" t="s">
        <v>43</v>
      </c>
      <c r="C2" s="1" t="s">
        <v>34</v>
      </c>
      <c r="D2" s="1" t="s">
        <v>41</v>
      </c>
      <c r="E2" s="1">
        <v>18</v>
      </c>
      <c r="F2" s="1">
        <v>45652</v>
      </c>
      <c r="G2" s="1">
        <v>10</v>
      </c>
      <c r="H2" s="2">
        <v>46023</v>
      </c>
      <c r="I2" s="2">
        <v>46030</v>
      </c>
      <c r="J2" s="1" t="s">
        <v>20</v>
      </c>
      <c r="K2" s="1">
        <v>1019</v>
      </c>
    </row>
    <row r="3" spans="1:11" x14ac:dyDescent="0.3">
      <c r="A3" s="1" t="s">
        <v>27</v>
      </c>
      <c r="B3" s="1" t="s">
        <v>12</v>
      </c>
      <c r="C3" s="1" t="s">
        <v>34</v>
      </c>
      <c r="D3" s="1" t="s">
        <v>60</v>
      </c>
      <c r="E3" s="1">
        <v>18</v>
      </c>
      <c r="F3" s="1">
        <v>35997</v>
      </c>
      <c r="G3" s="1">
        <v>2</v>
      </c>
      <c r="H3" s="2">
        <v>46024</v>
      </c>
      <c r="I3" s="2">
        <v>46031</v>
      </c>
      <c r="J3" s="1" t="s">
        <v>51</v>
      </c>
      <c r="K3" s="1">
        <v>1355</v>
      </c>
    </row>
    <row r="4" spans="1:11" x14ac:dyDescent="0.3">
      <c r="A4" s="1" t="s">
        <v>49</v>
      </c>
      <c r="B4" s="1" t="s">
        <v>12</v>
      </c>
      <c r="C4" s="1" t="s">
        <v>18</v>
      </c>
      <c r="D4" s="1" t="s">
        <v>44</v>
      </c>
      <c r="E4" s="1">
        <v>9</v>
      </c>
      <c r="F4" s="1">
        <v>9727</v>
      </c>
      <c r="G4" s="1">
        <v>2</v>
      </c>
      <c r="H4" s="2">
        <v>46024</v>
      </c>
      <c r="I4" s="2">
        <v>46030</v>
      </c>
      <c r="J4" s="1" t="s">
        <v>20</v>
      </c>
      <c r="K4" s="1">
        <v>1060</v>
      </c>
    </row>
    <row r="5" spans="1:11" x14ac:dyDescent="0.3">
      <c r="A5" s="1" t="s">
        <v>46</v>
      </c>
      <c r="B5" s="1" t="s">
        <v>43</v>
      </c>
      <c r="C5" s="1" t="s">
        <v>13</v>
      </c>
      <c r="D5" s="1" t="s">
        <v>50</v>
      </c>
      <c r="E5" s="1">
        <v>20</v>
      </c>
      <c r="F5" s="1">
        <v>272</v>
      </c>
      <c r="G5" s="1">
        <v>15</v>
      </c>
      <c r="H5" s="2">
        <v>46024</v>
      </c>
      <c r="I5" s="2">
        <v>46029</v>
      </c>
      <c r="J5" s="1" t="s">
        <v>51</v>
      </c>
      <c r="K5" s="1">
        <v>1151</v>
      </c>
    </row>
    <row r="6" spans="1:11" x14ac:dyDescent="0.3">
      <c r="A6" s="1" t="s">
        <v>11</v>
      </c>
      <c r="B6" s="1" t="s">
        <v>31</v>
      </c>
      <c r="C6" s="1" t="s">
        <v>13</v>
      </c>
      <c r="D6" s="1" t="s">
        <v>50</v>
      </c>
      <c r="E6" s="1">
        <v>10</v>
      </c>
      <c r="F6" s="1">
        <v>270</v>
      </c>
      <c r="G6" s="1">
        <v>7</v>
      </c>
      <c r="H6" s="2">
        <v>46024</v>
      </c>
      <c r="I6" s="2">
        <v>46034</v>
      </c>
      <c r="J6" s="1" t="s">
        <v>24</v>
      </c>
      <c r="K6" s="1">
        <v>1132</v>
      </c>
    </row>
    <row r="7" spans="1:11" x14ac:dyDescent="0.3">
      <c r="A7" s="1" t="s">
        <v>54</v>
      </c>
      <c r="B7" s="1" t="s">
        <v>22</v>
      </c>
      <c r="C7" s="1" t="s">
        <v>13</v>
      </c>
      <c r="D7" s="1" t="s">
        <v>14</v>
      </c>
      <c r="E7" s="1">
        <v>12</v>
      </c>
      <c r="F7" s="1">
        <v>203</v>
      </c>
      <c r="G7" s="1">
        <v>5</v>
      </c>
      <c r="H7" s="2">
        <v>46024</v>
      </c>
      <c r="I7" s="2">
        <v>46033</v>
      </c>
      <c r="J7" s="1" t="s">
        <v>15</v>
      </c>
      <c r="K7" s="1">
        <v>1352</v>
      </c>
    </row>
    <row r="8" spans="1:11" x14ac:dyDescent="0.3">
      <c r="A8" s="1" t="s">
        <v>54</v>
      </c>
      <c r="B8" s="1" t="s">
        <v>38</v>
      </c>
      <c r="C8" s="1" t="s">
        <v>13</v>
      </c>
      <c r="D8" s="1" t="s">
        <v>36</v>
      </c>
      <c r="E8" s="1">
        <v>5</v>
      </c>
      <c r="F8" s="1">
        <v>466</v>
      </c>
      <c r="G8" s="1">
        <v>15</v>
      </c>
      <c r="H8" s="2">
        <v>46025</v>
      </c>
      <c r="I8" s="2">
        <v>46029</v>
      </c>
      <c r="J8" s="1" t="s">
        <v>15</v>
      </c>
      <c r="K8" s="1">
        <v>1156</v>
      </c>
    </row>
    <row r="9" spans="1:11" x14ac:dyDescent="0.3">
      <c r="A9" s="1" t="s">
        <v>57</v>
      </c>
      <c r="B9" s="1" t="s">
        <v>38</v>
      </c>
      <c r="C9" s="1" t="s">
        <v>18</v>
      </c>
      <c r="D9" s="1" t="s">
        <v>19</v>
      </c>
      <c r="E9" s="1">
        <v>19</v>
      </c>
      <c r="F9" s="1">
        <v>6488</v>
      </c>
      <c r="G9" s="1">
        <v>15</v>
      </c>
      <c r="H9" s="2">
        <v>46026</v>
      </c>
      <c r="I9" s="2">
        <v>46030</v>
      </c>
      <c r="J9" s="1" t="s">
        <v>20</v>
      </c>
      <c r="K9" s="1">
        <v>1341</v>
      </c>
    </row>
    <row r="10" spans="1:11" x14ac:dyDescent="0.3">
      <c r="A10" s="1" t="s">
        <v>42</v>
      </c>
      <c r="B10" s="1" t="s">
        <v>33</v>
      </c>
      <c r="C10" s="1" t="s">
        <v>34</v>
      </c>
      <c r="D10" s="1" t="s">
        <v>45</v>
      </c>
      <c r="E10" s="1">
        <v>12</v>
      </c>
      <c r="F10" s="1">
        <v>1272</v>
      </c>
      <c r="G10" s="1">
        <v>0</v>
      </c>
      <c r="H10" s="2">
        <v>46026</v>
      </c>
      <c r="I10" s="2">
        <v>46029</v>
      </c>
      <c r="J10" s="1" t="s">
        <v>15</v>
      </c>
      <c r="K10" s="1">
        <v>1351</v>
      </c>
    </row>
    <row r="11" spans="1:11" x14ac:dyDescent="0.3">
      <c r="A11" s="1" t="s">
        <v>57</v>
      </c>
      <c r="B11" s="1" t="s">
        <v>12</v>
      </c>
      <c r="C11" s="1" t="s">
        <v>18</v>
      </c>
      <c r="D11" s="1" t="s">
        <v>56</v>
      </c>
      <c r="E11" s="1">
        <v>14</v>
      </c>
      <c r="F11" s="1">
        <v>5859</v>
      </c>
      <c r="G11" s="1">
        <v>12</v>
      </c>
      <c r="H11" s="2">
        <v>46027</v>
      </c>
      <c r="I11" s="2">
        <v>46036</v>
      </c>
      <c r="J11" s="1" t="s">
        <v>20</v>
      </c>
      <c r="K11" s="1">
        <v>1229</v>
      </c>
    </row>
    <row r="12" spans="1:11" x14ac:dyDescent="0.3">
      <c r="A12" s="1" t="s">
        <v>11</v>
      </c>
      <c r="B12" s="1" t="s">
        <v>31</v>
      </c>
      <c r="C12" s="1" t="s">
        <v>13</v>
      </c>
      <c r="D12" s="1" t="s">
        <v>14</v>
      </c>
      <c r="E12" s="1">
        <v>11</v>
      </c>
      <c r="F12" s="1">
        <v>296</v>
      </c>
      <c r="G12" s="1">
        <v>10</v>
      </c>
      <c r="H12" s="2">
        <v>46027</v>
      </c>
      <c r="I12" s="2">
        <v>46031</v>
      </c>
      <c r="J12" s="1" t="s">
        <v>51</v>
      </c>
      <c r="K12" s="1">
        <v>1100</v>
      </c>
    </row>
    <row r="13" spans="1:11" x14ac:dyDescent="0.3">
      <c r="A13" s="1" t="s">
        <v>54</v>
      </c>
      <c r="B13" s="1" t="s">
        <v>17</v>
      </c>
      <c r="C13" s="1" t="s">
        <v>18</v>
      </c>
      <c r="D13" s="1" t="s">
        <v>28</v>
      </c>
      <c r="E13" s="1">
        <v>3</v>
      </c>
      <c r="F13" s="1">
        <v>7020</v>
      </c>
      <c r="G13" s="1">
        <v>10</v>
      </c>
      <c r="H13" s="2">
        <v>46028</v>
      </c>
      <c r="I13" s="2">
        <v>46038</v>
      </c>
      <c r="J13" s="1" t="s">
        <v>24</v>
      </c>
      <c r="K13" s="1">
        <v>1301</v>
      </c>
    </row>
    <row r="14" spans="1:11" x14ac:dyDescent="0.3">
      <c r="A14" s="1" t="s">
        <v>59</v>
      </c>
      <c r="B14" s="1" t="s">
        <v>33</v>
      </c>
      <c r="C14" s="1" t="s">
        <v>18</v>
      </c>
      <c r="D14" s="1" t="s">
        <v>28</v>
      </c>
      <c r="E14" s="1">
        <v>11</v>
      </c>
      <c r="F14" s="1">
        <v>3023</v>
      </c>
      <c r="G14" s="1">
        <v>7</v>
      </c>
      <c r="H14" s="2">
        <v>46030</v>
      </c>
      <c r="I14" s="2">
        <v>46032</v>
      </c>
      <c r="J14" s="1" t="s">
        <v>24</v>
      </c>
      <c r="K14" s="1">
        <v>1148</v>
      </c>
    </row>
    <row r="15" spans="1:11" x14ac:dyDescent="0.3">
      <c r="A15" s="1" t="s">
        <v>55</v>
      </c>
      <c r="B15" s="1" t="s">
        <v>17</v>
      </c>
      <c r="C15" s="1" t="s">
        <v>13</v>
      </c>
      <c r="D15" s="1" t="s">
        <v>36</v>
      </c>
      <c r="E15" s="1">
        <v>17</v>
      </c>
      <c r="F15" s="1">
        <v>223</v>
      </c>
      <c r="G15" s="1">
        <v>7</v>
      </c>
      <c r="H15" s="2">
        <v>46030</v>
      </c>
      <c r="I15" s="2">
        <v>46031</v>
      </c>
      <c r="J15" s="1" t="s">
        <v>51</v>
      </c>
      <c r="K15" s="1">
        <v>1038</v>
      </c>
    </row>
    <row r="16" spans="1:11" x14ac:dyDescent="0.3">
      <c r="A16" s="1" t="s">
        <v>49</v>
      </c>
      <c r="B16" s="1" t="s">
        <v>43</v>
      </c>
      <c r="C16" s="1" t="s">
        <v>18</v>
      </c>
      <c r="D16" s="1" t="s">
        <v>56</v>
      </c>
      <c r="E16" s="1">
        <v>3</v>
      </c>
      <c r="F16" s="1">
        <v>9149</v>
      </c>
      <c r="G16" s="1">
        <v>0</v>
      </c>
      <c r="H16" s="2">
        <v>46031</v>
      </c>
      <c r="I16" s="2">
        <v>46034</v>
      </c>
      <c r="J16" s="1" t="s">
        <v>24</v>
      </c>
      <c r="K16" s="1">
        <v>1035</v>
      </c>
    </row>
    <row r="17" spans="1:11" x14ac:dyDescent="0.3">
      <c r="A17" s="1" t="s">
        <v>30</v>
      </c>
      <c r="B17" s="1" t="s">
        <v>22</v>
      </c>
      <c r="C17" s="1" t="s">
        <v>18</v>
      </c>
      <c r="D17" s="1" t="s">
        <v>56</v>
      </c>
      <c r="E17" s="1">
        <v>16</v>
      </c>
      <c r="F17" s="1">
        <v>1744</v>
      </c>
      <c r="G17" s="1">
        <v>15</v>
      </c>
      <c r="H17" s="2">
        <v>46031</v>
      </c>
      <c r="I17" s="2">
        <v>46033</v>
      </c>
      <c r="J17" s="1" t="s">
        <v>51</v>
      </c>
      <c r="K17" s="1">
        <v>1364</v>
      </c>
    </row>
    <row r="18" spans="1:11" x14ac:dyDescent="0.3">
      <c r="A18" s="1" t="s">
        <v>21</v>
      </c>
      <c r="B18" s="1" t="s">
        <v>38</v>
      </c>
      <c r="C18" s="1" t="s">
        <v>13</v>
      </c>
      <c r="D18" s="1" t="s">
        <v>53</v>
      </c>
      <c r="E18" s="1">
        <v>8</v>
      </c>
      <c r="F18" s="1">
        <v>54</v>
      </c>
      <c r="G18" s="1">
        <v>15</v>
      </c>
      <c r="H18" s="2">
        <v>46031</v>
      </c>
      <c r="I18" s="2">
        <v>46035</v>
      </c>
      <c r="J18" s="1" t="s">
        <v>15</v>
      </c>
      <c r="K18" s="1">
        <v>1396</v>
      </c>
    </row>
    <row r="19" spans="1:11" x14ac:dyDescent="0.3">
      <c r="A19" s="1" t="s">
        <v>49</v>
      </c>
      <c r="B19" s="1" t="s">
        <v>17</v>
      </c>
      <c r="C19" s="1" t="s">
        <v>18</v>
      </c>
      <c r="D19" s="1" t="s">
        <v>19</v>
      </c>
      <c r="E19" s="1">
        <v>13</v>
      </c>
      <c r="F19" s="1">
        <v>12071</v>
      </c>
      <c r="G19" s="1">
        <v>0</v>
      </c>
      <c r="H19" s="2">
        <v>46032</v>
      </c>
      <c r="I19" s="2">
        <v>46036</v>
      </c>
      <c r="J19" s="1" t="s">
        <v>51</v>
      </c>
      <c r="K19" s="1">
        <v>1330</v>
      </c>
    </row>
    <row r="20" spans="1:11" x14ac:dyDescent="0.3">
      <c r="A20" s="1" t="s">
        <v>46</v>
      </c>
      <c r="B20" s="1" t="s">
        <v>43</v>
      </c>
      <c r="C20" s="1" t="s">
        <v>18</v>
      </c>
      <c r="D20" s="1" t="s">
        <v>56</v>
      </c>
      <c r="E20" s="1">
        <v>6</v>
      </c>
      <c r="F20" s="1">
        <v>14385</v>
      </c>
      <c r="G20" s="1">
        <v>12</v>
      </c>
      <c r="H20" s="2">
        <v>46033</v>
      </c>
      <c r="I20" s="2">
        <v>46043</v>
      </c>
      <c r="J20" s="1" t="s">
        <v>24</v>
      </c>
      <c r="K20" s="1">
        <v>1037</v>
      </c>
    </row>
    <row r="21" spans="1:11" x14ac:dyDescent="0.3">
      <c r="A21" s="1" t="s">
        <v>21</v>
      </c>
      <c r="B21" s="1" t="s">
        <v>31</v>
      </c>
      <c r="C21" s="1" t="s">
        <v>18</v>
      </c>
      <c r="D21" s="1" t="s">
        <v>44</v>
      </c>
      <c r="E21" s="1">
        <v>19</v>
      </c>
      <c r="F21" s="1">
        <v>6512</v>
      </c>
      <c r="G21" s="1">
        <v>10</v>
      </c>
      <c r="H21" s="2">
        <v>46033</v>
      </c>
      <c r="I21" s="2">
        <v>46037</v>
      </c>
      <c r="J21" s="1" t="s">
        <v>20</v>
      </c>
      <c r="K21" s="1">
        <v>1109</v>
      </c>
    </row>
    <row r="22" spans="1:11" x14ac:dyDescent="0.3">
      <c r="A22" s="1" t="s">
        <v>30</v>
      </c>
      <c r="B22" s="1" t="s">
        <v>31</v>
      </c>
      <c r="C22" s="1" t="s">
        <v>18</v>
      </c>
      <c r="D22" s="1" t="s">
        <v>28</v>
      </c>
      <c r="E22" s="1">
        <v>1</v>
      </c>
      <c r="F22" s="1">
        <v>1134</v>
      </c>
      <c r="G22" s="1">
        <v>0</v>
      </c>
      <c r="H22" s="2">
        <v>46033</v>
      </c>
      <c r="I22" s="2">
        <v>46041</v>
      </c>
      <c r="J22" s="1" t="s">
        <v>24</v>
      </c>
      <c r="K22" s="1">
        <v>1008</v>
      </c>
    </row>
    <row r="23" spans="1:11" x14ac:dyDescent="0.3">
      <c r="A23" s="1" t="s">
        <v>58</v>
      </c>
      <c r="B23" s="1" t="s">
        <v>33</v>
      </c>
      <c r="C23" s="1" t="s">
        <v>13</v>
      </c>
      <c r="D23" s="1" t="s">
        <v>36</v>
      </c>
      <c r="E23" s="1">
        <v>4</v>
      </c>
      <c r="F23" s="1">
        <v>357</v>
      </c>
      <c r="G23" s="1">
        <v>2</v>
      </c>
      <c r="H23" s="2">
        <v>46033</v>
      </c>
      <c r="I23" s="2">
        <v>46035</v>
      </c>
      <c r="J23" s="1" t="s">
        <v>15</v>
      </c>
      <c r="K23" s="1">
        <v>1181</v>
      </c>
    </row>
    <row r="24" spans="1:11" x14ac:dyDescent="0.3">
      <c r="A24" s="1" t="s">
        <v>21</v>
      </c>
      <c r="B24" s="1" t="s">
        <v>38</v>
      </c>
      <c r="C24" s="1" t="s">
        <v>13</v>
      </c>
      <c r="D24" s="1" t="s">
        <v>36</v>
      </c>
      <c r="E24" s="1">
        <v>1</v>
      </c>
      <c r="F24" s="1">
        <v>112</v>
      </c>
      <c r="G24" s="1">
        <v>7</v>
      </c>
      <c r="H24" s="2">
        <v>46033</v>
      </c>
      <c r="I24" s="2">
        <v>46040</v>
      </c>
      <c r="J24" s="1" t="s">
        <v>51</v>
      </c>
      <c r="K24" s="1">
        <v>1205</v>
      </c>
    </row>
    <row r="25" spans="1:11" x14ac:dyDescent="0.3">
      <c r="A25" s="1" t="s">
        <v>16</v>
      </c>
      <c r="B25" s="1" t="s">
        <v>25</v>
      </c>
      <c r="C25" s="1" t="s">
        <v>18</v>
      </c>
      <c r="D25" s="1" t="s">
        <v>23</v>
      </c>
      <c r="E25" s="1">
        <v>16</v>
      </c>
      <c r="F25" s="1">
        <v>11739</v>
      </c>
      <c r="G25" s="1">
        <v>12</v>
      </c>
      <c r="H25" s="2">
        <v>46034</v>
      </c>
      <c r="I25" s="2">
        <v>46040</v>
      </c>
      <c r="J25" s="1" t="s">
        <v>20</v>
      </c>
      <c r="K25" s="1">
        <v>1004</v>
      </c>
    </row>
    <row r="26" spans="1:11" x14ac:dyDescent="0.3">
      <c r="A26" s="1" t="s">
        <v>16</v>
      </c>
      <c r="B26" s="1" t="s">
        <v>25</v>
      </c>
      <c r="C26" s="1" t="s">
        <v>34</v>
      </c>
      <c r="D26" s="1" t="s">
        <v>61</v>
      </c>
      <c r="E26" s="1">
        <v>20</v>
      </c>
      <c r="F26" s="1">
        <v>58779</v>
      </c>
      <c r="G26" s="1">
        <v>0</v>
      </c>
      <c r="H26" s="2">
        <v>46035</v>
      </c>
      <c r="I26" s="2">
        <v>46036</v>
      </c>
      <c r="J26" s="1" t="s">
        <v>24</v>
      </c>
      <c r="K26" s="1">
        <v>1072</v>
      </c>
    </row>
    <row r="27" spans="1:11" x14ac:dyDescent="0.3">
      <c r="A27" s="1" t="s">
        <v>55</v>
      </c>
      <c r="B27" s="1" t="s">
        <v>38</v>
      </c>
      <c r="C27" s="1" t="s">
        <v>13</v>
      </c>
      <c r="D27" s="1" t="s">
        <v>36</v>
      </c>
      <c r="E27" s="1">
        <v>9</v>
      </c>
      <c r="F27" s="1">
        <v>115</v>
      </c>
      <c r="G27" s="1">
        <v>0</v>
      </c>
      <c r="H27" s="2">
        <v>46036</v>
      </c>
      <c r="I27" s="2">
        <v>46045</v>
      </c>
      <c r="J27" s="1" t="s">
        <v>24</v>
      </c>
      <c r="K27" s="1">
        <v>1368</v>
      </c>
    </row>
    <row r="28" spans="1:11" x14ac:dyDescent="0.3">
      <c r="A28" s="1" t="s">
        <v>29</v>
      </c>
      <c r="B28" s="1" t="s">
        <v>22</v>
      </c>
      <c r="C28" s="1" t="s">
        <v>34</v>
      </c>
      <c r="D28" s="1" t="s">
        <v>35</v>
      </c>
      <c r="E28" s="1">
        <v>16</v>
      </c>
      <c r="F28" s="1">
        <v>6034</v>
      </c>
      <c r="G28" s="1">
        <v>15</v>
      </c>
      <c r="H28" s="2">
        <v>46037</v>
      </c>
      <c r="I28" s="2">
        <v>46044</v>
      </c>
      <c r="J28" s="1" t="s">
        <v>24</v>
      </c>
      <c r="K28" s="1">
        <v>1347</v>
      </c>
    </row>
    <row r="29" spans="1:11" x14ac:dyDescent="0.3">
      <c r="A29" s="1" t="s">
        <v>58</v>
      </c>
      <c r="B29" s="1" t="s">
        <v>17</v>
      </c>
      <c r="C29" s="1" t="s">
        <v>13</v>
      </c>
      <c r="D29" s="1" t="s">
        <v>36</v>
      </c>
      <c r="E29" s="1">
        <v>12</v>
      </c>
      <c r="F29" s="1">
        <v>47</v>
      </c>
      <c r="G29" s="1">
        <v>2</v>
      </c>
      <c r="H29" s="2">
        <v>46037</v>
      </c>
      <c r="I29" s="2">
        <v>46045</v>
      </c>
      <c r="J29" s="1" t="s">
        <v>15</v>
      </c>
      <c r="K29" s="1">
        <v>1051</v>
      </c>
    </row>
    <row r="30" spans="1:11" x14ac:dyDescent="0.3">
      <c r="A30" s="1" t="s">
        <v>32</v>
      </c>
      <c r="B30" s="1" t="s">
        <v>38</v>
      </c>
      <c r="C30" s="1" t="s">
        <v>34</v>
      </c>
      <c r="D30" s="1" t="s">
        <v>35</v>
      </c>
      <c r="E30" s="1">
        <v>3</v>
      </c>
      <c r="F30" s="1">
        <v>62762</v>
      </c>
      <c r="G30" s="1">
        <v>7</v>
      </c>
      <c r="H30" s="2">
        <v>46038</v>
      </c>
      <c r="I30" s="2">
        <v>46039</v>
      </c>
      <c r="J30" s="1" t="s">
        <v>29</v>
      </c>
      <c r="K30" s="1">
        <v>1045</v>
      </c>
    </row>
    <row r="31" spans="1:11" x14ac:dyDescent="0.3">
      <c r="A31" s="1" t="s">
        <v>40</v>
      </c>
      <c r="B31" s="1" t="s">
        <v>12</v>
      </c>
      <c r="C31" s="1" t="s">
        <v>34</v>
      </c>
      <c r="D31" s="1" t="s">
        <v>41</v>
      </c>
      <c r="E31" s="1">
        <v>15</v>
      </c>
      <c r="F31" s="1">
        <v>39853</v>
      </c>
      <c r="G31" s="1">
        <v>7</v>
      </c>
      <c r="H31" s="2">
        <v>46038</v>
      </c>
      <c r="I31" s="2">
        <v>46047</v>
      </c>
      <c r="J31" s="1" t="s">
        <v>51</v>
      </c>
      <c r="K31" s="1">
        <v>1334</v>
      </c>
    </row>
    <row r="32" spans="1:11" x14ac:dyDescent="0.3">
      <c r="A32" s="1" t="s">
        <v>52</v>
      </c>
      <c r="B32" s="1" t="s">
        <v>31</v>
      </c>
      <c r="C32" s="1" t="s">
        <v>18</v>
      </c>
      <c r="D32" s="1" t="s">
        <v>28</v>
      </c>
      <c r="E32" s="1">
        <v>9</v>
      </c>
      <c r="F32" s="1">
        <v>4415</v>
      </c>
      <c r="G32" s="1">
        <v>5</v>
      </c>
      <c r="H32" s="2">
        <v>46039</v>
      </c>
      <c r="I32" s="2">
        <v>46046</v>
      </c>
      <c r="J32" s="1" t="s">
        <v>15</v>
      </c>
      <c r="K32" s="1">
        <v>1069</v>
      </c>
    </row>
    <row r="33" spans="1:11" x14ac:dyDescent="0.3">
      <c r="A33" s="1" t="s">
        <v>55</v>
      </c>
      <c r="B33" s="1" t="s">
        <v>22</v>
      </c>
      <c r="C33" s="1" t="s">
        <v>34</v>
      </c>
      <c r="D33" s="1" t="s">
        <v>35</v>
      </c>
      <c r="E33" s="1">
        <v>13</v>
      </c>
      <c r="F33" s="1">
        <v>1825</v>
      </c>
      <c r="G33" s="1">
        <v>2</v>
      </c>
      <c r="H33" s="2">
        <v>46039</v>
      </c>
      <c r="I33" s="2">
        <v>46045</v>
      </c>
      <c r="J33" s="1" t="s">
        <v>51</v>
      </c>
      <c r="K33" s="1">
        <v>1246</v>
      </c>
    </row>
    <row r="34" spans="1:11" x14ac:dyDescent="0.3">
      <c r="A34" s="1" t="s">
        <v>49</v>
      </c>
      <c r="B34" s="1" t="s">
        <v>31</v>
      </c>
      <c r="C34" s="1" t="s">
        <v>13</v>
      </c>
      <c r="D34" s="1" t="s">
        <v>50</v>
      </c>
      <c r="E34" s="1">
        <v>17</v>
      </c>
      <c r="F34" s="1">
        <v>323</v>
      </c>
      <c r="G34" s="1">
        <v>10</v>
      </c>
      <c r="H34" s="2">
        <v>46039</v>
      </c>
      <c r="I34" s="2">
        <v>46040</v>
      </c>
      <c r="J34" s="1" t="s">
        <v>29</v>
      </c>
      <c r="K34" s="1">
        <v>1026</v>
      </c>
    </row>
    <row r="35" spans="1:11" x14ac:dyDescent="0.3">
      <c r="A35" s="1" t="s">
        <v>54</v>
      </c>
      <c r="B35" s="1" t="s">
        <v>38</v>
      </c>
      <c r="C35" s="1" t="s">
        <v>34</v>
      </c>
      <c r="D35" s="1" t="s">
        <v>41</v>
      </c>
      <c r="E35" s="1">
        <v>19</v>
      </c>
      <c r="F35" s="1">
        <v>54981</v>
      </c>
      <c r="G35" s="1">
        <v>10</v>
      </c>
      <c r="H35" s="2">
        <v>46040</v>
      </c>
      <c r="I35" s="2">
        <v>46045</v>
      </c>
      <c r="J35" s="1" t="s">
        <v>29</v>
      </c>
      <c r="K35" s="1">
        <v>1260</v>
      </c>
    </row>
    <row r="36" spans="1:11" x14ac:dyDescent="0.3">
      <c r="A36" s="1" t="s">
        <v>16</v>
      </c>
      <c r="B36" s="1" t="s">
        <v>12</v>
      </c>
      <c r="C36" s="1" t="s">
        <v>18</v>
      </c>
      <c r="D36" s="1" t="s">
        <v>23</v>
      </c>
      <c r="E36" s="1">
        <v>7</v>
      </c>
      <c r="F36" s="1">
        <v>11925</v>
      </c>
      <c r="G36" s="1">
        <v>5</v>
      </c>
      <c r="H36" s="2">
        <v>46040</v>
      </c>
      <c r="I36" s="2">
        <v>46041</v>
      </c>
      <c r="J36" s="1" t="s">
        <v>29</v>
      </c>
      <c r="K36" s="1">
        <v>1103</v>
      </c>
    </row>
    <row r="37" spans="1:11" x14ac:dyDescent="0.3">
      <c r="A37" s="1" t="s">
        <v>49</v>
      </c>
      <c r="B37" s="1" t="s">
        <v>43</v>
      </c>
      <c r="C37" s="1" t="s">
        <v>34</v>
      </c>
      <c r="D37" s="1" t="s">
        <v>39</v>
      </c>
      <c r="E37" s="1">
        <v>14</v>
      </c>
      <c r="F37" s="1">
        <v>68534</v>
      </c>
      <c r="G37" s="1">
        <v>0</v>
      </c>
      <c r="H37" s="2">
        <v>46041</v>
      </c>
      <c r="I37" s="2">
        <v>46042</v>
      </c>
      <c r="J37" s="1" t="s">
        <v>15</v>
      </c>
      <c r="K37" s="1">
        <v>1135</v>
      </c>
    </row>
    <row r="38" spans="1:11" x14ac:dyDescent="0.3">
      <c r="A38" s="1" t="s">
        <v>29</v>
      </c>
      <c r="B38" s="1" t="s">
        <v>25</v>
      </c>
      <c r="C38" s="1" t="s">
        <v>34</v>
      </c>
      <c r="D38" s="1" t="s">
        <v>45</v>
      </c>
      <c r="E38" s="1">
        <v>16</v>
      </c>
      <c r="F38" s="1">
        <v>17477</v>
      </c>
      <c r="G38" s="1">
        <v>10</v>
      </c>
      <c r="H38" s="2">
        <v>46041</v>
      </c>
      <c r="I38" s="2">
        <v>46043</v>
      </c>
      <c r="J38" s="1" t="s">
        <v>24</v>
      </c>
      <c r="K38" s="1">
        <v>1228</v>
      </c>
    </row>
    <row r="39" spans="1:11" x14ac:dyDescent="0.3">
      <c r="A39" s="1" t="s">
        <v>59</v>
      </c>
      <c r="B39" s="1" t="s">
        <v>22</v>
      </c>
      <c r="C39" s="1" t="s">
        <v>18</v>
      </c>
      <c r="D39" s="1" t="s">
        <v>56</v>
      </c>
      <c r="E39" s="1">
        <v>6</v>
      </c>
      <c r="F39" s="1">
        <v>10864</v>
      </c>
      <c r="G39" s="1">
        <v>10</v>
      </c>
      <c r="H39" s="2">
        <v>46041</v>
      </c>
      <c r="I39" s="2">
        <v>46049</v>
      </c>
      <c r="J39" s="1" t="s">
        <v>15</v>
      </c>
      <c r="K39" s="1">
        <v>1313</v>
      </c>
    </row>
    <row r="40" spans="1:11" x14ac:dyDescent="0.3">
      <c r="A40" s="1" t="s">
        <v>54</v>
      </c>
      <c r="B40" s="1" t="s">
        <v>43</v>
      </c>
      <c r="C40" s="1" t="s">
        <v>18</v>
      </c>
      <c r="D40" s="1" t="s">
        <v>44</v>
      </c>
      <c r="E40" s="1">
        <v>6</v>
      </c>
      <c r="F40" s="1">
        <v>7627</v>
      </c>
      <c r="G40" s="1">
        <v>10</v>
      </c>
      <c r="H40" s="2">
        <v>46042</v>
      </c>
      <c r="I40" s="2">
        <v>46047</v>
      </c>
      <c r="J40" s="1" t="s">
        <v>20</v>
      </c>
      <c r="K40" s="1">
        <v>1208</v>
      </c>
    </row>
    <row r="41" spans="1:11" x14ac:dyDescent="0.3">
      <c r="A41" s="1" t="s">
        <v>48</v>
      </c>
      <c r="B41" s="1" t="s">
        <v>25</v>
      </c>
      <c r="C41" s="1" t="s">
        <v>13</v>
      </c>
      <c r="D41" s="1" t="s">
        <v>37</v>
      </c>
      <c r="E41" s="1">
        <v>1</v>
      </c>
      <c r="F41" s="1">
        <v>427</v>
      </c>
      <c r="G41" s="1">
        <v>0</v>
      </c>
      <c r="H41" s="2">
        <v>46042</v>
      </c>
      <c r="I41" s="2">
        <v>46050</v>
      </c>
      <c r="J41" s="1" t="s">
        <v>51</v>
      </c>
      <c r="K41" s="1">
        <v>1165</v>
      </c>
    </row>
    <row r="42" spans="1:11" x14ac:dyDescent="0.3">
      <c r="A42" s="1" t="s">
        <v>59</v>
      </c>
      <c r="B42" s="1" t="s">
        <v>25</v>
      </c>
      <c r="C42" s="1" t="s">
        <v>13</v>
      </c>
      <c r="D42" s="1" t="s">
        <v>36</v>
      </c>
      <c r="E42" s="1">
        <v>20</v>
      </c>
      <c r="F42" s="1">
        <v>368</v>
      </c>
      <c r="G42" s="1">
        <v>7</v>
      </c>
      <c r="H42" s="2">
        <v>46042</v>
      </c>
      <c r="I42" s="2">
        <v>46051</v>
      </c>
      <c r="J42" s="1" t="s">
        <v>51</v>
      </c>
      <c r="K42" s="1">
        <v>1304</v>
      </c>
    </row>
    <row r="43" spans="1:11" x14ac:dyDescent="0.3">
      <c r="A43" s="1" t="s">
        <v>11</v>
      </c>
      <c r="B43" s="1" t="s">
        <v>17</v>
      </c>
      <c r="C43" s="1" t="s">
        <v>18</v>
      </c>
      <c r="D43" s="1" t="s">
        <v>44</v>
      </c>
      <c r="E43" s="1">
        <v>20</v>
      </c>
      <c r="F43" s="1">
        <v>6835</v>
      </c>
      <c r="G43" s="1">
        <v>2</v>
      </c>
      <c r="H43" s="2">
        <v>46043</v>
      </c>
      <c r="I43" s="2">
        <v>46053</v>
      </c>
      <c r="J43" s="1" t="s">
        <v>15</v>
      </c>
      <c r="K43" s="1">
        <v>1141</v>
      </c>
    </row>
    <row r="44" spans="1:11" x14ac:dyDescent="0.3">
      <c r="A44" s="1" t="s">
        <v>32</v>
      </c>
      <c r="B44" s="1" t="s">
        <v>12</v>
      </c>
      <c r="C44" s="1" t="s">
        <v>34</v>
      </c>
      <c r="D44" s="1" t="s">
        <v>41</v>
      </c>
      <c r="E44" s="1">
        <v>3</v>
      </c>
      <c r="F44" s="1">
        <v>56380</v>
      </c>
      <c r="G44" s="1">
        <v>5</v>
      </c>
      <c r="H44" s="2">
        <v>46044</v>
      </c>
      <c r="I44" s="2">
        <v>46048</v>
      </c>
      <c r="J44" s="1" t="s">
        <v>51</v>
      </c>
      <c r="K44" s="1">
        <v>1389</v>
      </c>
    </row>
    <row r="45" spans="1:11" x14ac:dyDescent="0.3">
      <c r="A45" s="1" t="s">
        <v>29</v>
      </c>
      <c r="B45" s="1" t="s">
        <v>31</v>
      </c>
      <c r="C45" s="1" t="s">
        <v>34</v>
      </c>
      <c r="D45" s="1" t="s">
        <v>41</v>
      </c>
      <c r="E45" s="1">
        <v>13</v>
      </c>
      <c r="F45" s="1">
        <v>21332</v>
      </c>
      <c r="G45" s="1">
        <v>0</v>
      </c>
      <c r="H45" s="2">
        <v>46044</v>
      </c>
      <c r="I45" s="2">
        <v>46048</v>
      </c>
      <c r="J45" s="1" t="s">
        <v>29</v>
      </c>
      <c r="K45" s="1">
        <v>1226</v>
      </c>
    </row>
    <row r="46" spans="1:11" x14ac:dyDescent="0.3">
      <c r="A46" s="1" t="s">
        <v>30</v>
      </c>
      <c r="B46" s="1" t="s">
        <v>22</v>
      </c>
      <c r="C46" s="1" t="s">
        <v>34</v>
      </c>
      <c r="D46" s="1" t="s">
        <v>61</v>
      </c>
      <c r="E46" s="1">
        <v>6</v>
      </c>
      <c r="F46" s="1">
        <v>5001</v>
      </c>
      <c r="G46" s="1">
        <v>7</v>
      </c>
      <c r="H46" s="2">
        <v>46044</v>
      </c>
      <c r="I46" s="2">
        <v>46050</v>
      </c>
      <c r="J46" s="1" t="s">
        <v>29</v>
      </c>
      <c r="K46" s="1">
        <v>1128</v>
      </c>
    </row>
    <row r="47" spans="1:11" x14ac:dyDescent="0.3">
      <c r="A47" s="1" t="s">
        <v>52</v>
      </c>
      <c r="B47" s="1" t="s">
        <v>31</v>
      </c>
      <c r="C47" s="1" t="s">
        <v>34</v>
      </c>
      <c r="D47" s="1" t="s">
        <v>35</v>
      </c>
      <c r="E47" s="1">
        <v>5</v>
      </c>
      <c r="F47" s="1">
        <v>45352</v>
      </c>
      <c r="G47" s="1">
        <v>12</v>
      </c>
      <c r="H47" s="2">
        <v>46045</v>
      </c>
      <c r="I47" s="2">
        <v>46048</v>
      </c>
      <c r="J47" s="1" t="s">
        <v>15</v>
      </c>
      <c r="K47" s="1">
        <v>1197</v>
      </c>
    </row>
    <row r="48" spans="1:11" x14ac:dyDescent="0.3">
      <c r="A48" s="1" t="s">
        <v>29</v>
      </c>
      <c r="B48" s="1" t="s">
        <v>17</v>
      </c>
      <c r="C48" s="1" t="s">
        <v>34</v>
      </c>
      <c r="D48" s="1" t="s">
        <v>35</v>
      </c>
      <c r="E48" s="1">
        <v>19</v>
      </c>
      <c r="F48" s="1">
        <v>26714</v>
      </c>
      <c r="G48" s="1">
        <v>5</v>
      </c>
      <c r="H48" s="2">
        <v>46045</v>
      </c>
      <c r="I48" s="2">
        <v>46055</v>
      </c>
      <c r="J48" s="1" t="s">
        <v>29</v>
      </c>
      <c r="K48" s="1">
        <v>1076</v>
      </c>
    </row>
    <row r="49" spans="1:11" x14ac:dyDescent="0.3">
      <c r="A49" s="1" t="s">
        <v>30</v>
      </c>
      <c r="B49" s="1" t="s">
        <v>38</v>
      </c>
      <c r="C49" s="1" t="s">
        <v>34</v>
      </c>
      <c r="D49" s="1" t="s">
        <v>45</v>
      </c>
      <c r="E49" s="1">
        <v>16</v>
      </c>
      <c r="F49" s="1">
        <v>18378</v>
      </c>
      <c r="G49" s="1">
        <v>10</v>
      </c>
      <c r="H49" s="2">
        <v>46045</v>
      </c>
      <c r="I49" s="2">
        <v>46052</v>
      </c>
      <c r="J49" s="1" t="s">
        <v>24</v>
      </c>
      <c r="K49" s="1">
        <v>1224</v>
      </c>
    </row>
    <row r="50" spans="1:11" x14ac:dyDescent="0.3">
      <c r="A50" s="1" t="s">
        <v>49</v>
      </c>
      <c r="B50" s="1" t="s">
        <v>43</v>
      </c>
      <c r="C50" s="1" t="s">
        <v>18</v>
      </c>
      <c r="D50" s="1" t="s">
        <v>23</v>
      </c>
      <c r="E50" s="1">
        <v>7</v>
      </c>
      <c r="F50" s="1">
        <v>11481</v>
      </c>
      <c r="G50" s="1">
        <v>15</v>
      </c>
      <c r="H50" s="2">
        <v>46045</v>
      </c>
      <c r="I50" s="2">
        <v>46050</v>
      </c>
      <c r="J50" s="1" t="s">
        <v>20</v>
      </c>
      <c r="K50" s="1">
        <v>1293</v>
      </c>
    </row>
    <row r="51" spans="1:11" x14ac:dyDescent="0.3">
      <c r="A51" s="1" t="s">
        <v>32</v>
      </c>
      <c r="B51" s="1" t="s">
        <v>12</v>
      </c>
      <c r="C51" s="1" t="s">
        <v>13</v>
      </c>
      <c r="D51" s="1" t="s">
        <v>53</v>
      </c>
      <c r="E51" s="1">
        <v>15</v>
      </c>
      <c r="F51" s="1">
        <v>40</v>
      </c>
      <c r="G51" s="1">
        <v>10</v>
      </c>
      <c r="H51" s="2">
        <v>46045</v>
      </c>
      <c r="I51" s="2">
        <v>46049</v>
      </c>
      <c r="J51" s="1" t="s">
        <v>24</v>
      </c>
      <c r="K51" s="1">
        <v>1086</v>
      </c>
    </row>
    <row r="52" spans="1:11" x14ac:dyDescent="0.3">
      <c r="A52" s="1" t="s">
        <v>30</v>
      </c>
      <c r="B52" s="1" t="s">
        <v>25</v>
      </c>
      <c r="C52" s="1" t="s">
        <v>13</v>
      </c>
      <c r="D52" s="1" t="s">
        <v>36</v>
      </c>
      <c r="E52" s="1">
        <v>18</v>
      </c>
      <c r="F52" s="1">
        <v>443</v>
      </c>
      <c r="G52" s="1">
        <v>5</v>
      </c>
      <c r="H52" s="2">
        <v>46046</v>
      </c>
      <c r="I52" s="2">
        <v>46054</v>
      </c>
      <c r="J52" s="1" t="s">
        <v>24</v>
      </c>
      <c r="K52" s="1">
        <v>1029</v>
      </c>
    </row>
    <row r="53" spans="1:11" x14ac:dyDescent="0.3">
      <c r="A53" s="1" t="s">
        <v>26</v>
      </c>
      <c r="B53" s="1" t="s">
        <v>17</v>
      </c>
      <c r="C53" s="1" t="s">
        <v>34</v>
      </c>
      <c r="D53" s="1" t="s">
        <v>61</v>
      </c>
      <c r="E53" s="1">
        <v>20</v>
      </c>
      <c r="F53" s="1">
        <v>44312</v>
      </c>
      <c r="G53" s="1">
        <v>10</v>
      </c>
      <c r="H53" s="2">
        <v>46047</v>
      </c>
      <c r="I53" s="2">
        <v>46054</v>
      </c>
      <c r="J53" s="1" t="s">
        <v>29</v>
      </c>
      <c r="K53" s="1">
        <v>1366</v>
      </c>
    </row>
    <row r="54" spans="1:11" x14ac:dyDescent="0.3">
      <c r="A54" s="1" t="s">
        <v>30</v>
      </c>
      <c r="B54" s="1" t="s">
        <v>25</v>
      </c>
      <c r="C54" s="1" t="s">
        <v>34</v>
      </c>
      <c r="D54" s="1" t="s">
        <v>45</v>
      </c>
      <c r="E54" s="1">
        <v>17</v>
      </c>
      <c r="F54" s="1">
        <v>30351</v>
      </c>
      <c r="G54" s="1">
        <v>15</v>
      </c>
      <c r="H54" s="2">
        <v>46047</v>
      </c>
      <c r="I54" s="2">
        <v>46051</v>
      </c>
      <c r="J54" s="1" t="s">
        <v>51</v>
      </c>
      <c r="K54" s="1">
        <v>1393</v>
      </c>
    </row>
    <row r="55" spans="1:11" x14ac:dyDescent="0.3">
      <c r="A55" s="1" t="s">
        <v>49</v>
      </c>
      <c r="B55" s="1" t="s">
        <v>31</v>
      </c>
      <c r="C55" s="1" t="s">
        <v>18</v>
      </c>
      <c r="D55" s="1" t="s">
        <v>28</v>
      </c>
      <c r="E55" s="1">
        <v>4</v>
      </c>
      <c r="F55" s="1">
        <v>6901</v>
      </c>
      <c r="G55" s="1">
        <v>10</v>
      </c>
      <c r="H55" s="2">
        <v>46047</v>
      </c>
      <c r="I55" s="2">
        <v>46057</v>
      </c>
      <c r="J55" s="1" t="s">
        <v>20</v>
      </c>
      <c r="K55" s="1">
        <v>1084</v>
      </c>
    </row>
    <row r="56" spans="1:11" x14ac:dyDescent="0.3">
      <c r="A56" s="1" t="s">
        <v>26</v>
      </c>
      <c r="B56" s="1" t="s">
        <v>33</v>
      </c>
      <c r="C56" s="1" t="s">
        <v>34</v>
      </c>
      <c r="D56" s="1" t="s">
        <v>39</v>
      </c>
      <c r="E56" s="1">
        <v>12</v>
      </c>
      <c r="F56" s="1">
        <v>61360</v>
      </c>
      <c r="G56" s="1">
        <v>10</v>
      </c>
      <c r="H56" s="2">
        <v>46048</v>
      </c>
      <c r="I56" s="2">
        <v>46053</v>
      </c>
      <c r="J56" s="1" t="s">
        <v>51</v>
      </c>
      <c r="K56" s="1">
        <v>1385</v>
      </c>
    </row>
    <row r="57" spans="1:11" x14ac:dyDescent="0.3">
      <c r="A57" s="1" t="s">
        <v>58</v>
      </c>
      <c r="B57" s="1" t="s">
        <v>38</v>
      </c>
      <c r="C57" s="1" t="s">
        <v>34</v>
      </c>
      <c r="D57" s="1" t="s">
        <v>41</v>
      </c>
      <c r="E57" s="1">
        <v>17</v>
      </c>
      <c r="F57" s="1">
        <v>46937</v>
      </c>
      <c r="G57" s="1">
        <v>12</v>
      </c>
      <c r="H57" s="2">
        <v>46048</v>
      </c>
      <c r="I57" s="2">
        <v>46056</v>
      </c>
      <c r="J57" s="1" t="s">
        <v>29</v>
      </c>
      <c r="K57" s="1">
        <v>1176</v>
      </c>
    </row>
    <row r="58" spans="1:11" x14ac:dyDescent="0.3">
      <c r="A58" s="1" t="s">
        <v>57</v>
      </c>
      <c r="B58" s="1" t="s">
        <v>43</v>
      </c>
      <c r="C58" s="1" t="s">
        <v>34</v>
      </c>
      <c r="D58" s="1" t="s">
        <v>35</v>
      </c>
      <c r="E58" s="1">
        <v>18</v>
      </c>
      <c r="F58" s="1">
        <v>7541</v>
      </c>
      <c r="G58" s="1">
        <v>12</v>
      </c>
      <c r="H58" s="2">
        <v>46048</v>
      </c>
      <c r="I58" s="2">
        <v>46051</v>
      </c>
      <c r="J58" s="1" t="s">
        <v>51</v>
      </c>
      <c r="K58" s="1">
        <v>1307</v>
      </c>
    </row>
    <row r="59" spans="1:11" x14ac:dyDescent="0.3">
      <c r="A59" s="1" t="s">
        <v>11</v>
      </c>
      <c r="B59" s="1" t="s">
        <v>33</v>
      </c>
      <c r="C59" s="1" t="s">
        <v>13</v>
      </c>
      <c r="D59" s="1" t="s">
        <v>50</v>
      </c>
      <c r="E59" s="1">
        <v>12</v>
      </c>
      <c r="F59" s="1">
        <v>244</v>
      </c>
      <c r="G59" s="1">
        <v>7</v>
      </c>
      <c r="H59" s="2">
        <v>46048</v>
      </c>
      <c r="I59" s="2">
        <v>46053</v>
      </c>
      <c r="J59" s="1" t="s">
        <v>15</v>
      </c>
      <c r="K59" s="1">
        <v>1348</v>
      </c>
    </row>
    <row r="60" spans="1:11" x14ac:dyDescent="0.3">
      <c r="A60" s="1" t="s">
        <v>21</v>
      </c>
      <c r="B60" s="1" t="s">
        <v>22</v>
      </c>
      <c r="C60" s="1" t="s">
        <v>34</v>
      </c>
      <c r="D60" s="1" t="s">
        <v>41</v>
      </c>
      <c r="E60" s="1">
        <v>9</v>
      </c>
      <c r="F60" s="1">
        <v>23438</v>
      </c>
      <c r="G60" s="1">
        <v>2</v>
      </c>
      <c r="H60" s="2">
        <v>46049</v>
      </c>
      <c r="I60" s="2">
        <v>46055</v>
      </c>
      <c r="J60" s="1" t="s">
        <v>29</v>
      </c>
      <c r="K60" s="1">
        <v>1092</v>
      </c>
    </row>
    <row r="61" spans="1:11" x14ac:dyDescent="0.3">
      <c r="A61" s="1" t="s">
        <v>16</v>
      </c>
      <c r="B61" s="1" t="s">
        <v>25</v>
      </c>
      <c r="C61" s="1" t="s">
        <v>18</v>
      </c>
      <c r="D61" s="1" t="s">
        <v>56</v>
      </c>
      <c r="E61" s="1">
        <v>2</v>
      </c>
      <c r="F61" s="1">
        <v>12692</v>
      </c>
      <c r="G61" s="1">
        <v>15</v>
      </c>
      <c r="H61" s="2">
        <v>46049</v>
      </c>
      <c r="I61" s="2">
        <v>46051</v>
      </c>
      <c r="J61" s="1" t="s">
        <v>15</v>
      </c>
      <c r="K61" s="1">
        <v>1116</v>
      </c>
    </row>
    <row r="62" spans="1:11" x14ac:dyDescent="0.3">
      <c r="A62" s="1" t="s">
        <v>59</v>
      </c>
      <c r="B62" s="1" t="s">
        <v>33</v>
      </c>
      <c r="C62" s="1" t="s">
        <v>34</v>
      </c>
      <c r="D62" s="1" t="s">
        <v>60</v>
      </c>
      <c r="E62" s="1">
        <v>7</v>
      </c>
      <c r="F62" s="1">
        <v>2932</v>
      </c>
      <c r="G62" s="1">
        <v>7</v>
      </c>
      <c r="H62" s="2">
        <v>46050</v>
      </c>
      <c r="I62" s="2">
        <v>46059</v>
      </c>
      <c r="J62" s="1" t="s">
        <v>24</v>
      </c>
      <c r="K62" s="1">
        <v>1230</v>
      </c>
    </row>
    <row r="63" spans="1:11" x14ac:dyDescent="0.3">
      <c r="A63" s="1" t="s">
        <v>40</v>
      </c>
      <c r="B63" s="1" t="s">
        <v>17</v>
      </c>
      <c r="C63" s="1" t="s">
        <v>13</v>
      </c>
      <c r="D63" s="1" t="s">
        <v>37</v>
      </c>
      <c r="E63" s="1">
        <v>15</v>
      </c>
      <c r="F63" s="1">
        <v>214</v>
      </c>
      <c r="G63" s="1">
        <v>10</v>
      </c>
      <c r="H63" s="2">
        <v>46050</v>
      </c>
      <c r="I63" s="2">
        <v>46060</v>
      </c>
      <c r="J63" s="1" t="s">
        <v>51</v>
      </c>
      <c r="K63" s="1">
        <v>1173</v>
      </c>
    </row>
    <row r="64" spans="1:11" x14ac:dyDescent="0.3">
      <c r="A64" s="1" t="s">
        <v>11</v>
      </c>
      <c r="B64" s="1" t="s">
        <v>17</v>
      </c>
      <c r="C64" s="1" t="s">
        <v>34</v>
      </c>
      <c r="D64" s="1" t="s">
        <v>45</v>
      </c>
      <c r="E64" s="1">
        <v>2</v>
      </c>
      <c r="F64" s="1">
        <v>65953</v>
      </c>
      <c r="G64" s="1">
        <v>7</v>
      </c>
      <c r="H64" s="2">
        <v>46051</v>
      </c>
      <c r="I64" s="2">
        <v>46053</v>
      </c>
      <c r="J64" s="1" t="s">
        <v>29</v>
      </c>
      <c r="K64" s="1">
        <v>1250</v>
      </c>
    </row>
    <row r="65" spans="1:11" x14ac:dyDescent="0.3">
      <c r="A65" s="1" t="s">
        <v>46</v>
      </c>
      <c r="B65" s="1" t="s">
        <v>43</v>
      </c>
      <c r="C65" s="1" t="s">
        <v>34</v>
      </c>
      <c r="D65" s="1" t="s">
        <v>45</v>
      </c>
      <c r="E65" s="1">
        <v>20</v>
      </c>
      <c r="F65" s="1">
        <v>56766</v>
      </c>
      <c r="G65" s="1">
        <v>0</v>
      </c>
      <c r="H65" s="2">
        <v>46052</v>
      </c>
      <c r="I65" s="2">
        <v>46061</v>
      </c>
      <c r="J65" s="1" t="s">
        <v>24</v>
      </c>
      <c r="K65" s="1">
        <v>1375</v>
      </c>
    </row>
    <row r="66" spans="1:11" x14ac:dyDescent="0.3">
      <c r="A66" s="1" t="s">
        <v>57</v>
      </c>
      <c r="B66" s="1" t="s">
        <v>17</v>
      </c>
      <c r="C66" s="1" t="s">
        <v>18</v>
      </c>
      <c r="D66" s="1" t="s">
        <v>28</v>
      </c>
      <c r="E66" s="1">
        <v>4</v>
      </c>
      <c r="F66" s="1">
        <v>10154</v>
      </c>
      <c r="G66" s="1">
        <v>7</v>
      </c>
      <c r="H66" s="2">
        <v>46052</v>
      </c>
      <c r="I66" s="2">
        <v>46062</v>
      </c>
      <c r="J66" s="1" t="s">
        <v>20</v>
      </c>
      <c r="K66" s="1">
        <v>1190</v>
      </c>
    </row>
    <row r="67" spans="1:11" x14ac:dyDescent="0.3">
      <c r="A67" s="1" t="s">
        <v>55</v>
      </c>
      <c r="B67" s="1" t="s">
        <v>33</v>
      </c>
      <c r="C67" s="1" t="s">
        <v>18</v>
      </c>
      <c r="D67" s="1" t="s">
        <v>28</v>
      </c>
      <c r="E67" s="1">
        <v>17</v>
      </c>
      <c r="F67" s="1">
        <v>5104</v>
      </c>
      <c r="G67" s="1">
        <v>12</v>
      </c>
      <c r="H67" s="2">
        <v>46052</v>
      </c>
      <c r="I67" s="2">
        <v>46061</v>
      </c>
      <c r="J67" s="1" t="s">
        <v>51</v>
      </c>
      <c r="K67" s="1">
        <v>1034</v>
      </c>
    </row>
    <row r="68" spans="1:11" x14ac:dyDescent="0.3">
      <c r="A68" s="1" t="s">
        <v>30</v>
      </c>
      <c r="B68" s="1" t="s">
        <v>31</v>
      </c>
      <c r="C68" s="1" t="s">
        <v>13</v>
      </c>
      <c r="D68" s="1" t="s">
        <v>53</v>
      </c>
      <c r="E68" s="1">
        <v>10</v>
      </c>
      <c r="F68" s="1">
        <v>349</v>
      </c>
      <c r="G68" s="1">
        <v>0</v>
      </c>
      <c r="H68" s="2">
        <v>46052</v>
      </c>
      <c r="I68" s="2">
        <v>46060</v>
      </c>
      <c r="J68" s="1" t="s">
        <v>29</v>
      </c>
      <c r="K68" s="1">
        <v>1210</v>
      </c>
    </row>
    <row r="69" spans="1:11" x14ac:dyDescent="0.3">
      <c r="A69" s="1" t="s">
        <v>26</v>
      </c>
      <c r="B69" s="1" t="s">
        <v>38</v>
      </c>
      <c r="C69" s="1" t="s">
        <v>34</v>
      </c>
      <c r="D69" s="1" t="s">
        <v>35</v>
      </c>
      <c r="E69" s="1">
        <v>10</v>
      </c>
      <c r="F69" s="1">
        <v>22853</v>
      </c>
      <c r="G69" s="1">
        <v>7</v>
      </c>
      <c r="H69" s="2">
        <v>46053</v>
      </c>
      <c r="I69" s="2">
        <v>46054</v>
      </c>
      <c r="J69" s="1" t="s">
        <v>29</v>
      </c>
      <c r="K69" s="1">
        <v>1149</v>
      </c>
    </row>
    <row r="70" spans="1:11" x14ac:dyDescent="0.3">
      <c r="A70" s="1" t="s">
        <v>32</v>
      </c>
      <c r="B70" s="1" t="s">
        <v>22</v>
      </c>
      <c r="C70" s="1" t="s">
        <v>18</v>
      </c>
      <c r="D70" s="1" t="s">
        <v>19</v>
      </c>
      <c r="E70" s="1">
        <v>1</v>
      </c>
      <c r="F70" s="1">
        <v>4286</v>
      </c>
      <c r="G70" s="1">
        <v>15</v>
      </c>
      <c r="H70" s="2">
        <v>46053</v>
      </c>
      <c r="I70" s="2">
        <v>46056</v>
      </c>
      <c r="J70" s="1" t="s">
        <v>20</v>
      </c>
      <c r="K70" s="1">
        <v>1324</v>
      </c>
    </row>
    <row r="71" spans="1:11" x14ac:dyDescent="0.3">
      <c r="A71" s="1" t="s">
        <v>49</v>
      </c>
      <c r="B71" s="1" t="s">
        <v>17</v>
      </c>
      <c r="C71" s="1" t="s">
        <v>18</v>
      </c>
      <c r="D71" s="1" t="s">
        <v>23</v>
      </c>
      <c r="E71" s="1">
        <v>15</v>
      </c>
      <c r="F71" s="1">
        <v>14724</v>
      </c>
      <c r="G71" s="1">
        <v>15</v>
      </c>
      <c r="H71" s="2">
        <v>46054</v>
      </c>
      <c r="I71" s="2">
        <v>46061</v>
      </c>
      <c r="J71" s="1" t="s">
        <v>20</v>
      </c>
      <c r="K71" s="1">
        <v>1096</v>
      </c>
    </row>
    <row r="72" spans="1:11" x14ac:dyDescent="0.3">
      <c r="A72" s="1" t="s">
        <v>27</v>
      </c>
      <c r="B72" s="1" t="s">
        <v>25</v>
      </c>
      <c r="C72" s="1" t="s">
        <v>18</v>
      </c>
      <c r="D72" s="1" t="s">
        <v>28</v>
      </c>
      <c r="E72" s="1">
        <v>3</v>
      </c>
      <c r="F72" s="1">
        <v>2714</v>
      </c>
      <c r="G72" s="1">
        <v>5</v>
      </c>
      <c r="H72" s="2">
        <v>46055</v>
      </c>
      <c r="I72" s="2">
        <v>46062</v>
      </c>
      <c r="J72" s="1" t="s">
        <v>29</v>
      </c>
      <c r="K72" s="1">
        <v>1006</v>
      </c>
    </row>
    <row r="73" spans="1:11" x14ac:dyDescent="0.3">
      <c r="A73" s="1" t="s">
        <v>32</v>
      </c>
      <c r="B73" s="1" t="s">
        <v>38</v>
      </c>
      <c r="C73" s="1" t="s">
        <v>13</v>
      </c>
      <c r="D73" s="1" t="s">
        <v>36</v>
      </c>
      <c r="E73" s="1">
        <v>7</v>
      </c>
      <c r="F73" s="1">
        <v>439</v>
      </c>
      <c r="G73" s="1">
        <v>15</v>
      </c>
      <c r="H73" s="2">
        <v>46055</v>
      </c>
      <c r="I73" s="2">
        <v>46058</v>
      </c>
      <c r="J73" s="1" t="s">
        <v>20</v>
      </c>
      <c r="K73" s="1">
        <v>1285</v>
      </c>
    </row>
    <row r="74" spans="1:11" x14ac:dyDescent="0.3">
      <c r="A74" s="1" t="s">
        <v>55</v>
      </c>
      <c r="B74" s="1" t="s">
        <v>17</v>
      </c>
      <c r="C74" s="1" t="s">
        <v>13</v>
      </c>
      <c r="D74" s="1" t="s">
        <v>50</v>
      </c>
      <c r="E74" s="1">
        <v>6</v>
      </c>
      <c r="F74" s="1">
        <v>253</v>
      </c>
      <c r="G74" s="1">
        <v>0</v>
      </c>
      <c r="H74" s="2">
        <v>46055</v>
      </c>
      <c r="I74" s="2">
        <v>46063</v>
      </c>
      <c r="J74" s="1" t="s">
        <v>24</v>
      </c>
      <c r="K74" s="1">
        <v>1281</v>
      </c>
    </row>
    <row r="75" spans="1:11" x14ac:dyDescent="0.3">
      <c r="A75" s="1" t="s">
        <v>27</v>
      </c>
      <c r="B75" s="1" t="s">
        <v>43</v>
      </c>
      <c r="C75" s="1" t="s">
        <v>18</v>
      </c>
      <c r="D75" s="1" t="s">
        <v>56</v>
      </c>
      <c r="E75" s="1">
        <v>19</v>
      </c>
      <c r="F75" s="1">
        <v>14528</v>
      </c>
      <c r="G75" s="1">
        <v>12</v>
      </c>
      <c r="H75" s="2">
        <v>46056</v>
      </c>
      <c r="I75" s="2">
        <v>46062</v>
      </c>
      <c r="J75" s="1" t="s">
        <v>24</v>
      </c>
      <c r="K75" s="1">
        <v>1136</v>
      </c>
    </row>
    <row r="76" spans="1:11" x14ac:dyDescent="0.3">
      <c r="A76" s="1" t="s">
        <v>54</v>
      </c>
      <c r="B76" s="1" t="s">
        <v>12</v>
      </c>
      <c r="C76" s="1" t="s">
        <v>13</v>
      </c>
      <c r="D76" s="1" t="s">
        <v>14</v>
      </c>
      <c r="E76" s="1">
        <v>10</v>
      </c>
      <c r="F76" s="1">
        <v>138</v>
      </c>
      <c r="G76" s="1">
        <v>2</v>
      </c>
      <c r="H76" s="2">
        <v>46056</v>
      </c>
      <c r="I76" s="2">
        <v>46057</v>
      </c>
      <c r="J76" s="1" t="s">
        <v>15</v>
      </c>
      <c r="K76" s="1">
        <v>1394</v>
      </c>
    </row>
    <row r="77" spans="1:11" x14ac:dyDescent="0.3">
      <c r="A77" s="1" t="s">
        <v>59</v>
      </c>
      <c r="B77" s="1" t="s">
        <v>25</v>
      </c>
      <c r="C77" s="1" t="s">
        <v>13</v>
      </c>
      <c r="D77" s="1" t="s">
        <v>50</v>
      </c>
      <c r="E77" s="1">
        <v>2</v>
      </c>
      <c r="F77" s="1">
        <v>493</v>
      </c>
      <c r="G77" s="1">
        <v>12</v>
      </c>
      <c r="H77" s="2">
        <v>46057</v>
      </c>
      <c r="I77" s="2">
        <v>46066</v>
      </c>
      <c r="J77" s="1" t="s">
        <v>51</v>
      </c>
      <c r="K77" s="1">
        <v>1105</v>
      </c>
    </row>
    <row r="78" spans="1:11" x14ac:dyDescent="0.3">
      <c r="A78" s="1" t="s">
        <v>48</v>
      </c>
      <c r="B78" s="1" t="s">
        <v>31</v>
      </c>
      <c r="C78" s="1" t="s">
        <v>13</v>
      </c>
      <c r="D78" s="1" t="s">
        <v>50</v>
      </c>
      <c r="E78" s="1">
        <v>19</v>
      </c>
      <c r="F78" s="1">
        <v>406</v>
      </c>
      <c r="G78" s="1">
        <v>7</v>
      </c>
      <c r="H78" s="2">
        <v>46057</v>
      </c>
      <c r="I78" s="2">
        <v>46061</v>
      </c>
      <c r="J78" s="1" t="s">
        <v>15</v>
      </c>
      <c r="K78" s="1">
        <v>1256</v>
      </c>
    </row>
    <row r="79" spans="1:11" x14ac:dyDescent="0.3">
      <c r="A79" s="1" t="s">
        <v>47</v>
      </c>
      <c r="B79" s="1" t="s">
        <v>12</v>
      </c>
      <c r="C79" s="1" t="s">
        <v>34</v>
      </c>
      <c r="D79" s="1" t="s">
        <v>35</v>
      </c>
      <c r="E79" s="1">
        <v>15</v>
      </c>
      <c r="F79" s="1">
        <v>59912</v>
      </c>
      <c r="G79" s="1">
        <v>7</v>
      </c>
      <c r="H79" s="2">
        <v>46058</v>
      </c>
      <c r="I79" s="2">
        <v>46060</v>
      </c>
      <c r="J79" s="1" t="s">
        <v>51</v>
      </c>
      <c r="K79" s="1">
        <v>1081</v>
      </c>
    </row>
    <row r="80" spans="1:11" x14ac:dyDescent="0.3">
      <c r="A80" s="1" t="s">
        <v>32</v>
      </c>
      <c r="B80" s="1" t="s">
        <v>43</v>
      </c>
      <c r="C80" s="1" t="s">
        <v>18</v>
      </c>
      <c r="D80" s="1" t="s">
        <v>56</v>
      </c>
      <c r="E80" s="1">
        <v>14</v>
      </c>
      <c r="F80" s="1">
        <v>10869</v>
      </c>
      <c r="G80" s="1">
        <v>0</v>
      </c>
      <c r="H80" s="2">
        <v>46058</v>
      </c>
      <c r="I80" s="2">
        <v>46062</v>
      </c>
      <c r="J80" s="1" t="s">
        <v>29</v>
      </c>
      <c r="K80" s="1">
        <v>1067</v>
      </c>
    </row>
    <row r="81" spans="1:11" x14ac:dyDescent="0.3">
      <c r="A81" s="1" t="s">
        <v>26</v>
      </c>
      <c r="B81" s="1" t="s">
        <v>31</v>
      </c>
      <c r="C81" s="1" t="s">
        <v>18</v>
      </c>
      <c r="D81" s="1" t="s">
        <v>19</v>
      </c>
      <c r="E81" s="1">
        <v>1</v>
      </c>
      <c r="F81" s="1">
        <v>5165</v>
      </c>
      <c r="G81" s="1">
        <v>2</v>
      </c>
      <c r="H81" s="2">
        <v>46058</v>
      </c>
      <c r="I81" s="2">
        <v>46060</v>
      </c>
      <c r="J81" s="1" t="s">
        <v>15</v>
      </c>
      <c r="K81" s="1">
        <v>1099</v>
      </c>
    </row>
    <row r="82" spans="1:11" x14ac:dyDescent="0.3">
      <c r="A82" s="1" t="s">
        <v>57</v>
      </c>
      <c r="B82" s="1" t="s">
        <v>12</v>
      </c>
      <c r="C82" s="1" t="s">
        <v>34</v>
      </c>
      <c r="D82" s="1" t="s">
        <v>41</v>
      </c>
      <c r="E82" s="1">
        <v>16</v>
      </c>
      <c r="F82" s="1">
        <v>59084</v>
      </c>
      <c r="G82" s="1">
        <v>0</v>
      </c>
      <c r="H82" s="2">
        <v>46060</v>
      </c>
      <c r="I82" s="2">
        <v>46069</v>
      </c>
      <c r="J82" s="1" t="s">
        <v>20</v>
      </c>
      <c r="K82" s="1">
        <v>1061</v>
      </c>
    </row>
    <row r="83" spans="1:11" x14ac:dyDescent="0.3">
      <c r="A83" s="1" t="s">
        <v>21</v>
      </c>
      <c r="B83" s="1" t="s">
        <v>12</v>
      </c>
      <c r="C83" s="1" t="s">
        <v>34</v>
      </c>
      <c r="D83" s="1" t="s">
        <v>60</v>
      </c>
      <c r="E83" s="1">
        <v>3</v>
      </c>
      <c r="F83" s="1">
        <v>13272</v>
      </c>
      <c r="G83" s="1">
        <v>2</v>
      </c>
      <c r="H83" s="2">
        <v>46060</v>
      </c>
      <c r="I83" s="2">
        <v>46065</v>
      </c>
      <c r="J83" s="1" t="s">
        <v>15</v>
      </c>
      <c r="K83" s="1">
        <v>1232</v>
      </c>
    </row>
    <row r="84" spans="1:11" x14ac:dyDescent="0.3">
      <c r="A84" s="1" t="s">
        <v>16</v>
      </c>
      <c r="B84" s="1" t="s">
        <v>43</v>
      </c>
      <c r="C84" s="1" t="s">
        <v>18</v>
      </c>
      <c r="D84" s="1" t="s">
        <v>19</v>
      </c>
      <c r="E84" s="1">
        <v>10</v>
      </c>
      <c r="F84" s="1">
        <v>12848</v>
      </c>
      <c r="G84" s="1">
        <v>15</v>
      </c>
      <c r="H84" s="2">
        <v>46060</v>
      </c>
      <c r="I84" s="2">
        <v>46064</v>
      </c>
      <c r="J84" s="1" t="s">
        <v>29</v>
      </c>
      <c r="K84" s="1">
        <v>1104</v>
      </c>
    </row>
    <row r="85" spans="1:11" x14ac:dyDescent="0.3">
      <c r="A85" s="1" t="s">
        <v>57</v>
      </c>
      <c r="B85" s="1" t="s">
        <v>38</v>
      </c>
      <c r="C85" s="1" t="s">
        <v>34</v>
      </c>
      <c r="D85" s="1" t="s">
        <v>41</v>
      </c>
      <c r="E85" s="1">
        <v>5</v>
      </c>
      <c r="F85" s="1">
        <v>68012</v>
      </c>
      <c r="G85" s="1">
        <v>5</v>
      </c>
      <c r="H85" s="2">
        <v>46061</v>
      </c>
      <c r="I85" s="2">
        <v>46065</v>
      </c>
      <c r="J85" s="1" t="s">
        <v>15</v>
      </c>
      <c r="K85" s="1">
        <v>1140</v>
      </c>
    </row>
    <row r="86" spans="1:11" x14ac:dyDescent="0.3">
      <c r="A86" s="1" t="s">
        <v>32</v>
      </c>
      <c r="B86" s="1" t="s">
        <v>38</v>
      </c>
      <c r="C86" s="1" t="s">
        <v>13</v>
      </c>
      <c r="D86" s="1" t="s">
        <v>36</v>
      </c>
      <c r="E86" s="1">
        <v>10</v>
      </c>
      <c r="F86" s="1">
        <v>438</v>
      </c>
      <c r="G86" s="1">
        <v>10</v>
      </c>
      <c r="H86" s="2">
        <v>46061</v>
      </c>
      <c r="I86" s="2">
        <v>46065</v>
      </c>
      <c r="J86" s="1" t="s">
        <v>51</v>
      </c>
      <c r="K86" s="1">
        <v>1120</v>
      </c>
    </row>
    <row r="87" spans="1:11" x14ac:dyDescent="0.3">
      <c r="A87" s="1" t="s">
        <v>54</v>
      </c>
      <c r="B87" s="1" t="s">
        <v>33</v>
      </c>
      <c r="C87" s="1" t="s">
        <v>18</v>
      </c>
      <c r="D87" s="1" t="s">
        <v>44</v>
      </c>
      <c r="E87" s="1">
        <v>18</v>
      </c>
      <c r="F87" s="1">
        <v>10402</v>
      </c>
      <c r="G87" s="1">
        <v>15</v>
      </c>
      <c r="H87" s="2">
        <v>46062</v>
      </c>
      <c r="I87" s="2">
        <v>46067</v>
      </c>
      <c r="J87" s="1" t="s">
        <v>29</v>
      </c>
      <c r="K87" s="1">
        <v>1395</v>
      </c>
    </row>
    <row r="88" spans="1:11" x14ac:dyDescent="0.3">
      <c r="A88" s="1" t="s">
        <v>27</v>
      </c>
      <c r="B88" s="1" t="s">
        <v>31</v>
      </c>
      <c r="C88" s="1" t="s">
        <v>34</v>
      </c>
      <c r="D88" s="1" t="s">
        <v>61</v>
      </c>
      <c r="E88" s="1">
        <v>14</v>
      </c>
      <c r="F88" s="1">
        <v>8150</v>
      </c>
      <c r="G88" s="1">
        <v>10</v>
      </c>
      <c r="H88" s="2">
        <v>46062</v>
      </c>
      <c r="I88" s="2">
        <v>46070</v>
      </c>
      <c r="J88" s="1" t="s">
        <v>15</v>
      </c>
      <c r="K88" s="1">
        <v>1152</v>
      </c>
    </row>
    <row r="89" spans="1:11" x14ac:dyDescent="0.3">
      <c r="A89" s="1" t="s">
        <v>57</v>
      </c>
      <c r="B89" s="1" t="s">
        <v>25</v>
      </c>
      <c r="C89" s="1" t="s">
        <v>18</v>
      </c>
      <c r="D89" s="1" t="s">
        <v>19</v>
      </c>
      <c r="E89" s="1">
        <v>19</v>
      </c>
      <c r="F89" s="1">
        <v>5840</v>
      </c>
      <c r="G89" s="1">
        <v>5</v>
      </c>
      <c r="H89" s="2">
        <v>46062</v>
      </c>
      <c r="I89" s="2">
        <v>46067</v>
      </c>
      <c r="J89" s="1" t="s">
        <v>15</v>
      </c>
      <c r="K89" s="1">
        <v>1369</v>
      </c>
    </row>
    <row r="90" spans="1:11" x14ac:dyDescent="0.3">
      <c r="A90" s="1" t="s">
        <v>11</v>
      </c>
      <c r="B90" s="1" t="s">
        <v>17</v>
      </c>
      <c r="C90" s="1" t="s">
        <v>13</v>
      </c>
      <c r="D90" s="1" t="s">
        <v>36</v>
      </c>
      <c r="E90" s="1">
        <v>14</v>
      </c>
      <c r="F90" s="1">
        <v>470</v>
      </c>
      <c r="G90" s="1">
        <v>5</v>
      </c>
      <c r="H90" s="2">
        <v>46062</v>
      </c>
      <c r="I90" s="2">
        <v>46068</v>
      </c>
      <c r="J90" s="1" t="s">
        <v>15</v>
      </c>
      <c r="K90" s="1">
        <v>1010</v>
      </c>
    </row>
    <row r="91" spans="1:11" x14ac:dyDescent="0.3">
      <c r="A91" s="1" t="s">
        <v>57</v>
      </c>
      <c r="B91" s="1" t="s">
        <v>33</v>
      </c>
      <c r="C91" s="1" t="s">
        <v>34</v>
      </c>
      <c r="D91" s="1" t="s">
        <v>35</v>
      </c>
      <c r="E91" s="1">
        <v>12</v>
      </c>
      <c r="F91" s="1">
        <v>66052</v>
      </c>
      <c r="G91" s="1">
        <v>2</v>
      </c>
      <c r="H91" s="2">
        <v>46063</v>
      </c>
      <c r="I91" s="2">
        <v>46066</v>
      </c>
      <c r="J91" s="1" t="s">
        <v>51</v>
      </c>
      <c r="K91" s="1">
        <v>1374</v>
      </c>
    </row>
    <row r="92" spans="1:11" x14ac:dyDescent="0.3">
      <c r="A92" s="1" t="s">
        <v>26</v>
      </c>
      <c r="B92" s="1" t="s">
        <v>38</v>
      </c>
      <c r="C92" s="1" t="s">
        <v>13</v>
      </c>
      <c r="D92" s="1" t="s">
        <v>50</v>
      </c>
      <c r="E92" s="1">
        <v>6</v>
      </c>
      <c r="F92" s="1">
        <v>201</v>
      </c>
      <c r="G92" s="1">
        <v>0</v>
      </c>
      <c r="H92" s="2">
        <v>46063</v>
      </c>
      <c r="I92" s="2">
        <v>46072</v>
      </c>
      <c r="J92" s="1" t="s">
        <v>51</v>
      </c>
      <c r="K92" s="1">
        <v>1296</v>
      </c>
    </row>
    <row r="93" spans="1:11" x14ac:dyDescent="0.3">
      <c r="A93" s="1" t="s">
        <v>40</v>
      </c>
      <c r="B93" s="1" t="s">
        <v>25</v>
      </c>
      <c r="C93" s="1" t="s">
        <v>34</v>
      </c>
      <c r="D93" s="1" t="s">
        <v>60</v>
      </c>
      <c r="E93" s="1">
        <v>9</v>
      </c>
      <c r="F93" s="1">
        <v>59788</v>
      </c>
      <c r="G93" s="1">
        <v>7</v>
      </c>
      <c r="H93" s="2">
        <v>46064</v>
      </c>
      <c r="I93" s="2">
        <v>46071</v>
      </c>
      <c r="J93" s="1" t="s">
        <v>29</v>
      </c>
      <c r="K93" s="1">
        <v>1142</v>
      </c>
    </row>
    <row r="94" spans="1:11" x14ac:dyDescent="0.3">
      <c r="A94" s="1" t="s">
        <v>16</v>
      </c>
      <c r="B94" s="1" t="s">
        <v>33</v>
      </c>
      <c r="C94" s="1" t="s">
        <v>18</v>
      </c>
      <c r="D94" s="1" t="s">
        <v>28</v>
      </c>
      <c r="E94" s="1">
        <v>1</v>
      </c>
      <c r="F94" s="1">
        <v>9749</v>
      </c>
      <c r="G94" s="1">
        <v>15</v>
      </c>
      <c r="H94" s="2">
        <v>46064</v>
      </c>
      <c r="I94" s="2">
        <v>46070</v>
      </c>
      <c r="J94" s="1" t="s">
        <v>24</v>
      </c>
      <c r="K94" s="1">
        <v>1053</v>
      </c>
    </row>
    <row r="95" spans="1:11" x14ac:dyDescent="0.3">
      <c r="A95" s="1" t="s">
        <v>46</v>
      </c>
      <c r="B95" s="1" t="s">
        <v>12</v>
      </c>
      <c r="C95" s="1" t="s">
        <v>34</v>
      </c>
      <c r="D95" s="1" t="s">
        <v>35</v>
      </c>
      <c r="E95" s="1">
        <v>10</v>
      </c>
      <c r="F95" s="1">
        <v>17041</v>
      </c>
      <c r="G95" s="1">
        <v>2</v>
      </c>
      <c r="H95" s="2">
        <v>46066</v>
      </c>
      <c r="I95" s="2">
        <v>46071</v>
      </c>
      <c r="J95" s="1" t="s">
        <v>24</v>
      </c>
      <c r="K95" s="1">
        <v>1089</v>
      </c>
    </row>
    <row r="96" spans="1:11" x14ac:dyDescent="0.3">
      <c r="A96" s="1" t="s">
        <v>58</v>
      </c>
      <c r="B96" s="1" t="s">
        <v>38</v>
      </c>
      <c r="C96" s="1" t="s">
        <v>13</v>
      </c>
      <c r="D96" s="1" t="s">
        <v>14</v>
      </c>
      <c r="E96" s="1">
        <v>13</v>
      </c>
      <c r="F96" s="1">
        <v>155</v>
      </c>
      <c r="G96" s="1">
        <v>2</v>
      </c>
      <c r="H96" s="2">
        <v>46066</v>
      </c>
      <c r="I96" s="2">
        <v>46069</v>
      </c>
      <c r="J96" s="1" t="s">
        <v>24</v>
      </c>
      <c r="K96" s="1">
        <v>1174</v>
      </c>
    </row>
    <row r="97" spans="1:11" x14ac:dyDescent="0.3">
      <c r="A97" s="1" t="s">
        <v>16</v>
      </c>
      <c r="B97" s="1" t="s">
        <v>25</v>
      </c>
      <c r="C97" s="1" t="s">
        <v>13</v>
      </c>
      <c r="D97" s="1" t="s">
        <v>50</v>
      </c>
      <c r="E97" s="1">
        <v>13</v>
      </c>
      <c r="F97" s="1">
        <v>32</v>
      </c>
      <c r="G97" s="1">
        <v>15</v>
      </c>
      <c r="H97" s="2">
        <v>46066</v>
      </c>
      <c r="I97" s="2">
        <v>46069</v>
      </c>
      <c r="J97" s="1" t="s">
        <v>15</v>
      </c>
      <c r="K97" s="1">
        <v>1114</v>
      </c>
    </row>
    <row r="98" spans="1:11" x14ac:dyDescent="0.3">
      <c r="A98" s="1" t="s">
        <v>59</v>
      </c>
      <c r="B98" s="1" t="s">
        <v>22</v>
      </c>
      <c r="C98" s="1" t="s">
        <v>18</v>
      </c>
      <c r="D98" s="1" t="s">
        <v>28</v>
      </c>
      <c r="E98" s="1">
        <v>2</v>
      </c>
      <c r="F98" s="1">
        <v>9531</v>
      </c>
      <c r="G98" s="1">
        <v>15</v>
      </c>
      <c r="H98" s="2">
        <v>46067</v>
      </c>
      <c r="I98" s="2">
        <v>46076</v>
      </c>
      <c r="J98" s="1" t="s">
        <v>51</v>
      </c>
      <c r="K98" s="1">
        <v>1057</v>
      </c>
    </row>
    <row r="99" spans="1:11" x14ac:dyDescent="0.3">
      <c r="A99" s="1" t="s">
        <v>40</v>
      </c>
      <c r="B99" s="1" t="s">
        <v>33</v>
      </c>
      <c r="C99" s="1" t="s">
        <v>34</v>
      </c>
      <c r="D99" s="1" t="s">
        <v>41</v>
      </c>
      <c r="E99" s="1">
        <v>20</v>
      </c>
      <c r="F99" s="1">
        <v>41165</v>
      </c>
      <c r="G99" s="1">
        <v>0</v>
      </c>
      <c r="H99" s="2">
        <v>46068</v>
      </c>
      <c r="I99" s="2">
        <v>46069</v>
      </c>
      <c r="J99" s="1" t="s">
        <v>20</v>
      </c>
      <c r="K99" s="1">
        <v>1088</v>
      </c>
    </row>
    <row r="100" spans="1:11" x14ac:dyDescent="0.3">
      <c r="A100" s="1" t="s">
        <v>30</v>
      </c>
      <c r="B100" s="1" t="s">
        <v>31</v>
      </c>
      <c r="C100" s="1" t="s">
        <v>34</v>
      </c>
      <c r="D100" s="1" t="s">
        <v>41</v>
      </c>
      <c r="E100" s="1">
        <v>5</v>
      </c>
      <c r="F100" s="1">
        <v>11570</v>
      </c>
      <c r="G100" s="1">
        <v>15</v>
      </c>
      <c r="H100" s="2">
        <v>46069</v>
      </c>
      <c r="I100" s="2">
        <v>46077</v>
      </c>
      <c r="J100" s="1" t="s">
        <v>24</v>
      </c>
      <c r="K100" s="1">
        <v>1243</v>
      </c>
    </row>
    <row r="101" spans="1:11" x14ac:dyDescent="0.3">
      <c r="A101" s="1" t="s">
        <v>42</v>
      </c>
      <c r="B101" s="1" t="s">
        <v>25</v>
      </c>
      <c r="C101" s="1" t="s">
        <v>18</v>
      </c>
      <c r="D101" s="1" t="s">
        <v>23</v>
      </c>
      <c r="E101" s="1">
        <v>19</v>
      </c>
      <c r="F101" s="1">
        <v>10273</v>
      </c>
      <c r="G101" s="1">
        <v>12</v>
      </c>
      <c r="H101" s="2">
        <v>46069</v>
      </c>
      <c r="I101" s="2">
        <v>46072</v>
      </c>
      <c r="J101" s="1" t="s">
        <v>29</v>
      </c>
      <c r="K101" s="1">
        <v>1153</v>
      </c>
    </row>
    <row r="102" spans="1:11" x14ac:dyDescent="0.3">
      <c r="A102" s="1" t="s">
        <v>46</v>
      </c>
      <c r="B102" s="1" t="s">
        <v>33</v>
      </c>
      <c r="C102" s="1" t="s">
        <v>13</v>
      </c>
      <c r="D102" s="1" t="s">
        <v>50</v>
      </c>
      <c r="E102" s="1">
        <v>17</v>
      </c>
      <c r="F102" s="1">
        <v>119</v>
      </c>
      <c r="G102" s="1">
        <v>7</v>
      </c>
      <c r="H102" s="2">
        <v>46070</v>
      </c>
      <c r="I102" s="2">
        <v>46072</v>
      </c>
      <c r="J102" s="1" t="s">
        <v>20</v>
      </c>
      <c r="K102" s="1">
        <v>1365</v>
      </c>
    </row>
    <row r="103" spans="1:11" x14ac:dyDescent="0.3">
      <c r="A103" s="1" t="s">
        <v>11</v>
      </c>
      <c r="B103" s="1" t="s">
        <v>25</v>
      </c>
      <c r="C103" s="1" t="s">
        <v>13</v>
      </c>
      <c r="D103" s="1" t="s">
        <v>36</v>
      </c>
      <c r="E103" s="1">
        <v>20</v>
      </c>
      <c r="F103" s="1">
        <v>161</v>
      </c>
      <c r="G103" s="1">
        <v>7</v>
      </c>
      <c r="H103" s="2">
        <v>46071</v>
      </c>
      <c r="I103" s="2">
        <v>46077</v>
      </c>
      <c r="J103" s="1" t="s">
        <v>24</v>
      </c>
      <c r="K103" s="1">
        <v>1036</v>
      </c>
    </row>
    <row r="104" spans="1:11" x14ac:dyDescent="0.3">
      <c r="A104" s="1" t="s">
        <v>48</v>
      </c>
      <c r="B104" s="1" t="s">
        <v>38</v>
      </c>
      <c r="C104" s="1" t="s">
        <v>18</v>
      </c>
      <c r="D104" s="1" t="s">
        <v>19</v>
      </c>
      <c r="E104" s="1">
        <v>19</v>
      </c>
      <c r="F104" s="1">
        <v>1087</v>
      </c>
      <c r="G104" s="1">
        <v>15</v>
      </c>
      <c r="H104" s="2">
        <v>46072</v>
      </c>
      <c r="I104" s="2">
        <v>46082</v>
      </c>
      <c r="J104" s="1" t="s">
        <v>20</v>
      </c>
      <c r="K104" s="1">
        <v>1371</v>
      </c>
    </row>
    <row r="105" spans="1:11" x14ac:dyDescent="0.3">
      <c r="A105" s="1" t="s">
        <v>57</v>
      </c>
      <c r="B105" s="1" t="s">
        <v>38</v>
      </c>
      <c r="C105" s="1" t="s">
        <v>34</v>
      </c>
      <c r="D105" s="1" t="s">
        <v>61</v>
      </c>
      <c r="E105" s="1">
        <v>2</v>
      </c>
      <c r="F105" s="1">
        <v>32074</v>
      </c>
      <c r="G105" s="1">
        <v>10</v>
      </c>
      <c r="H105" s="2">
        <v>46073</v>
      </c>
      <c r="I105" s="2">
        <v>46078</v>
      </c>
      <c r="J105" s="1" t="s">
        <v>15</v>
      </c>
      <c r="K105" s="1">
        <v>1323</v>
      </c>
    </row>
    <row r="106" spans="1:11" x14ac:dyDescent="0.3">
      <c r="A106" s="1" t="s">
        <v>21</v>
      </c>
      <c r="B106" s="1" t="s">
        <v>31</v>
      </c>
      <c r="C106" s="1" t="s">
        <v>34</v>
      </c>
      <c r="D106" s="1" t="s">
        <v>45</v>
      </c>
      <c r="E106" s="1">
        <v>20</v>
      </c>
      <c r="F106" s="1">
        <v>47880</v>
      </c>
      <c r="G106" s="1">
        <v>7</v>
      </c>
      <c r="H106" s="2">
        <v>46074</v>
      </c>
      <c r="I106" s="2">
        <v>46075</v>
      </c>
      <c r="J106" s="1" t="s">
        <v>29</v>
      </c>
      <c r="K106" s="1">
        <v>1253</v>
      </c>
    </row>
    <row r="107" spans="1:11" x14ac:dyDescent="0.3">
      <c r="A107" s="1" t="s">
        <v>59</v>
      </c>
      <c r="B107" s="1" t="s">
        <v>12</v>
      </c>
      <c r="C107" s="1" t="s">
        <v>34</v>
      </c>
      <c r="D107" s="1" t="s">
        <v>39</v>
      </c>
      <c r="E107" s="1">
        <v>15</v>
      </c>
      <c r="F107" s="1">
        <v>38116</v>
      </c>
      <c r="G107" s="1">
        <v>0</v>
      </c>
      <c r="H107" s="2">
        <v>46074</v>
      </c>
      <c r="I107" s="2">
        <v>46078</v>
      </c>
      <c r="J107" s="1" t="s">
        <v>29</v>
      </c>
      <c r="K107" s="1">
        <v>1384</v>
      </c>
    </row>
    <row r="108" spans="1:11" x14ac:dyDescent="0.3">
      <c r="A108" s="1" t="s">
        <v>55</v>
      </c>
      <c r="B108" s="1" t="s">
        <v>22</v>
      </c>
      <c r="C108" s="1" t="s">
        <v>34</v>
      </c>
      <c r="D108" s="1" t="s">
        <v>45</v>
      </c>
      <c r="E108" s="1">
        <v>15</v>
      </c>
      <c r="F108" s="1">
        <v>22693</v>
      </c>
      <c r="G108" s="1">
        <v>12</v>
      </c>
      <c r="H108" s="2">
        <v>46074</v>
      </c>
      <c r="I108" s="2">
        <v>46080</v>
      </c>
      <c r="J108" s="1" t="s">
        <v>51</v>
      </c>
      <c r="K108" s="1">
        <v>1378</v>
      </c>
    </row>
    <row r="109" spans="1:11" x14ac:dyDescent="0.3">
      <c r="A109" s="1" t="s">
        <v>52</v>
      </c>
      <c r="B109" s="1" t="s">
        <v>38</v>
      </c>
      <c r="C109" s="1" t="s">
        <v>18</v>
      </c>
      <c r="D109" s="1" t="s">
        <v>28</v>
      </c>
      <c r="E109" s="1">
        <v>10</v>
      </c>
      <c r="F109" s="1">
        <v>5532</v>
      </c>
      <c r="G109" s="1">
        <v>7</v>
      </c>
      <c r="H109" s="2">
        <v>46074</v>
      </c>
      <c r="I109" s="2">
        <v>46084</v>
      </c>
      <c r="J109" s="1" t="s">
        <v>24</v>
      </c>
      <c r="K109" s="1">
        <v>1058</v>
      </c>
    </row>
    <row r="110" spans="1:11" x14ac:dyDescent="0.3">
      <c r="A110" s="1" t="s">
        <v>16</v>
      </c>
      <c r="B110" s="1" t="s">
        <v>12</v>
      </c>
      <c r="C110" s="1" t="s">
        <v>13</v>
      </c>
      <c r="D110" s="1" t="s">
        <v>53</v>
      </c>
      <c r="E110" s="1">
        <v>14</v>
      </c>
      <c r="F110" s="1">
        <v>373</v>
      </c>
      <c r="G110" s="1">
        <v>10</v>
      </c>
      <c r="H110" s="2">
        <v>46074</v>
      </c>
      <c r="I110" s="2">
        <v>46080</v>
      </c>
      <c r="J110" s="1" t="s">
        <v>29</v>
      </c>
      <c r="K110" s="1">
        <v>1337</v>
      </c>
    </row>
    <row r="111" spans="1:11" x14ac:dyDescent="0.3">
      <c r="A111" s="1" t="s">
        <v>54</v>
      </c>
      <c r="B111" s="1" t="s">
        <v>31</v>
      </c>
      <c r="C111" s="1" t="s">
        <v>13</v>
      </c>
      <c r="D111" s="1" t="s">
        <v>53</v>
      </c>
      <c r="E111" s="1">
        <v>18</v>
      </c>
      <c r="F111" s="1">
        <v>139</v>
      </c>
      <c r="G111" s="1">
        <v>12</v>
      </c>
      <c r="H111" s="2">
        <v>46075</v>
      </c>
      <c r="I111" s="2">
        <v>46076</v>
      </c>
      <c r="J111" s="1" t="s">
        <v>20</v>
      </c>
      <c r="K111" s="1">
        <v>1201</v>
      </c>
    </row>
    <row r="112" spans="1:11" x14ac:dyDescent="0.3">
      <c r="A112" s="1" t="s">
        <v>21</v>
      </c>
      <c r="B112" s="1" t="s">
        <v>12</v>
      </c>
      <c r="C112" s="1" t="s">
        <v>13</v>
      </c>
      <c r="D112" s="1" t="s">
        <v>14</v>
      </c>
      <c r="E112" s="1">
        <v>7</v>
      </c>
      <c r="F112" s="1">
        <v>133</v>
      </c>
      <c r="G112" s="1">
        <v>10</v>
      </c>
      <c r="H112" s="2">
        <v>46075</v>
      </c>
      <c r="I112" s="2">
        <v>46085</v>
      </c>
      <c r="J112" s="1" t="s">
        <v>51</v>
      </c>
      <c r="K112" s="1">
        <v>1082</v>
      </c>
    </row>
    <row r="113" spans="1:11" x14ac:dyDescent="0.3">
      <c r="A113" s="1" t="s">
        <v>48</v>
      </c>
      <c r="B113" s="1" t="s">
        <v>43</v>
      </c>
      <c r="C113" s="1" t="s">
        <v>34</v>
      </c>
      <c r="D113" s="1" t="s">
        <v>39</v>
      </c>
      <c r="E113" s="1">
        <v>9</v>
      </c>
      <c r="F113" s="1">
        <v>58442</v>
      </c>
      <c r="G113" s="1">
        <v>12</v>
      </c>
      <c r="H113" s="2">
        <v>46076</v>
      </c>
      <c r="I113" s="2">
        <v>46085</v>
      </c>
      <c r="J113" s="1" t="s">
        <v>20</v>
      </c>
      <c r="K113" s="1">
        <v>1325</v>
      </c>
    </row>
    <row r="114" spans="1:11" x14ac:dyDescent="0.3">
      <c r="A114" s="1" t="s">
        <v>52</v>
      </c>
      <c r="B114" s="1" t="s">
        <v>17</v>
      </c>
      <c r="C114" s="1" t="s">
        <v>34</v>
      </c>
      <c r="D114" s="1" t="s">
        <v>60</v>
      </c>
      <c r="E114" s="1">
        <v>4</v>
      </c>
      <c r="F114" s="1">
        <v>14291</v>
      </c>
      <c r="G114" s="1">
        <v>2</v>
      </c>
      <c r="H114" s="2">
        <v>46076</v>
      </c>
      <c r="I114" s="2">
        <v>46078</v>
      </c>
      <c r="J114" s="1" t="s">
        <v>15</v>
      </c>
      <c r="K114" s="1">
        <v>1107</v>
      </c>
    </row>
    <row r="115" spans="1:11" x14ac:dyDescent="0.3">
      <c r="A115" s="1" t="s">
        <v>58</v>
      </c>
      <c r="B115" s="1" t="s">
        <v>43</v>
      </c>
      <c r="C115" s="1" t="s">
        <v>18</v>
      </c>
      <c r="D115" s="1" t="s">
        <v>19</v>
      </c>
      <c r="E115" s="1">
        <v>9</v>
      </c>
      <c r="F115" s="1">
        <v>7670</v>
      </c>
      <c r="G115" s="1">
        <v>0</v>
      </c>
      <c r="H115" s="2">
        <v>46076</v>
      </c>
      <c r="I115" s="2">
        <v>46081</v>
      </c>
      <c r="J115" s="1" t="s">
        <v>51</v>
      </c>
      <c r="K115" s="1">
        <v>1390</v>
      </c>
    </row>
    <row r="116" spans="1:11" x14ac:dyDescent="0.3">
      <c r="A116" s="1" t="s">
        <v>26</v>
      </c>
      <c r="B116" s="1" t="s">
        <v>43</v>
      </c>
      <c r="C116" s="1" t="s">
        <v>18</v>
      </c>
      <c r="D116" s="1" t="s">
        <v>56</v>
      </c>
      <c r="E116" s="1">
        <v>13</v>
      </c>
      <c r="F116" s="1">
        <v>6719</v>
      </c>
      <c r="G116" s="1">
        <v>15</v>
      </c>
      <c r="H116" s="2">
        <v>46076</v>
      </c>
      <c r="I116" s="2">
        <v>46081</v>
      </c>
      <c r="J116" s="1" t="s">
        <v>24</v>
      </c>
      <c r="K116" s="1">
        <v>1113</v>
      </c>
    </row>
    <row r="117" spans="1:11" x14ac:dyDescent="0.3">
      <c r="A117" s="1" t="s">
        <v>52</v>
      </c>
      <c r="B117" s="1" t="s">
        <v>43</v>
      </c>
      <c r="C117" s="1" t="s">
        <v>13</v>
      </c>
      <c r="D117" s="1" t="s">
        <v>36</v>
      </c>
      <c r="E117" s="1">
        <v>10</v>
      </c>
      <c r="F117" s="1">
        <v>233</v>
      </c>
      <c r="G117" s="1">
        <v>7</v>
      </c>
      <c r="H117" s="2">
        <v>46076</v>
      </c>
      <c r="I117" s="2">
        <v>46077</v>
      </c>
      <c r="J117" s="1" t="s">
        <v>29</v>
      </c>
      <c r="K117" s="1">
        <v>1070</v>
      </c>
    </row>
    <row r="118" spans="1:11" x14ac:dyDescent="0.3">
      <c r="A118" s="1" t="s">
        <v>52</v>
      </c>
      <c r="B118" s="1" t="s">
        <v>33</v>
      </c>
      <c r="C118" s="1" t="s">
        <v>13</v>
      </c>
      <c r="D118" s="1" t="s">
        <v>50</v>
      </c>
      <c r="E118" s="1">
        <v>3</v>
      </c>
      <c r="F118" s="1">
        <v>203</v>
      </c>
      <c r="G118" s="1">
        <v>15</v>
      </c>
      <c r="H118" s="2">
        <v>46076</v>
      </c>
      <c r="I118" s="2">
        <v>46080</v>
      </c>
      <c r="J118" s="1" t="s">
        <v>29</v>
      </c>
      <c r="K118" s="1">
        <v>1157</v>
      </c>
    </row>
    <row r="119" spans="1:11" x14ac:dyDescent="0.3">
      <c r="A119" s="1" t="s">
        <v>49</v>
      </c>
      <c r="B119" s="1" t="s">
        <v>38</v>
      </c>
      <c r="C119" s="1" t="s">
        <v>18</v>
      </c>
      <c r="D119" s="1" t="s">
        <v>23</v>
      </c>
      <c r="E119" s="1">
        <v>14</v>
      </c>
      <c r="F119" s="1">
        <v>6793</v>
      </c>
      <c r="G119" s="1">
        <v>7</v>
      </c>
      <c r="H119" s="2">
        <v>46077</v>
      </c>
      <c r="I119" s="2">
        <v>46082</v>
      </c>
      <c r="J119" s="1" t="s">
        <v>29</v>
      </c>
      <c r="K119" s="1">
        <v>1110</v>
      </c>
    </row>
    <row r="120" spans="1:11" x14ac:dyDescent="0.3">
      <c r="A120" s="1" t="s">
        <v>59</v>
      </c>
      <c r="B120" s="1" t="s">
        <v>17</v>
      </c>
      <c r="C120" s="1" t="s">
        <v>18</v>
      </c>
      <c r="D120" s="1" t="s">
        <v>23</v>
      </c>
      <c r="E120" s="1">
        <v>4</v>
      </c>
      <c r="F120" s="1">
        <v>2249</v>
      </c>
      <c r="G120" s="1">
        <v>7</v>
      </c>
      <c r="H120" s="2">
        <v>46077</v>
      </c>
      <c r="I120" s="2">
        <v>46084</v>
      </c>
      <c r="J120" s="1" t="s">
        <v>15</v>
      </c>
      <c r="K120" s="1">
        <v>1223</v>
      </c>
    </row>
    <row r="121" spans="1:11" x14ac:dyDescent="0.3">
      <c r="A121" s="1" t="s">
        <v>48</v>
      </c>
      <c r="B121" s="1" t="s">
        <v>12</v>
      </c>
      <c r="C121" s="1" t="s">
        <v>13</v>
      </c>
      <c r="D121" s="1" t="s">
        <v>37</v>
      </c>
      <c r="E121" s="1">
        <v>18</v>
      </c>
      <c r="F121" s="1">
        <v>185</v>
      </c>
      <c r="G121" s="1">
        <v>15</v>
      </c>
      <c r="H121" s="2">
        <v>46077</v>
      </c>
      <c r="I121" s="2">
        <v>46078</v>
      </c>
      <c r="J121" s="1" t="s">
        <v>15</v>
      </c>
      <c r="K121" s="1">
        <v>1055</v>
      </c>
    </row>
    <row r="122" spans="1:11" x14ac:dyDescent="0.3">
      <c r="A122" s="1" t="s">
        <v>52</v>
      </c>
      <c r="B122" s="1" t="s">
        <v>38</v>
      </c>
      <c r="C122" s="1" t="s">
        <v>34</v>
      </c>
      <c r="D122" s="1" t="s">
        <v>41</v>
      </c>
      <c r="E122" s="1">
        <v>13</v>
      </c>
      <c r="F122" s="1">
        <v>42179</v>
      </c>
      <c r="G122" s="1">
        <v>0</v>
      </c>
      <c r="H122" s="2">
        <v>46078</v>
      </c>
      <c r="I122" s="2">
        <v>46084</v>
      </c>
      <c r="J122" s="1" t="s">
        <v>20</v>
      </c>
      <c r="K122" s="1">
        <v>1272</v>
      </c>
    </row>
    <row r="123" spans="1:11" x14ac:dyDescent="0.3">
      <c r="A123" s="1" t="s">
        <v>46</v>
      </c>
      <c r="B123" s="1" t="s">
        <v>12</v>
      </c>
      <c r="C123" s="1" t="s">
        <v>18</v>
      </c>
      <c r="D123" s="1" t="s">
        <v>28</v>
      </c>
      <c r="E123" s="1">
        <v>7</v>
      </c>
      <c r="F123" s="1">
        <v>9838</v>
      </c>
      <c r="G123" s="1">
        <v>7</v>
      </c>
      <c r="H123" s="2">
        <v>46078</v>
      </c>
      <c r="I123" s="2">
        <v>46085</v>
      </c>
      <c r="J123" s="1" t="s">
        <v>20</v>
      </c>
      <c r="K123" s="1">
        <v>1316</v>
      </c>
    </row>
    <row r="124" spans="1:11" x14ac:dyDescent="0.3">
      <c r="A124" s="1" t="s">
        <v>46</v>
      </c>
      <c r="B124" s="1" t="s">
        <v>12</v>
      </c>
      <c r="C124" s="1" t="s">
        <v>18</v>
      </c>
      <c r="D124" s="1" t="s">
        <v>19</v>
      </c>
      <c r="E124" s="1">
        <v>5</v>
      </c>
      <c r="F124" s="1">
        <v>4582</v>
      </c>
      <c r="G124" s="1">
        <v>5</v>
      </c>
      <c r="H124" s="2">
        <v>46078</v>
      </c>
      <c r="I124" s="2">
        <v>46083</v>
      </c>
      <c r="J124" s="1" t="s">
        <v>15</v>
      </c>
      <c r="K124" s="1">
        <v>1020</v>
      </c>
    </row>
    <row r="125" spans="1:11" x14ac:dyDescent="0.3">
      <c r="A125" s="1" t="s">
        <v>40</v>
      </c>
      <c r="B125" s="1" t="s">
        <v>33</v>
      </c>
      <c r="C125" s="1" t="s">
        <v>34</v>
      </c>
      <c r="D125" s="1" t="s">
        <v>35</v>
      </c>
      <c r="E125" s="1">
        <v>20</v>
      </c>
      <c r="F125" s="1">
        <v>62721</v>
      </c>
      <c r="G125" s="1">
        <v>7</v>
      </c>
      <c r="H125" s="2">
        <v>46079</v>
      </c>
      <c r="I125" s="2">
        <v>46083</v>
      </c>
      <c r="J125" s="1" t="s">
        <v>20</v>
      </c>
      <c r="K125" s="1">
        <v>1349</v>
      </c>
    </row>
    <row r="126" spans="1:11" x14ac:dyDescent="0.3">
      <c r="A126" s="1" t="s">
        <v>26</v>
      </c>
      <c r="B126" s="1" t="s">
        <v>38</v>
      </c>
      <c r="C126" s="1" t="s">
        <v>34</v>
      </c>
      <c r="D126" s="1" t="s">
        <v>41</v>
      </c>
      <c r="E126" s="1">
        <v>13</v>
      </c>
      <c r="F126" s="1">
        <v>12518</v>
      </c>
      <c r="G126" s="1">
        <v>2</v>
      </c>
      <c r="H126" s="2">
        <v>46079</v>
      </c>
      <c r="I126" s="2">
        <v>46082</v>
      </c>
      <c r="J126" s="1" t="s">
        <v>51</v>
      </c>
      <c r="K126" s="1">
        <v>1158</v>
      </c>
    </row>
    <row r="127" spans="1:11" x14ac:dyDescent="0.3">
      <c r="A127" s="1" t="s">
        <v>29</v>
      </c>
      <c r="B127" s="1" t="s">
        <v>38</v>
      </c>
      <c r="C127" s="1" t="s">
        <v>34</v>
      </c>
      <c r="D127" s="1" t="s">
        <v>39</v>
      </c>
      <c r="E127" s="1">
        <v>9</v>
      </c>
      <c r="F127" s="1">
        <v>62440</v>
      </c>
      <c r="G127" s="1">
        <v>2</v>
      </c>
      <c r="H127" s="2">
        <v>46081</v>
      </c>
      <c r="I127" s="2">
        <v>46086</v>
      </c>
      <c r="J127" s="1" t="s">
        <v>29</v>
      </c>
      <c r="K127" s="1">
        <v>1163</v>
      </c>
    </row>
    <row r="128" spans="1:11" x14ac:dyDescent="0.3">
      <c r="A128" s="1" t="s">
        <v>46</v>
      </c>
      <c r="B128" s="1" t="s">
        <v>33</v>
      </c>
      <c r="C128" s="1" t="s">
        <v>13</v>
      </c>
      <c r="D128" s="1" t="s">
        <v>53</v>
      </c>
      <c r="E128" s="1">
        <v>16</v>
      </c>
      <c r="F128" s="1">
        <v>232</v>
      </c>
      <c r="G128" s="1">
        <v>0</v>
      </c>
      <c r="H128" s="2">
        <v>46081</v>
      </c>
      <c r="I128" s="2">
        <v>46088</v>
      </c>
      <c r="J128" s="1" t="s">
        <v>29</v>
      </c>
      <c r="K128" s="1">
        <v>1042</v>
      </c>
    </row>
    <row r="129" spans="1:11" x14ac:dyDescent="0.3">
      <c r="A129" s="1" t="s">
        <v>11</v>
      </c>
      <c r="B129" s="1" t="s">
        <v>12</v>
      </c>
      <c r="C129" s="1" t="s">
        <v>13</v>
      </c>
      <c r="D129" s="1" t="s">
        <v>14</v>
      </c>
      <c r="E129" s="1">
        <v>3</v>
      </c>
      <c r="F129" s="1">
        <v>222</v>
      </c>
      <c r="G129" s="1">
        <v>15</v>
      </c>
      <c r="H129" s="2">
        <v>46081</v>
      </c>
      <c r="I129" s="2">
        <v>46083</v>
      </c>
      <c r="J129" s="1" t="s">
        <v>15</v>
      </c>
      <c r="K129" s="1">
        <v>1001</v>
      </c>
    </row>
    <row r="130" spans="1:11" x14ac:dyDescent="0.3">
      <c r="A130" s="1" t="s">
        <v>57</v>
      </c>
      <c r="B130" s="1" t="s">
        <v>22</v>
      </c>
      <c r="C130" s="1" t="s">
        <v>34</v>
      </c>
      <c r="D130" s="1" t="s">
        <v>35</v>
      </c>
      <c r="E130" s="1">
        <v>2</v>
      </c>
      <c r="F130" s="1">
        <v>20312</v>
      </c>
      <c r="G130" s="1">
        <v>12</v>
      </c>
      <c r="H130" s="2">
        <v>46082</v>
      </c>
      <c r="I130" s="2">
        <v>46091</v>
      </c>
      <c r="J130" s="1" t="s">
        <v>15</v>
      </c>
      <c r="K130" s="1">
        <v>1202</v>
      </c>
    </row>
    <row r="131" spans="1:11" x14ac:dyDescent="0.3">
      <c r="A131" s="1" t="s">
        <v>47</v>
      </c>
      <c r="B131" s="1" t="s">
        <v>25</v>
      </c>
      <c r="C131" s="1" t="s">
        <v>18</v>
      </c>
      <c r="D131" s="1" t="s">
        <v>44</v>
      </c>
      <c r="E131" s="1">
        <v>15</v>
      </c>
      <c r="F131" s="1">
        <v>11987</v>
      </c>
      <c r="G131" s="1">
        <v>5</v>
      </c>
      <c r="H131" s="2">
        <v>46082</v>
      </c>
      <c r="I131" s="2">
        <v>46083</v>
      </c>
      <c r="J131" s="1" t="s">
        <v>15</v>
      </c>
      <c r="K131" s="1">
        <v>1066</v>
      </c>
    </row>
    <row r="132" spans="1:11" x14ac:dyDescent="0.3">
      <c r="A132" s="1" t="s">
        <v>11</v>
      </c>
      <c r="B132" s="1" t="s">
        <v>43</v>
      </c>
      <c r="C132" s="1" t="s">
        <v>18</v>
      </c>
      <c r="D132" s="1" t="s">
        <v>19</v>
      </c>
      <c r="E132" s="1">
        <v>9</v>
      </c>
      <c r="F132" s="1">
        <v>4895</v>
      </c>
      <c r="G132" s="1">
        <v>2</v>
      </c>
      <c r="H132" s="2">
        <v>46082</v>
      </c>
      <c r="I132" s="2">
        <v>46084</v>
      </c>
      <c r="J132" s="1" t="s">
        <v>29</v>
      </c>
      <c r="K132" s="1">
        <v>1033</v>
      </c>
    </row>
    <row r="133" spans="1:11" x14ac:dyDescent="0.3">
      <c r="A133" s="1" t="s">
        <v>40</v>
      </c>
      <c r="B133" s="1" t="s">
        <v>25</v>
      </c>
      <c r="C133" s="1" t="s">
        <v>13</v>
      </c>
      <c r="D133" s="1" t="s">
        <v>37</v>
      </c>
      <c r="E133" s="1">
        <v>16</v>
      </c>
      <c r="F133" s="1">
        <v>419</v>
      </c>
      <c r="G133" s="1">
        <v>2</v>
      </c>
      <c r="H133" s="2">
        <v>46082</v>
      </c>
      <c r="I133" s="2">
        <v>46090</v>
      </c>
      <c r="J133" s="1" t="s">
        <v>15</v>
      </c>
      <c r="K133" s="1">
        <v>1284</v>
      </c>
    </row>
    <row r="134" spans="1:11" x14ac:dyDescent="0.3">
      <c r="A134" s="1" t="s">
        <v>46</v>
      </c>
      <c r="B134" s="1" t="s">
        <v>38</v>
      </c>
      <c r="C134" s="1" t="s">
        <v>13</v>
      </c>
      <c r="D134" s="1" t="s">
        <v>36</v>
      </c>
      <c r="E134" s="1">
        <v>8</v>
      </c>
      <c r="F134" s="1">
        <v>179</v>
      </c>
      <c r="G134" s="1">
        <v>15</v>
      </c>
      <c r="H134" s="2">
        <v>46082</v>
      </c>
      <c r="I134" s="2">
        <v>46084</v>
      </c>
      <c r="J134" s="1" t="s">
        <v>15</v>
      </c>
      <c r="K134" s="1">
        <v>1017</v>
      </c>
    </row>
    <row r="135" spans="1:11" x14ac:dyDescent="0.3">
      <c r="A135" s="1" t="s">
        <v>40</v>
      </c>
      <c r="B135" s="1" t="s">
        <v>33</v>
      </c>
      <c r="C135" s="1" t="s">
        <v>34</v>
      </c>
      <c r="D135" s="1" t="s">
        <v>60</v>
      </c>
      <c r="E135" s="1">
        <v>20</v>
      </c>
      <c r="F135" s="1">
        <v>36941</v>
      </c>
      <c r="G135" s="1">
        <v>15</v>
      </c>
      <c r="H135" s="2">
        <v>46083</v>
      </c>
      <c r="I135" s="2">
        <v>46085</v>
      </c>
      <c r="J135" s="1" t="s">
        <v>29</v>
      </c>
      <c r="K135" s="1">
        <v>1271</v>
      </c>
    </row>
    <row r="136" spans="1:11" x14ac:dyDescent="0.3">
      <c r="A136" s="1" t="s">
        <v>21</v>
      </c>
      <c r="B136" s="1" t="s">
        <v>12</v>
      </c>
      <c r="C136" s="1" t="s">
        <v>34</v>
      </c>
      <c r="D136" s="1" t="s">
        <v>61</v>
      </c>
      <c r="E136" s="1">
        <v>19</v>
      </c>
      <c r="F136" s="1">
        <v>20745</v>
      </c>
      <c r="G136" s="1">
        <v>2</v>
      </c>
      <c r="H136" s="2">
        <v>46083</v>
      </c>
      <c r="I136" s="2">
        <v>46093</v>
      </c>
      <c r="J136" s="1" t="s">
        <v>24</v>
      </c>
      <c r="K136" s="1">
        <v>1298</v>
      </c>
    </row>
    <row r="137" spans="1:11" x14ac:dyDescent="0.3">
      <c r="A137" s="1" t="s">
        <v>52</v>
      </c>
      <c r="B137" s="1" t="s">
        <v>17</v>
      </c>
      <c r="C137" s="1" t="s">
        <v>34</v>
      </c>
      <c r="D137" s="1" t="s">
        <v>39</v>
      </c>
      <c r="E137" s="1">
        <v>11</v>
      </c>
      <c r="F137" s="1">
        <v>24278</v>
      </c>
      <c r="G137" s="1">
        <v>12</v>
      </c>
      <c r="H137" s="2">
        <v>46084</v>
      </c>
      <c r="I137" s="2">
        <v>46090</v>
      </c>
      <c r="J137" s="1" t="s">
        <v>29</v>
      </c>
      <c r="K137" s="1">
        <v>1078</v>
      </c>
    </row>
    <row r="138" spans="1:11" x14ac:dyDescent="0.3">
      <c r="A138" s="1" t="s">
        <v>55</v>
      </c>
      <c r="B138" s="1" t="s">
        <v>43</v>
      </c>
      <c r="C138" s="1" t="s">
        <v>18</v>
      </c>
      <c r="D138" s="1" t="s">
        <v>19</v>
      </c>
      <c r="E138" s="1">
        <v>5</v>
      </c>
      <c r="F138" s="1">
        <v>14466</v>
      </c>
      <c r="G138" s="1">
        <v>2</v>
      </c>
      <c r="H138" s="2">
        <v>46084</v>
      </c>
      <c r="I138" s="2">
        <v>46092</v>
      </c>
      <c r="J138" s="1" t="s">
        <v>51</v>
      </c>
      <c r="K138" s="1">
        <v>1138</v>
      </c>
    </row>
    <row r="139" spans="1:11" x14ac:dyDescent="0.3">
      <c r="A139" s="1" t="s">
        <v>59</v>
      </c>
      <c r="B139" s="1" t="s">
        <v>38</v>
      </c>
      <c r="C139" s="1" t="s">
        <v>13</v>
      </c>
      <c r="D139" s="1" t="s">
        <v>53</v>
      </c>
      <c r="E139" s="1">
        <v>9</v>
      </c>
      <c r="F139" s="1">
        <v>50</v>
      </c>
      <c r="G139" s="1">
        <v>7</v>
      </c>
      <c r="H139" s="2">
        <v>46085</v>
      </c>
      <c r="I139" s="2">
        <v>46095</v>
      </c>
      <c r="J139" s="1" t="s">
        <v>51</v>
      </c>
      <c r="K139" s="1">
        <v>1280</v>
      </c>
    </row>
    <row r="140" spans="1:11" x14ac:dyDescent="0.3">
      <c r="A140" s="1" t="s">
        <v>26</v>
      </c>
      <c r="B140" s="1" t="s">
        <v>38</v>
      </c>
      <c r="C140" s="1" t="s">
        <v>34</v>
      </c>
      <c r="D140" s="1" t="s">
        <v>39</v>
      </c>
      <c r="E140" s="1">
        <v>3</v>
      </c>
      <c r="F140" s="1">
        <v>64615</v>
      </c>
      <c r="G140" s="1">
        <v>10</v>
      </c>
      <c r="H140" s="2">
        <v>46086</v>
      </c>
      <c r="I140" s="2">
        <v>46095</v>
      </c>
      <c r="J140" s="1" t="s">
        <v>29</v>
      </c>
      <c r="K140" s="1">
        <v>1012</v>
      </c>
    </row>
    <row r="141" spans="1:11" x14ac:dyDescent="0.3">
      <c r="A141" s="1" t="s">
        <v>16</v>
      </c>
      <c r="B141" s="1" t="s">
        <v>25</v>
      </c>
      <c r="C141" s="1" t="s">
        <v>18</v>
      </c>
      <c r="D141" s="1" t="s">
        <v>56</v>
      </c>
      <c r="E141" s="1">
        <v>10</v>
      </c>
      <c r="F141" s="1">
        <v>5624</v>
      </c>
      <c r="G141" s="1">
        <v>0</v>
      </c>
      <c r="H141" s="2">
        <v>46086</v>
      </c>
      <c r="I141" s="2">
        <v>46092</v>
      </c>
      <c r="J141" s="1" t="s">
        <v>29</v>
      </c>
      <c r="K141" s="1">
        <v>1336</v>
      </c>
    </row>
    <row r="142" spans="1:11" x14ac:dyDescent="0.3">
      <c r="A142" s="1" t="s">
        <v>59</v>
      </c>
      <c r="B142" s="1" t="s">
        <v>17</v>
      </c>
      <c r="C142" s="1" t="s">
        <v>13</v>
      </c>
      <c r="D142" s="1" t="s">
        <v>36</v>
      </c>
      <c r="E142" s="1">
        <v>14</v>
      </c>
      <c r="F142" s="1">
        <v>276</v>
      </c>
      <c r="G142" s="1">
        <v>0</v>
      </c>
      <c r="H142" s="2">
        <v>46086</v>
      </c>
      <c r="I142" s="2">
        <v>46089</v>
      </c>
      <c r="J142" s="1" t="s">
        <v>15</v>
      </c>
      <c r="K142" s="1">
        <v>1277</v>
      </c>
    </row>
    <row r="143" spans="1:11" x14ac:dyDescent="0.3">
      <c r="A143" s="1" t="s">
        <v>49</v>
      </c>
      <c r="B143" s="1" t="s">
        <v>31</v>
      </c>
      <c r="C143" s="1" t="s">
        <v>34</v>
      </c>
      <c r="D143" s="1" t="s">
        <v>45</v>
      </c>
      <c r="E143" s="1">
        <v>19</v>
      </c>
      <c r="F143" s="1">
        <v>66139</v>
      </c>
      <c r="G143" s="1">
        <v>5</v>
      </c>
      <c r="H143" s="2">
        <v>46088</v>
      </c>
      <c r="I143" s="2">
        <v>46095</v>
      </c>
      <c r="J143" s="1" t="s">
        <v>24</v>
      </c>
      <c r="K143" s="1">
        <v>1090</v>
      </c>
    </row>
    <row r="144" spans="1:11" x14ac:dyDescent="0.3">
      <c r="A144" s="1" t="s">
        <v>26</v>
      </c>
      <c r="B144" s="1" t="s">
        <v>17</v>
      </c>
      <c r="C144" s="1" t="s">
        <v>34</v>
      </c>
      <c r="D144" s="1" t="s">
        <v>41</v>
      </c>
      <c r="E144" s="1">
        <v>10</v>
      </c>
      <c r="F144" s="1">
        <v>20339</v>
      </c>
      <c r="G144" s="1">
        <v>2</v>
      </c>
      <c r="H144" s="2">
        <v>46088</v>
      </c>
      <c r="I144" s="2">
        <v>46094</v>
      </c>
      <c r="J144" s="1" t="s">
        <v>20</v>
      </c>
      <c r="K144" s="1">
        <v>1175</v>
      </c>
    </row>
    <row r="145" spans="1:11" x14ac:dyDescent="0.3">
      <c r="A145" s="1" t="s">
        <v>52</v>
      </c>
      <c r="B145" s="1" t="s">
        <v>22</v>
      </c>
      <c r="C145" s="1" t="s">
        <v>34</v>
      </c>
      <c r="D145" s="1" t="s">
        <v>61</v>
      </c>
      <c r="E145" s="1">
        <v>10</v>
      </c>
      <c r="F145" s="1">
        <v>28980</v>
      </c>
      <c r="G145" s="1">
        <v>10</v>
      </c>
      <c r="H145" s="2">
        <v>46089</v>
      </c>
      <c r="I145" s="2">
        <v>46094</v>
      </c>
      <c r="J145" s="1" t="s">
        <v>24</v>
      </c>
      <c r="K145" s="1">
        <v>1097</v>
      </c>
    </row>
    <row r="146" spans="1:11" x14ac:dyDescent="0.3">
      <c r="A146" s="1" t="s">
        <v>55</v>
      </c>
      <c r="B146" s="1" t="s">
        <v>33</v>
      </c>
      <c r="C146" s="1" t="s">
        <v>18</v>
      </c>
      <c r="D146" s="1" t="s">
        <v>28</v>
      </c>
      <c r="E146" s="1">
        <v>5</v>
      </c>
      <c r="F146" s="1">
        <v>7484</v>
      </c>
      <c r="G146" s="1">
        <v>2</v>
      </c>
      <c r="H146" s="2">
        <v>46089</v>
      </c>
      <c r="I146" s="2">
        <v>46093</v>
      </c>
      <c r="J146" s="1" t="s">
        <v>20</v>
      </c>
      <c r="K146" s="1">
        <v>1381</v>
      </c>
    </row>
    <row r="147" spans="1:11" x14ac:dyDescent="0.3">
      <c r="A147" s="1" t="s">
        <v>47</v>
      </c>
      <c r="B147" s="1" t="s">
        <v>25</v>
      </c>
      <c r="C147" s="1" t="s">
        <v>13</v>
      </c>
      <c r="D147" s="1" t="s">
        <v>14</v>
      </c>
      <c r="E147" s="1">
        <v>20</v>
      </c>
      <c r="F147" s="1">
        <v>301</v>
      </c>
      <c r="G147" s="1">
        <v>0</v>
      </c>
      <c r="H147" s="2">
        <v>46089</v>
      </c>
      <c r="I147" s="2">
        <v>46094</v>
      </c>
      <c r="J147" s="1" t="s">
        <v>29</v>
      </c>
      <c r="K147" s="1">
        <v>1018</v>
      </c>
    </row>
    <row r="148" spans="1:11" x14ac:dyDescent="0.3">
      <c r="A148" s="1" t="s">
        <v>54</v>
      </c>
      <c r="B148" s="1" t="s">
        <v>31</v>
      </c>
      <c r="C148" s="1" t="s">
        <v>13</v>
      </c>
      <c r="D148" s="1" t="s">
        <v>53</v>
      </c>
      <c r="E148" s="1">
        <v>2</v>
      </c>
      <c r="F148" s="1">
        <v>184</v>
      </c>
      <c r="G148" s="1">
        <v>5</v>
      </c>
      <c r="H148" s="2">
        <v>46089</v>
      </c>
      <c r="I148" s="2">
        <v>46093</v>
      </c>
      <c r="J148" s="1" t="s">
        <v>20</v>
      </c>
      <c r="K148" s="1">
        <v>1031</v>
      </c>
    </row>
    <row r="149" spans="1:11" x14ac:dyDescent="0.3">
      <c r="A149" s="1" t="s">
        <v>48</v>
      </c>
      <c r="B149" s="1" t="s">
        <v>31</v>
      </c>
      <c r="C149" s="1" t="s">
        <v>13</v>
      </c>
      <c r="D149" s="1" t="s">
        <v>14</v>
      </c>
      <c r="E149" s="1">
        <v>15</v>
      </c>
      <c r="F149" s="1">
        <v>87</v>
      </c>
      <c r="G149" s="1">
        <v>15</v>
      </c>
      <c r="H149" s="2">
        <v>46089</v>
      </c>
      <c r="I149" s="2">
        <v>46093</v>
      </c>
      <c r="J149" s="1" t="s">
        <v>20</v>
      </c>
      <c r="K149" s="1">
        <v>1399</v>
      </c>
    </row>
    <row r="150" spans="1:11" x14ac:dyDescent="0.3">
      <c r="A150" s="1" t="s">
        <v>21</v>
      </c>
      <c r="B150" s="1" t="s">
        <v>33</v>
      </c>
      <c r="C150" s="1" t="s">
        <v>13</v>
      </c>
      <c r="D150" s="1" t="s">
        <v>53</v>
      </c>
      <c r="E150" s="1">
        <v>18</v>
      </c>
      <c r="F150" s="1">
        <v>49</v>
      </c>
      <c r="G150" s="1">
        <v>12</v>
      </c>
      <c r="H150" s="2">
        <v>46089</v>
      </c>
      <c r="I150" s="2">
        <v>46095</v>
      </c>
      <c r="J150" s="1" t="s">
        <v>24</v>
      </c>
      <c r="K150" s="1">
        <v>1192</v>
      </c>
    </row>
    <row r="151" spans="1:11" x14ac:dyDescent="0.3">
      <c r="A151" s="1" t="s">
        <v>40</v>
      </c>
      <c r="B151" s="1" t="s">
        <v>22</v>
      </c>
      <c r="C151" s="1" t="s">
        <v>34</v>
      </c>
      <c r="D151" s="1" t="s">
        <v>35</v>
      </c>
      <c r="E151" s="1">
        <v>13</v>
      </c>
      <c r="F151" s="1">
        <v>52411</v>
      </c>
      <c r="G151" s="1">
        <v>15</v>
      </c>
      <c r="H151" s="2">
        <v>46090</v>
      </c>
      <c r="I151" s="2">
        <v>46092</v>
      </c>
      <c r="J151" s="1" t="s">
        <v>20</v>
      </c>
      <c r="K151" s="1">
        <v>1400</v>
      </c>
    </row>
    <row r="152" spans="1:11" x14ac:dyDescent="0.3">
      <c r="A152" s="1" t="s">
        <v>21</v>
      </c>
      <c r="B152" s="1" t="s">
        <v>43</v>
      </c>
      <c r="C152" s="1" t="s">
        <v>18</v>
      </c>
      <c r="D152" s="1" t="s">
        <v>44</v>
      </c>
      <c r="E152" s="1">
        <v>7</v>
      </c>
      <c r="F152" s="1">
        <v>1959</v>
      </c>
      <c r="G152" s="1">
        <v>15</v>
      </c>
      <c r="H152" s="2">
        <v>46090</v>
      </c>
      <c r="I152" s="2">
        <v>46100</v>
      </c>
      <c r="J152" s="1" t="s">
        <v>15</v>
      </c>
      <c r="K152" s="1">
        <v>1112</v>
      </c>
    </row>
    <row r="153" spans="1:11" x14ac:dyDescent="0.3">
      <c r="A153" s="1" t="s">
        <v>49</v>
      </c>
      <c r="B153" s="1" t="s">
        <v>38</v>
      </c>
      <c r="C153" s="1" t="s">
        <v>34</v>
      </c>
      <c r="D153" s="1" t="s">
        <v>35</v>
      </c>
      <c r="E153" s="1">
        <v>20</v>
      </c>
      <c r="F153" s="1">
        <v>46093</v>
      </c>
      <c r="G153" s="1">
        <v>5</v>
      </c>
      <c r="H153" s="2">
        <v>46091</v>
      </c>
      <c r="I153" s="2">
        <v>46098</v>
      </c>
      <c r="J153" s="1" t="s">
        <v>29</v>
      </c>
      <c r="K153" s="1">
        <v>1043</v>
      </c>
    </row>
    <row r="154" spans="1:11" x14ac:dyDescent="0.3">
      <c r="A154" s="1" t="s">
        <v>32</v>
      </c>
      <c r="B154" s="1" t="s">
        <v>17</v>
      </c>
      <c r="C154" s="1" t="s">
        <v>18</v>
      </c>
      <c r="D154" s="1" t="s">
        <v>19</v>
      </c>
      <c r="E154" s="1">
        <v>1</v>
      </c>
      <c r="F154" s="1">
        <v>2240</v>
      </c>
      <c r="G154" s="1">
        <v>5</v>
      </c>
      <c r="H154" s="2">
        <v>46091</v>
      </c>
      <c r="I154" s="2">
        <v>46095</v>
      </c>
      <c r="J154" s="1" t="s">
        <v>20</v>
      </c>
      <c r="K154" s="1">
        <v>1255</v>
      </c>
    </row>
    <row r="155" spans="1:11" x14ac:dyDescent="0.3">
      <c r="A155" s="1" t="s">
        <v>27</v>
      </c>
      <c r="B155" s="1" t="s">
        <v>43</v>
      </c>
      <c r="C155" s="1" t="s">
        <v>18</v>
      </c>
      <c r="D155" s="1" t="s">
        <v>23</v>
      </c>
      <c r="E155" s="1">
        <v>20</v>
      </c>
      <c r="F155" s="1">
        <v>2141</v>
      </c>
      <c r="G155" s="1">
        <v>2</v>
      </c>
      <c r="H155" s="2">
        <v>46091</v>
      </c>
      <c r="I155" s="2">
        <v>46097</v>
      </c>
      <c r="J155" s="1" t="s">
        <v>29</v>
      </c>
      <c r="K155" s="1">
        <v>1106</v>
      </c>
    </row>
    <row r="156" spans="1:11" x14ac:dyDescent="0.3">
      <c r="A156" s="1" t="s">
        <v>16</v>
      </c>
      <c r="B156" s="1" t="s">
        <v>31</v>
      </c>
      <c r="C156" s="1" t="s">
        <v>13</v>
      </c>
      <c r="D156" s="1" t="s">
        <v>50</v>
      </c>
      <c r="E156" s="1">
        <v>20</v>
      </c>
      <c r="F156" s="1">
        <v>451</v>
      </c>
      <c r="G156" s="1">
        <v>15</v>
      </c>
      <c r="H156" s="2">
        <v>46092</v>
      </c>
      <c r="I156" s="2">
        <v>46094</v>
      </c>
      <c r="J156" s="1" t="s">
        <v>20</v>
      </c>
      <c r="K156" s="1">
        <v>1275</v>
      </c>
    </row>
    <row r="157" spans="1:11" x14ac:dyDescent="0.3">
      <c r="A157" s="1" t="s">
        <v>32</v>
      </c>
      <c r="B157" s="1" t="s">
        <v>31</v>
      </c>
      <c r="C157" s="1" t="s">
        <v>13</v>
      </c>
      <c r="D157" s="1" t="s">
        <v>37</v>
      </c>
      <c r="E157" s="1">
        <v>1</v>
      </c>
      <c r="F157" s="1">
        <v>396</v>
      </c>
      <c r="G157" s="1">
        <v>5</v>
      </c>
      <c r="H157" s="2">
        <v>46092</v>
      </c>
      <c r="I157" s="2">
        <v>46093</v>
      </c>
      <c r="J157" s="1" t="s">
        <v>20</v>
      </c>
      <c r="K157" s="1">
        <v>1166</v>
      </c>
    </row>
    <row r="158" spans="1:11" x14ac:dyDescent="0.3">
      <c r="A158" s="1" t="s">
        <v>55</v>
      </c>
      <c r="B158" s="1" t="s">
        <v>33</v>
      </c>
      <c r="C158" s="1" t="s">
        <v>34</v>
      </c>
      <c r="D158" s="1" t="s">
        <v>61</v>
      </c>
      <c r="E158" s="1">
        <v>17</v>
      </c>
      <c r="F158" s="1">
        <v>28839</v>
      </c>
      <c r="G158" s="1">
        <v>10</v>
      </c>
      <c r="H158" s="2">
        <v>46093</v>
      </c>
      <c r="I158" s="2">
        <v>46099</v>
      </c>
      <c r="J158" s="1" t="s">
        <v>15</v>
      </c>
      <c r="K158" s="1">
        <v>1139</v>
      </c>
    </row>
    <row r="159" spans="1:11" x14ac:dyDescent="0.3">
      <c r="A159" s="1" t="s">
        <v>11</v>
      </c>
      <c r="B159" s="1" t="s">
        <v>31</v>
      </c>
      <c r="C159" s="1" t="s">
        <v>18</v>
      </c>
      <c r="D159" s="1" t="s">
        <v>28</v>
      </c>
      <c r="E159" s="1">
        <v>13</v>
      </c>
      <c r="F159" s="1">
        <v>4341</v>
      </c>
      <c r="G159" s="1">
        <v>15</v>
      </c>
      <c r="H159" s="2">
        <v>46093</v>
      </c>
      <c r="I159" s="2">
        <v>46096</v>
      </c>
      <c r="J159" s="1" t="s">
        <v>24</v>
      </c>
      <c r="K159" s="1">
        <v>1155</v>
      </c>
    </row>
    <row r="160" spans="1:11" x14ac:dyDescent="0.3">
      <c r="A160" s="1" t="s">
        <v>21</v>
      </c>
      <c r="B160" s="1" t="s">
        <v>17</v>
      </c>
      <c r="C160" s="1" t="s">
        <v>34</v>
      </c>
      <c r="D160" s="1" t="s">
        <v>61</v>
      </c>
      <c r="E160" s="1">
        <v>17</v>
      </c>
      <c r="F160" s="1">
        <v>58407</v>
      </c>
      <c r="G160" s="1">
        <v>7</v>
      </c>
      <c r="H160" s="2">
        <v>46094</v>
      </c>
      <c r="I160" s="2">
        <v>46102</v>
      </c>
      <c r="J160" s="1" t="s">
        <v>15</v>
      </c>
      <c r="K160" s="1">
        <v>1319</v>
      </c>
    </row>
    <row r="161" spans="1:11" x14ac:dyDescent="0.3">
      <c r="A161" s="1" t="s">
        <v>55</v>
      </c>
      <c r="B161" s="1" t="s">
        <v>31</v>
      </c>
      <c r="C161" s="1" t="s">
        <v>18</v>
      </c>
      <c r="D161" s="1" t="s">
        <v>28</v>
      </c>
      <c r="E161" s="1">
        <v>12</v>
      </c>
      <c r="F161" s="1">
        <v>11662</v>
      </c>
      <c r="G161" s="1">
        <v>12</v>
      </c>
      <c r="H161" s="2">
        <v>46094</v>
      </c>
      <c r="I161" s="2">
        <v>46096</v>
      </c>
      <c r="J161" s="1" t="s">
        <v>20</v>
      </c>
      <c r="K161" s="1">
        <v>1388</v>
      </c>
    </row>
    <row r="162" spans="1:11" x14ac:dyDescent="0.3">
      <c r="A162" s="1" t="s">
        <v>16</v>
      </c>
      <c r="B162" s="1" t="s">
        <v>12</v>
      </c>
      <c r="C162" s="1" t="s">
        <v>18</v>
      </c>
      <c r="D162" s="1" t="s">
        <v>28</v>
      </c>
      <c r="E162" s="1">
        <v>1</v>
      </c>
      <c r="F162" s="1">
        <v>10474</v>
      </c>
      <c r="G162" s="1">
        <v>0</v>
      </c>
      <c r="H162" s="2">
        <v>46094</v>
      </c>
      <c r="I162" s="2">
        <v>46096</v>
      </c>
      <c r="J162" s="1" t="s">
        <v>29</v>
      </c>
      <c r="K162" s="1">
        <v>1362</v>
      </c>
    </row>
    <row r="163" spans="1:11" x14ac:dyDescent="0.3">
      <c r="A163" s="1" t="s">
        <v>32</v>
      </c>
      <c r="B163" s="1" t="s">
        <v>12</v>
      </c>
      <c r="C163" s="1" t="s">
        <v>34</v>
      </c>
      <c r="D163" s="1" t="s">
        <v>45</v>
      </c>
      <c r="E163" s="1">
        <v>12</v>
      </c>
      <c r="F163" s="1">
        <v>50544</v>
      </c>
      <c r="G163" s="1">
        <v>10</v>
      </c>
      <c r="H163" s="2">
        <v>46095</v>
      </c>
      <c r="I163" s="2">
        <v>46097</v>
      </c>
      <c r="J163" s="1" t="s">
        <v>29</v>
      </c>
      <c r="K163" s="1">
        <v>1345</v>
      </c>
    </row>
    <row r="164" spans="1:11" x14ac:dyDescent="0.3">
      <c r="A164" s="1" t="s">
        <v>16</v>
      </c>
      <c r="B164" s="1" t="s">
        <v>31</v>
      </c>
      <c r="C164" s="1" t="s">
        <v>13</v>
      </c>
      <c r="D164" s="1" t="s">
        <v>36</v>
      </c>
      <c r="E164" s="1">
        <v>17</v>
      </c>
      <c r="F164" s="1">
        <v>459</v>
      </c>
      <c r="G164" s="1">
        <v>12</v>
      </c>
      <c r="H164" s="2">
        <v>46095</v>
      </c>
      <c r="I164" s="2">
        <v>46105</v>
      </c>
      <c r="J164" s="1" t="s">
        <v>29</v>
      </c>
      <c r="K164" s="1">
        <v>1013</v>
      </c>
    </row>
    <row r="165" spans="1:11" x14ac:dyDescent="0.3">
      <c r="A165" s="1" t="s">
        <v>54</v>
      </c>
      <c r="B165" s="1" t="s">
        <v>12</v>
      </c>
      <c r="C165" s="1" t="s">
        <v>34</v>
      </c>
      <c r="D165" s="1" t="s">
        <v>61</v>
      </c>
      <c r="E165" s="1">
        <v>9</v>
      </c>
      <c r="F165" s="1">
        <v>38179</v>
      </c>
      <c r="G165" s="1">
        <v>0</v>
      </c>
      <c r="H165" s="2">
        <v>46096</v>
      </c>
      <c r="I165" s="2">
        <v>46099</v>
      </c>
      <c r="J165" s="1" t="s">
        <v>15</v>
      </c>
      <c r="K165" s="1">
        <v>1359</v>
      </c>
    </row>
    <row r="166" spans="1:11" x14ac:dyDescent="0.3">
      <c r="A166" s="1" t="s">
        <v>29</v>
      </c>
      <c r="B166" s="1" t="s">
        <v>33</v>
      </c>
      <c r="C166" s="1" t="s">
        <v>13</v>
      </c>
      <c r="D166" s="1" t="s">
        <v>14</v>
      </c>
      <c r="E166" s="1">
        <v>17</v>
      </c>
      <c r="F166" s="1">
        <v>365</v>
      </c>
      <c r="G166" s="1">
        <v>2</v>
      </c>
      <c r="H166" s="2">
        <v>46096</v>
      </c>
      <c r="I166" s="2">
        <v>46104</v>
      </c>
      <c r="J166" s="1" t="s">
        <v>51</v>
      </c>
      <c r="K166" s="1">
        <v>1266</v>
      </c>
    </row>
    <row r="167" spans="1:11" x14ac:dyDescent="0.3">
      <c r="A167" s="1" t="s">
        <v>30</v>
      </c>
      <c r="B167" s="1" t="s">
        <v>31</v>
      </c>
      <c r="C167" s="1" t="s">
        <v>13</v>
      </c>
      <c r="D167" s="1" t="s">
        <v>14</v>
      </c>
      <c r="E167" s="1">
        <v>6</v>
      </c>
      <c r="F167" s="1">
        <v>180</v>
      </c>
      <c r="G167" s="1">
        <v>12</v>
      </c>
      <c r="H167" s="2">
        <v>46096</v>
      </c>
      <c r="I167" s="2">
        <v>46097</v>
      </c>
      <c r="J167" s="1" t="s">
        <v>51</v>
      </c>
      <c r="K167" s="1">
        <v>1238</v>
      </c>
    </row>
    <row r="168" spans="1:11" x14ac:dyDescent="0.3">
      <c r="A168" s="1" t="s">
        <v>40</v>
      </c>
      <c r="B168" s="1" t="s">
        <v>12</v>
      </c>
      <c r="C168" s="1" t="s">
        <v>18</v>
      </c>
      <c r="D168" s="1" t="s">
        <v>19</v>
      </c>
      <c r="E168" s="1">
        <v>1</v>
      </c>
      <c r="F168" s="1">
        <v>13437</v>
      </c>
      <c r="G168" s="1">
        <v>15</v>
      </c>
      <c r="H168" s="2">
        <v>46097</v>
      </c>
      <c r="I168" s="2">
        <v>46099</v>
      </c>
      <c r="J168" s="1" t="s">
        <v>24</v>
      </c>
      <c r="K168" s="1">
        <v>1276</v>
      </c>
    </row>
    <row r="169" spans="1:11" x14ac:dyDescent="0.3">
      <c r="A169" s="1" t="s">
        <v>52</v>
      </c>
      <c r="B169" s="1" t="s">
        <v>12</v>
      </c>
      <c r="C169" s="1" t="s">
        <v>13</v>
      </c>
      <c r="D169" s="1" t="s">
        <v>53</v>
      </c>
      <c r="E169" s="1">
        <v>13</v>
      </c>
      <c r="F169" s="1">
        <v>336</v>
      </c>
      <c r="G169" s="1">
        <v>10</v>
      </c>
      <c r="H169" s="2">
        <v>46098</v>
      </c>
      <c r="I169" s="2">
        <v>46108</v>
      </c>
      <c r="J169" s="1" t="s">
        <v>15</v>
      </c>
      <c r="K169" s="1">
        <v>1030</v>
      </c>
    </row>
    <row r="170" spans="1:11" x14ac:dyDescent="0.3">
      <c r="A170" s="1" t="s">
        <v>30</v>
      </c>
      <c r="B170" s="1" t="s">
        <v>31</v>
      </c>
      <c r="C170" s="1" t="s">
        <v>34</v>
      </c>
      <c r="D170" s="1" t="s">
        <v>35</v>
      </c>
      <c r="E170" s="1">
        <v>5</v>
      </c>
      <c r="F170" s="1">
        <v>65270</v>
      </c>
      <c r="G170" s="1">
        <v>5</v>
      </c>
      <c r="H170" s="2">
        <v>46100</v>
      </c>
      <c r="I170" s="2">
        <v>46103</v>
      </c>
      <c r="J170" s="1" t="s">
        <v>24</v>
      </c>
      <c r="K170" s="1">
        <v>1391</v>
      </c>
    </row>
    <row r="171" spans="1:11" x14ac:dyDescent="0.3">
      <c r="A171" s="1" t="s">
        <v>57</v>
      </c>
      <c r="B171" s="1" t="s">
        <v>31</v>
      </c>
      <c r="C171" s="1" t="s">
        <v>34</v>
      </c>
      <c r="D171" s="1" t="s">
        <v>45</v>
      </c>
      <c r="E171" s="1">
        <v>2</v>
      </c>
      <c r="F171" s="1">
        <v>28176</v>
      </c>
      <c r="G171" s="1">
        <v>10</v>
      </c>
      <c r="H171" s="2">
        <v>46100</v>
      </c>
      <c r="I171" s="2">
        <v>46101</v>
      </c>
      <c r="J171" s="1" t="s">
        <v>20</v>
      </c>
      <c r="K171" s="1">
        <v>1162</v>
      </c>
    </row>
    <row r="172" spans="1:11" x14ac:dyDescent="0.3">
      <c r="A172" s="1" t="s">
        <v>40</v>
      </c>
      <c r="B172" s="1" t="s">
        <v>12</v>
      </c>
      <c r="C172" s="1" t="s">
        <v>18</v>
      </c>
      <c r="D172" s="1" t="s">
        <v>23</v>
      </c>
      <c r="E172" s="1">
        <v>6</v>
      </c>
      <c r="F172" s="1">
        <v>1167</v>
      </c>
      <c r="G172" s="1">
        <v>2</v>
      </c>
      <c r="H172" s="2">
        <v>46100</v>
      </c>
      <c r="I172" s="2">
        <v>46106</v>
      </c>
      <c r="J172" s="1" t="s">
        <v>15</v>
      </c>
      <c r="K172" s="1">
        <v>1283</v>
      </c>
    </row>
    <row r="173" spans="1:11" x14ac:dyDescent="0.3">
      <c r="A173" s="1" t="s">
        <v>47</v>
      </c>
      <c r="B173" s="1" t="s">
        <v>43</v>
      </c>
      <c r="C173" s="1" t="s">
        <v>34</v>
      </c>
      <c r="D173" s="1" t="s">
        <v>61</v>
      </c>
      <c r="E173" s="1">
        <v>4</v>
      </c>
      <c r="F173" s="1">
        <v>7073</v>
      </c>
      <c r="G173" s="1">
        <v>0</v>
      </c>
      <c r="H173" s="2">
        <v>46101</v>
      </c>
      <c r="I173" s="2">
        <v>46105</v>
      </c>
      <c r="J173" s="1" t="s">
        <v>29</v>
      </c>
      <c r="K173" s="1">
        <v>1094</v>
      </c>
    </row>
    <row r="174" spans="1:11" x14ac:dyDescent="0.3">
      <c r="A174" s="1" t="s">
        <v>54</v>
      </c>
      <c r="B174" s="1" t="s">
        <v>33</v>
      </c>
      <c r="C174" s="1" t="s">
        <v>34</v>
      </c>
      <c r="D174" s="1" t="s">
        <v>35</v>
      </c>
      <c r="E174" s="1">
        <v>11</v>
      </c>
      <c r="F174" s="1">
        <v>56515</v>
      </c>
      <c r="G174" s="1">
        <v>5</v>
      </c>
      <c r="H174" s="2">
        <v>46102</v>
      </c>
      <c r="I174" s="2">
        <v>46112</v>
      </c>
      <c r="J174" s="1" t="s">
        <v>24</v>
      </c>
      <c r="K174" s="1">
        <v>1387</v>
      </c>
    </row>
    <row r="175" spans="1:11" x14ac:dyDescent="0.3">
      <c r="A175" s="1" t="s">
        <v>52</v>
      </c>
      <c r="B175" s="1" t="s">
        <v>25</v>
      </c>
      <c r="C175" s="1" t="s">
        <v>34</v>
      </c>
      <c r="D175" s="1" t="s">
        <v>45</v>
      </c>
      <c r="E175" s="1">
        <v>2</v>
      </c>
      <c r="F175" s="1">
        <v>40789</v>
      </c>
      <c r="G175" s="1">
        <v>0</v>
      </c>
      <c r="H175" s="2">
        <v>46102</v>
      </c>
      <c r="I175" s="2">
        <v>46108</v>
      </c>
      <c r="J175" s="1" t="s">
        <v>24</v>
      </c>
      <c r="K175" s="1">
        <v>1049</v>
      </c>
    </row>
    <row r="176" spans="1:11" x14ac:dyDescent="0.3">
      <c r="A176" s="1" t="s">
        <v>42</v>
      </c>
      <c r="B176" s="1" t="s">
        <v>33</v>
      </c>
      <c r="C176" s="1" t="s">
        <v>34</v>
      </c>
      <c r="D176" s="1" t="s">
        <v>39</v>
      </c>
      <c r="E176" s="1">
        <v>2</v>
      </c>
      <c r="F176" s="1">
        <v>34429</v>
      </c>
      <c r="G176" s="1">
        <v>12</v>
      </c>
      <c r="H176" s="2">
        <v>46102</v>
      </c>
      <c r="I176" s="2">
        <v>46112</v>
      </c>
      <c r="J176" s="1" t="s">
        <v>24</v>
      </c>
      <c r="K176" s="1">
        <v>1145</v>
      </c>
    </row>
    <row r="177" spans="1:11" x14ac:dyDescent="0.3">
      <c r="A177" s="1" t="s">
        <v>29</v>
      </c>
      <c r="B177" s="1" t="s">
        <v>12</v>
      </c>
      <c r="C177" s="1" t="s">
        <v>34</v>
      </c>
      <c r="D177" s="1" t="s">
        <v>39</v>
      </c>
      <c r="E177" s="1">
        <v>4</v>
      </c>
      <c r="F177" s="1">
        <v>55809</v>
      </c>
      <c r="G177" s="1">
        <v>2</v>
      </c>
      <c r="H177" s="2">
        <v>46103</v>
      </c>
      <c r="I177" s="2">
        <v>46108</v>
      </c>
      <c r="J177" s="1" t="s">
        <v>29</v>
      </c>
      <c r="K177" s="1">
        <v>1121</v>
      </c>
    </row>
    <row r="178" spans="1:11" x14ac:dyDescent="0.3">
      <c r="A178" s="1" t="s">
        <v>48</v>
      </c>
      <c r="B178" s="1" t="s">
        <v>38</v>
      </c>
      <c r="C178" s="1" t="s">
        <v>34</v>
      </c>
      <c r="D178" s="1" t="s">
        <v>35</v>
      </c>
      <c r="E178" s="1">
        <v>19</v>
      </c>
      <c r="F178" s="1">
        <v>20284</v>
      </c>
      <c r="G178" s="1">
        <v>10</v>
      </c>
      <c r="H178" s="2">
        <v>46103</v>
      </c>
      <c r="I178" s="2">
        <v>46110</v>
      </c>
      <c r="J178" s="1" t="s">
        <v>20</v>
      </c>
      <c r="K178" s="1">
        <v>1209</v>
      </c>
    </row>
    <row r="179" spans="1:11" x14ac:dyDescent="0.3">
      <c r="A179" s="1" t="s">
        <v>27</v>
      </c>
      <c r="B179" s="1" t="s">
        <v>25</v>
      </c>
      <c r="C179" s="1" t="s">
        <v>34</v>
      </c>
      <c r="D179" s="1" t="s">
        <v>39</v>
      </c>
      <c r="E179" s="1">
        <v>4</v>
      </c>
      <c r="F179" s="1">
        <v>54659</v>
      </c>
      <c r="G179" s="1">
        <v>7</v>
      </c>
      <c r="H179" s="2">
        <v>46105</v>
      </c>
      <c r="I179" s="2">
        <v>46109</v>
      </c>
      <c r="J179" s="1" t="s">
        <v>20</v>
      </c>
      <c r="K179" s="1">
        <v>1161</v>
      </c>
    </row>
    <row r="180" spans="1:11" x14ac:dyDescent="0.3">
      <c r="A180" s="1" t="s">
        <v>32</v>
      </c>
      <c r="B180" s="1" t="s">
        <v>38</v>
      </c>
      <c r="C180" s="1" t="s">
        <v>18</v>
      </c>
      <c r="D180" s="1" t="s">
        <v>19</v>
      </c>
      <c r="E180" s="1">
        <v>3</v>
      </c>
      <c r="F180" s="1">
        <v>5480</v>
      </c>
      <c r="G180" s="1">
        <v>12</v>
      </c>
      <c r="H180" s="2">
        <v>46105</v>
      </c>
      <c r="I180" s="2">
        <v>46111</v>
      </c>
      <c r="J180" s="1" t="s">
        <v>24</v>
      </c>
      <c r="K180" s="1">
        <v>1377</v>
      </c>
    </row>
    <row r="181" spans="1:11" x14ac:dyDescent="0.3">
      <c r="A181" s="1" t="s">
        <v>49</v>
      </c>
      <c r="B181" s="1" t="s">
        <v>38</v>
      </c>
      <c r="C181" s="1" t="s">
        <v>13</v>
      </c>
      <c r="D181" s="1" t="s">
        <v>14</v>
      </c>
      <c r="E181" s="1">
        <v>6</v>
      </c>
      <c r="F181" s="1">
        <v>339</v>
      </c>
      <c r="G181" s="1">
        <v>12</v>
      </c>
      <c r="H181" s="2">
        <v>46105</v>
      </c>
      <c r="I181" s="2">
        <v>46106</v>
      </c>
      <c r="J181" s="1" t="s">
        <v>24</v>
      </c>
      <c r="K181" s="1">
        <v>1170</v>
      </c>
    </row>
    <row r="182" spans="1:11" x14ac:dyDescent="0.3">
      <c r="A182" s="1" t="s">
        <v>54</v>
      </c>
      <c r="B182" s="1" t="s">
        <v>25</v>
      </c>
      <c r="C182" s="1" t="s">
        <v>34</v>
      </c>
      <c r="D182" s="1" t="s">
        <v>45</v>
      </c>
      <c r="E182" s="1">
        <v>12</v>
      </c>
      <c r="F182" s="1">
        <v>63402</v>
      </c>
      <c r="G182" s="1">
        <v>7</v>
      </c>
      <c r="H182" s="2">
        <v>46106</v>
      </c>
      <c r="I182" s="2">
        <v>46113</v>
      </c>
      <c r="J182" s="1" t="s">
        <v>51</v>
      </c>
      <c r="K182" s="1">
        <v>1102</v>
      </c>
    </row>
    <row r="183" spans="1:11" x14ac:dyDescent="0.3">
      <c r="A183" s="1" t="s">
        <v>58</v>
      </c>
      <c r="B183" s="1" t="s">
        <v>12</v>
      </c>
      <c r="C183" s="1" t="s">
        <v>13</v>
      </c>
      <c r="D183" s="1" t="s">
        <v>14</v>
      </c>
      <c r="E183" s="1">
        <v>12</v>
      </c>
      <c r="F183" s="1">
        <v>491</v>
      </c>
      <c r="G183" s="1">
        <v>2</v>
      </c>
      <c r="H183" s="2">
        <v>46106</v>
      </c>
      <c r="I183" s="2">
        <v>46109</v>
      </c>
      <c r="J183" s="1" t="s">
        <v>51</v>
      </c>
      <c r="K183" s="1">
        <v>1198</v>
      </c>
    </row>
    <row r="184" spans="1:11" x14ac:dyDescent="0.3">
      <c r="A184" s="1" t="s">
        <v>47</v>
      </c>
      <c r="B184" s="1" t="s">
        <v>17</v>
      </c>
      <c r="C184" s="1" t="s">
        <v>13</v>
      </c>
      <c r="D184" s="1" t="s">
        <v>14</v>
      </c>
      <c r="E184" s="1">
        <v>11</v>
      </c>
      <c r="F184" s="1">
        <v>136</v>
      </c>
      <c r="G184" s="1">
        <v>15</v>
      </c>
      <c r="H184" s="2">
        <v>46106</v>
      </c>
      <c r="I184" s="2">
        <v>46107</v>
      </c>
      <c r="J184" s="1" t="s">
        <v>20</v>
      </c>
      <c r="K184" s="1">
        <v>1379</v>
      </c>
    </row>
    <row r="185" spans="1:11" x14ac:dyDescent="0.3">
      <c r="A185" s="1" t="s">
        <v>48</v>
      </c>
      <c r="B185" s="1" t="s">
        <v>38</v>
      </c>
      <c r="C185" s="1" t="s">
        <v>34</v>
      </c>
      <c r="D185" s="1" t="s">
        <v>45</v>
      </c>
      <c r="E185" s="1">
        <v>5</v>
      </c>
      <c r="F185" s="1">
        <v>60236</v>
      </c>
      <c r="G185" s="1">
        <v>10</v>
      </c>
      <c r="H185" s="2">
        <v>46107</v>
      </c>
      <c r="I185" s="2">
        <v>46110</v>
      </c>
      <c r="J185" s="1" t="s">
        <v>20</v>
      </c>
      <c r="K185" s="1">
        <v>1039</v>
      </c>
    </row>
    <row r="186" spans="1:11" x14ac:dyDescent="0.3">
      <c r="A186" s="1" t="s">
        <v>32</v>
      </c>
      <c r="B186" s="1" t="s">
        <v>22</v>
      </c>
      <c r="C186" s="1" t="s">
        <v>18</v>
      </c>
      <c r="D186" s="1" t="s">
        <v>19</v>
      </c>
      <c r="E186" s="1">
        <v>8</v>
      </c>
      <c r="F186" s="1">
        <v>5619</v>
      </c>
      <c r="G186" s="1">
        <v>7</v>
      </c>
      <c r="H186" s="2">
        <v>46107</v>
      </c>
      <c r="I186" s="2">
        <v>46109</v>
      </c>
      <c r="J186" s="1" t="s">
        <v>51</v>
      </c>
      <c r="K186" s="1">
        <v>1321</v>
      </c>
    </row>
    <row r="187" spans="1:11" x14ac:dyDescent="0.3">
      <c r="A187" s="1" t="s">
        <v>32</v>
      </c>
      <c r="B187" s="1" t="s">
        <v>31</v>
      </c>
      <c r="C187" s="1" t="s">
        <v>34</v>
      </c>
      <c r="D187" s="1" t="s">
        <v>45</v>
      </c>
      <c r="E187" s="1">
        <v>16</v>
      </c>
      <c r="F187" s="1">
        <v>1332</v>
      </c>
      <c r="G187" s="1">
        <v>7</v>
      </c>
      <c r="H187" s="2">
        <v>46107</v>
      </c>
      <c r="I187" s="2">
        <v>46109</v>
      </c>
      <c r="J187" s="1" t="s">
        <v>29</v>
      </c>
      <c r="K187" s="1">
        <v>1123</v>
      </c>
    </row>
    <row r="188" spans="1:11" x14ac:dyDescent="0.3">
      <c r="A188" s="1" t="s">
        <v>42</v>
      </c>
      <c r="B188" s="1" t="s">
        <v>12</v>
      </c>
      <c r="C188" s="1" t="s">
        <v>34</v>
      </c>
      <c r="D188" s="1" t="s">
        <v>39</v>
      </c>
      <c r="E188" s="1">
        <v>8</v>
      </c>
      <c r="F188" s="1">
        <v>66022</v>
      </c>
      <c r="G188" s="1">
        <v>12</v>
      </c>
      <c r="H188" s="2">
        <v>46108</v>
      </c>
      <c r="I188" s="2">
        <v>46114</v>
      </c>
      <c r="J188" s="1" t="s">
        <v>24</v>
      </c>
      <c r="K188" s="1">
        <v>1182</v>
      </c>
    </row>
    <row r="189" spans="1:11" x14ac:dyDescent="0.3">
      <c r="A189" s="1" t="s">
        <v>52</v>
      </c>
      <c r="B189" s="1" t="s">
        <v>43</v>
      </c>
      <c r="C189" s="1" t="s">
        <v>13</v>
      </c>
      <c r="D189" s="1" t="s">
        <v>14</v>
      </c>
      <c r="E189" s="1">
        <v>2</v>
      </c>
      <c r="F189" s="1">
        <v>309</v>
      </c>
      <c r="G189" s="1">
        <v>2</v>
      </c>
      <c r="H189" s="2">
        <v>46109</v>
      </c>
      <c r="I189" s="2">
        <v>46111</v>
      </c>
      <c r="J189" s="1" t="s">
        <v>20</v>
      </c>
      <c r="K189" s="1">
        <v>1183</v>
      </c>
    </row>
    <row r="190" spans="1:11" x14ac:dyDescent="0.3">
      <c r="A190" s="1" t="s">
        <v>16</v>
      </c>
      <c r="B190" s="1" t="s">
        <v>38</v>
      </c>
      <c r="C190" s="1" t="s">
        <v>13</v>
      </c>
      <c r="D190" s="1" t="s">
        <v>36</v>
      </c>
      <c r="E190" s="1">
        <v>4</v>
      </c>
      <c r="F190" s="1">
        <v>132</v>
      </c>
      <c r="G190" s="1">
        <v>0</v>
      </c>
      <c r="H190" s="2">
        <v>46109</v>
      </c>
      <c r="I190" s="2">
        <v>46114</v>
      </c>
      <c r="J190" s="1" t="s">
        <v>29</v>
      </c>
      <c r="K190" s="1">
        <v>1328</v>
      </c>
    </row>
    <row r="191" spans="1:11" x14ac:dyDescent="0.3">
      <c r="A191" s="1" t="s">
        <v>26</v>
      </c>
      <c r="B191" s="1" t="s">
        <v>22</v>
      </c>
      <c r="C191" s="1" t="s">
        <v>34</v>
      </c>
      <c r="D191" s="1" t="s">
        <v>35</v>
      </c>
      <c r="E191" s="1">
        <v>3</v>
      </c>
      <c r="F191" s="1">
        <v>69793</v>
      </c>
      <c r="G191" s="1">
        <v>15</v>
      </c>
      <c r="H191" s="2">
        <v>46110</v>
      </c>
      <c r="I191" s="2">
        <v>46111</v>
      </c>
      <c r="J191" s="1" t="s">
        <v>29</v>
      </c>
      <c r="K191" s="1">
        <v>1290</v>
      </c>
    </row>
    <row r="192" spans="1:11" x14ac:dyDescent="0.3">
      <c r="A192" s="1" t="s">
        <v>57</v>
      </c>
      <c r="B192" s="1" t="s">
        <v>12</v>
      </c>
      <c r="C192" s="1" t="s">
        <v>18</v>
      </c>
      <c r="D192" s="1" t="s">
        <v>23</v>
      </c>
      <c r="E192" s="1">
        <v>19</v>
      </c>
      <c r="F192" s="1">
        <v>2699</v>
      </c>
      <c r="G192" s="1">
        <v>7</v>
      </c>
      <c r="H192" s="2">
        <v>46110</v>
      </c>
      <c r="I192" s="2">
        <v>46112</v>
      </c>
      <c r="J192" s="1" t="s">
        <v>29</v>
      </c>
      <c r="K192" s="1">
        <v>1193</v>
      </c>
    </row>
    <row r="193" spans="1:11" x14ac:dyDescent="0.3">
      <c r="A193" s="1" t="s">
        <v>47</v>
      </c>
      <c r="B193" s="1" t="s">
        <v>33</v>
      </c>
      <c r="C193" s="1" t="s">
        <v>34</v>
      </c>
      <c r="D193" s="1" t="s">
        <v>45</v>
      </c>
      <c r="E193" s="1">
        <v>20</v>
      </c>
      <c r="F193" s="1">
        <v>1392</v>
      </c>
      <c r="G193" s="1">
        <v>2</v>
      </c>
      <c r="H193" s="2">
        <v>46110</v>
      </c>
      <c r="I193" s="2">
        <v>46117</v>
      </c>
      <c r="J193" s="1" t="s">
        <v>24</v>
      </c>
      <c r="K193" s="1">
        <v>1300</v>
      </c>
    </row>
    <row r="194" spans="1:11" x14ac:dyDescent="0.3">
      <c r="A194" s="1" t="s">
        <v>40</v>
      </c>
      <c r="B194" s="1" t="s">
        <v>31</v>
      </c>
      <c r="C194" s="1" t="s">
        <v>18</v>
      </c>
      <c r="D194" s="1" t="s">
        <v>28</v>
      </c>
      <c r="E194" s="1">
        <v>2</v>
      </c>
      <c r="F194" s="1">
        <v>2076</v>
      </c>
      <c r="G194" s="1">
        <v>2</v>
      </c>
      <c r="H194" s="2">
        <v>46111</v>
      </c>
      <c r="I194" s="2">
        <v>46121</v>
      </c>
      <c r="J194" s="1" t="s">
        <v>29</v>
      </c>
      <c r="K194" s="1">
        <v>1180</v>
      </c>
    </row>
    <row r="195" spans="1:11" x14ac:dyDescent="0.3">
      <c r="A195" s="1" t="s">
        <v>57</v>
      </c>
      <c r="B195" s="1" t="s">
        <v>17</v>
      </c>
      <c r="C195" s="1" t="s">
        <v>13</v>
      </c>
      <c r="D195" s="1" t="s">
        <v>50</v>
      </c>
      <c r="E195" s="1">
        <v>5</v>
      </c>
      <c r="F195" s="1">
        <v>50</v>
      </c>
      <c r="G195" s="1">
        <v>0</v>
      </c>
      <c r="H195" s="2">
        <v>46111</v>
      </c>
      <c r="I195" s="2">
        <v>46117</v>
      </c>
      <c r="J195" s="1" t="s">
        <v>20</v>
      </c>
      <c r="K195" s="1">
        <v>1178</v>
      </c>
    </row>
    <row r="196" spans="1:11" x14ac:dyDescent="0.3">
      <c r="A196" s="1" t="s">
        <v>55</v>
      </c>
      <c r="B196" s="1" t="s">
        <v>38</v>
      </c>
      <c r="C196" s="1" t="s">
        <v>34</v>
      </c>
      <c r="D196" s="1" t="s">
        <v>61</v>
      </c>
      <c r="E196" s="1">
        <v>19</v>
      </c>
      <c r="F196" s="1">
        <v>48548</v>
      </c>
      <c r="G196" s="1">
        <v>0</v>
      </c>
      <c r="H196" s="2">
        <v>46112</v>
      </c>
      <c r="I196" s="2">
        <v>46121</v>
      </c>
      <c r="J196" s="1" t="s">
        <v>51</v>
      </c>
      <c r="K196" s="1">
        <v>1251</v>
      </c>
    </row>
    <row r="197" spans="1:11" x14ac:dyDescent="0.3">
      <c r="A197" s="1" t="s">
        <v>11</v>
      </c>
      <c r="B197" s="1" t="s">
        <v>12</v>
      </c>
      <c r="C197" s="1" t="s">
        <v>18</v>
      </c>
      <c r="D197" s="1" t="s">
        <v>56</v>
      </c>
      <c r="E197" s="1">
        <v>6</v>
      </c>
      <c r="F197" s="1">
        <v>9037</v>
      </c>
      <c r="G197" s="1">
        <v>2</v>
      </c>
      <c r="H197" s="2">
        <v>46112</v>
      </c>
      <c r="I197" s="2">
        <v>46121</v>
      </c>
      <c r="J197" s="1" t="s">
        <v>51</v>
      </c>
      <c r="K197" s="1">
        <v>1133</v>
      </c>
    </row>
    <row r="198" spans="1:11" x14ac:dyDescent="0.3">
      <c r="A198" s="1" t="s">
        <v>58</v>
      </c>
      <c r="B198" s="1" t="s">
        <v>22</v>
      </c>
      <c r="C198" s="1" t="s">
        <v>34</v>
      </c>
      <c r="D198" s="1" t="s">
        <v>45</v>
      </c>
      <c r="E198" s="1">
        <v>16</v>
      </c>
      <c r="F198" s="1">
        <v>1321</v>
      </c>
      <c r="G198" s="1">
        <v>12</v>
      </c>
      <c r="H198" s="2">
        <v>46113</v>
      </c>
      <c r="I198" s="2">
        <v>46116</v>
      </c>
      <c r="J198" s="1" t="s">
        <v>15</v>
      </c>
      <c r="K198" s="1">
        <v>1227</v>
      </c>
    </row>
    <row r="199" spans="1:11" x14ac:dyDescent="0.3">
      <c r="A199" s="1" t="s">
        <v>55</v>
      </c>
      <c r="B199" s="1" t="s">
        <v>25</v>
      </c>
      <c r="C199" s="1" t="s">
        <v>13</v>
      </c>
      <c r="D199" s="1" t="s">
        <v>14</v>
      </c>
      <c r="E199" s="1">
        <v>1</v>
      </c>
      <c r="F199" s="1">
        <v>123</v>
      </c>
      <c r="G199" s="1">
        <v>10</v>
      </c>
      <c r="H199" s="2">
        <v>46113</v>
      </c>
      <c r="I199" s="2">
        <v>46121</v>
      </c>
      <c r="J199" s="1" t="s">
        <v>51</v>
      </c>
      <c r="K199" s="1">
        <v>1077</v>
      </c>
    </row>
    <row r="200" spans="1:11" x14ac:dyDescent="0.3">
      <c r="A200" s="1" t="s">
        <v>54</v>
      </c>
      <c r="B200" s="1" t="s">
        <v>25</v>
      </c>
      <c r="C200" s="1" t="s">
        <v>13</v>
      </c>
      <c r="D200" s="1" t="s">
        <v>50</v>
      </c>
      <c r="E200" s="1">
        <v>20</v>
      </c>
      <c r="F200" s="1">
        <v>112</v>
      </c>
      <c r="G200" s="1">
        <v>10</v>
      </c>
      <c r="H200" s="2">
        <v>46113</v>
      </c>
      <c r="I200" s="2">
        <v>46122</v>
      </c>
      <c r="J200" s="1" t="s">
        <v>51</v>
      </c>
      <c r="K200" s="1">
        <v>1059</v>
      </c>
    </row>
    <row r="201" spans="1:11" x14ac:dyDescent="0.3">
      <c r="A201" s="1" t="s">
        <v>11</v>
      </c>
      <c r="B201" s="1" t="s">
        <v>25</v>
      </c>
      <c r="C201" s="1" t="s">
        <v>18</v>
      </c>
      <c r="D201" s="1" t="s">
        <v>28</v>
      </c>
      <c r="E201" s="1">
        <v>1</v>
      </c>
      <c r="F201" s="1">
        <v>14320</v>
      </c>
      <c r="G201" s="1">
        <v>12</v>
      </c>
      <c r="H201" s="2">
        <v>46114</v>
      </c>
      <c r="I201" s="2">
        <v>46121</v>
      </c>
      <c r="J201" s="1" t="s">
        <v>51</v>
      </c>
      <c r="K201" s="1">
        <v>1234</v>
      </c>
    </row>
    <row r="202" spans="1:11" x14ac:dyDescent="0.3">
      <c r="A202" s="1" t="s">
        <v>26</v>
      </c>
      <c r="B202" s="1" t="s">
        <v>31</v>
      </c>
      <c r="C202" s="1" t="s">
        <v>13</v>
      </c>
      <c r="D202" s="1" t="s">
        <v>50</v>
      </c>
      <c r="E202" s="1">
        <v>11</v>
      </c>
      <c r="F202" s="1">
        <v>390</v>
      </c>
      <c r="G202" s="1">
        <v>15</v>
      </c>
      <c r="H202" s="2">
        <v>46114</v>
      </c>
      <c r="I202" s="2">
        <v>46123</v>
      </c>
      <c r="J202" s="1" t="s">
        <v>29</v>
      </c>
      <c r="K202" s="1">
        <v>1074</v>
      </c>
    </row>
    <row r="203" spans="1:11" x14ac:dyDescent="0.3">
      <c r="A203" s="1" t="s">
        <v>32</v>
      </c>
      <c r="B203" s="1" t="s">
        <v>38</v>
      </c>
      <c r="C203" s="1" t="s">
        <v>34</v>
      </c>
      <c r="D203" s="1" t="s">
        <v>45</v>
      </c>
      <c r="E203" s="1">
        <v>16</v>
      </c>
      <c r="F203" s="1">
        <v>27741</v>
      </c>
      <c r="G203" s="1">
        <v>12</v>
      </c>
      <c r="H203" s="2">
        <v>46116</v>
      </c>
      <c r="I203" s="2">
        <v>46119</v>
      </c>
      <c r="J203" s="1" t="s">
        <v>15</v>
      </c>
      <c r="K203" s="1">
        <v>1213</v>
      </c>
    </row>
    <row r="204" spans="1:11" x14ac:dyDescent="0.3">
      <c r="A204" s="1" t="s">
        <v>47</v>
      </c>
      <c r="B204" s="1" t="s">
        <v>22</v>
      </c>
      <c r="C204" s="1" t="s">
        <v>13</v>
      </c>
      <c r="D204" s="1" t="s">
        <v>36</v>
      </c>
      <c r="E204" s="1">
        <v>13</v>
      </c>
      <c r="F204" s="1">
        <v>433</v>
      </c>
      <c r="G204" s="1">
        <v>2</v>
      </c>
      <c r="H204" s="2">
        <v>46116</v>
      </c>
      <c r="I204" s="2">
        <v>46121</v>
      </c>
      <c r="J204" s="1" t="s">
        <v>24</v>
      </c>
      <c r="K204" s="1">
        <v>1028</v>
      </c>
    </row>
    <row r="205" spans="1:11" x14ac:dyDescent="0.3">
      <c r="A205" s="1" t="s">
        <v>59</v>
      </c>
      <c r="B205" s="1" t="s">
        <v>31</v>
      </c>
      <c r="C205" s="1" t="s">
        <v>13</v>
      </c>
      <c r="D205" s="1" t="s">
        <v>14</v>
      </c>
      <c r="E205" s="1">
        <v>15</v>
      </c>
      <c r="F205" s="1">
        <v>251</v>
      </c>
      <c r="G205" s="1">
        <v>2</v>
      </c>
      <c r="H205" s="2">
        <v>46116</v>
      </c>
      <c r="I205" s="2">
        <v>46122</v>
      </c>
      <c r="J205" s="1" t="s">
        <v>51</v>
      </c>
      <c r="K205" s="1">
        <v>1287</v>
      </c>
    </row>
    <row r="206" spans="1:11" x14ac:dyDescent="0.3">
      <c r="A206" s="1" t="s">
        <v>26</v>
      </c>
      <c r="B206" s="1" t="s">
        <v>17</v>
      </c>
      <c r="C206" s="1" t="s">
        <v>34</v>
      </c>
      <c r="D206" s="1" t="s">
        <v>45</v>
      </c>
      <c r="E206" s="1">
        <v>15</v>
      </c>
      <c r="F206" s="1">
        <v>11596</v>
      </c>
      <c r="G206" s="1">
        <v>0</v>
      </c>
      <c r="H206" s="2">
        <v>46117</v>
      </c>
      <c r="I206" s="2">
        <v>46121</v>
      </c>
      <c r="J206" s="1" t="s">
        <v>29</v>
      </c>
      <c r="K206" s="1">
        <v>1022</v>
      </c>
    </row>
    <row r="207" spans="1:11" x14ac:dyDescent="0.3">
      <c r="A207" s="1" t="s">
        <v>58</v>
      </c>
      <c r="B207" s="1" t="s">
        <v>22</v>
      </c>
      <c r="C207" s="1" t="s">
        <v>18</v>
      </c>
      <c r="D207" s="1" t="s">
        <v>19</v>
      </c>
      <c r="E207" s="1">
        <v>1</v>
      </c>
      <c r="F207" s="1">
        <v>1052</v>
      </c>
      <c r="G207" s="1">
        <v>7</v>
      </c>
      <c r="H207" s="2">
        <v>46117</v>
      </c>
      <c r="I207" s="2">
        <v>46127</v>
      </c>
      <c r="J207" s="1" t="s">
        <v>51</v>
      </c>
      <c r="K207" s="1">
        <v>1265</v>
      </c>
    </row>
    <row r="208" spans="1:11" x14ac:dyDescent="0.3">
      <c r="A208" s="1" t="s">
        <v>47</v>
      </c>
      <c r="B208" s="1" t="s">
        <v>43</v>
      </c>
      <c r="C208" s="1" t="s">
        <v>34</v>
      </c>
      <c r="D208" s="1" t="s">
        <v>35</v>
      </c>
      <c r="E208" s="1">
        <v>15</v>
      </c>
      <c r="F208" s="1">
        <v>14927</v>
      </c>
      <c r="G208" s="1">
        <v>15</v>
      </c>
      <c r="H208" s="2">
        <v>46118</v>
      </c>
      <c r="I208" s="2">
        <v>46120</v>
      </c>
      <c r="J208" s="1" t="s">
        <v>51</v>
      </c>
      <c r="K208" s="1">
        <v>1354</v>
      </c>
    </row>
    <row r="209" spans="1:11" x14ac:dyDescent="0.3">
      <c r="A209" s="1" t="s">
        <v>42</v>
      </c>
      <c r="B209" s="1" t="s">
        <v>33</v>
      </c>
      <c r="C209" s="1" t="s">
        <v>18</v>
      </c>
      <c r="D209" s="1" t="s">
        <v>28</v>
      </c>
      <c r="E209" s="1">
        <v>15</v>
      </c>
      <c r="F209" s="1">
        <v>13843</v>
      </c>
      <c r="G209" s="1">
        <v>7</v>
      </c>
      <c r="H209" s="2">
        <v>46119</v>
      </c>
      <c r="I209" s="2">
        <v>46127</v>
      </c>
      <c r="J209" s="1" t="s">
        <v>20</v>
      </c>
      <c r="K209" s="1">
        <v>1108</v>
      </c>
    </row>
    <row r="210" spans="1:11" x14ac:dyDescent="0.3">
      <c r="A210" s="1" t="s">
        <v>46</v>
      </c>
      <c r="B210" s="1" t="s">
        <v>31</v>
      </c>
      <c r="C210" s="1" t="s">
        <v>18</v>
      </c>
      <c r="D210" s="1" t="s">
        <v>44</v>
      </c>
      <c r="E210" s="1">
        <v>1</v>
      </c>
      <c r="F210" s="1">
        <v>12537</v>
      </c>
      <c r="G210" s="1">
        <v>0</v>
      </c>
      <c r="H210" s="2">
        <v>46119</v>
      </c>
      <c r="I210" s="2">
        <v>46122</v>
      </c>
      <c r="J210" s="1" t="s">
        <v>15</v>
      </c>
      <c r="K210" s="1">
        <v>1241</v>
      </c>
    </row>
    <row r="211" spans="1:11" x14ac:dyDescent="0.3">
      <c r="A211" s="1" t="s">
        <v>40</v>
      </c>
      <c r="B211" s="1" t="s">
        <v>22</v>
      </c>
      <c r="C211" s="1" t="s">
        <v>18</v>
      </c>
      <c r="D211" s="1" t="s">
        <v>23</v>
      </c>
      <c r="E211" s="1">
        <v>17</v>
      </c>
      <c r="F211" s="1">
        <v>6695</v>
      </c>
      <c r="G211" s="1">
        <v>2</v>
      </c>
      <c r="H211" s="2">
        <v>46119</v>
      </c>
      <c r="I211" s="2">
        <v>46122</v>
      </c>
      <c r="J211" s="1" t="s">
        <v>51</v>
      </c>
      <c r="K211" s="1">
        <v>1203</v>
      </c>
    </row>
    <row r="212" spans="1:11" x14ac:dyDescent="0.3">
      <c r="A212" s="1" t="s">
        <v>40</v>
      </c>
      <c r="B212" s="1" t="s">
        <v>17</v>
      </c>
      <c r="C212" s="1" t="s">
        <v>13</v>
      </c>
      <c r="D212" s="1" t="s">
        <v>50</v>
      </c>
      <c r="E212" s="1">
        <v>20</v>
      </c>
      <c r="F212" s="1">
        <v>162</v>
      </c>
      <c r="G212" s="1">
        <v>7</v>
      </c>
      <c r="H212" s="2">
        <v>46119</v>
      </c>
      <c r="I212" s="2">
        <v>46120</v>
      </c>
      <c r="J212" s="1" t="s">
        <v>51</v>
      </c>
      <c r="K212" s="1">
        <v>1261</v>
      </c>
    </row>
    <row r="213" spans="1:11" x14ac:dyDescent="0.3">
      <c r="A213" s="1" t="s">
        <v>16</v>
      </c>
      <c r="B213" s="1" t="s">
        <v>12</v>
      </c>
      <c r="C213" s="1" t="s">
        <v>34</v>
      </c>
      <c r="D213" s="1" t="s">
        <v>45</v>
      </c>
      <c r="E213" s="1">
        <v>13</v>
      </c>
      <c r="F213" s="1">
        <v>43163</v>
      </c>
      <c r="G213" s="1">
        <v>12</v>
      </c>
      <c r="H213" s="2">
        <v>46120</v>
      </c>
      <c r="I213" s="2">
        <v>46129</v>
      </c>
      <c r="J213" s="1" t="s">
        <v>24</v>
      </c>
      <c r="K213" s="1">
        <v>1172</v>
      </c>
    </row>
    <row r="214" spans="1:11" x14ac:dyDescent="0.3">
      <c r="A214" s="1" t="s">
        <v>47</v>
      </c>
      <c r="B214" s="1" t="s">
        <v>12</v>
      </c>
      <c r="C214" s="1" t="s">
        <v>18</v>
      </c>
      <c r="D214" s="1" t="s">
        <v>56</v>
      </c>
      <c r="E214" s="1">
        <v>12</v>
      </c>
      <c r="F214" s="1">
        <v>12104</v>
      </c>
      <c r="G214" s="1">
        <v>7</v>
      </c>
      <c r="H214" s="2">
        <v>46121</v>
      </c>
      <c r="I214" s="2">
        <v>46130</v>
      </c>
      <c r="J214" s="1" t="s">
        <v>24</v>
      </c>
      <c r="K214" s="1">
        <v>1169</v>
      </c>
    </row>
    <row r="215" spans="1:11" x14ac:dyDescent="0.3">
      <c r="A215" s="1" t="s">
        <v>27</v>
      </c>
      <c r="B215" s="1" t="s">
        <v>25</v>
      </c>
      <c r="C215" s="1" t="s">
        <v>34</v>
      </c>
      <c r="D215" s="1" t="s">
        <v>35</v>
      </c>
      <c r="E215" s="1">
        <v>7</v>
      </c>
      <c r="F215" s="1">
        <v>45381</v>
      </c>
      <c r="G215" s="1">
        <v>0</v>
      </c>
      <c r="H215" s="2">
        <v>46122</v>
      </c>
      <c r="I215" s="2">
        <v>46128</v>
      </c>
      <c r="J215" s="1" t="s">
        <v>15</v>
      </c>
      <c r="K215" s="1">
        <v>1363</v>
      </c>
    </row>
    <row r="216" spans="1:11" x14ac:dyDescent="0.3">
      <c r="A216" s="1" t="s">
        <v>26</v>
      </c>
      <c r="B216" s="1" t="s">
        <v>22</v>
      </c>
      <c r="C216" s="1" t="s">
        <v>34</v>
      </c>
      <c r="D216" s="1" t="s">
        <v>45</v>
      </c>
      <c r="E216" s="1">
        <v>19</v>
      </c>
      <c r="F216" s="1">
        <v>25336</v>
      </c>
      <c r="G216" s="1">
        <v>2</v>
      </c>
      <c r="H216" s="2">
        <v>46122</v>
      </c>
      <c r="I216" s="2">
        <v>46130</v>
      </c>
      <c r="J216" s="1" t="s">
        <v>24</v>
      </c>
      <c r="K216" s="1">
        <v>1289</v>
      </c>
    </row>
    <row r="217" spans="1:11" x14ac:dyDescent="0.3">
      <c r="A217" s="1" t="s">
        <v>48</v>
      </c>
      <c r="B217" s="1" t="s">
        <v>17</v>
      </c>
      <c r="C217" s="1" t="s">
        <v>18</v>
      </c>
      <c r="D217" s="1" t="s">
        <v>56</v>
      </c>
      <c r="E217" s="1">
        <v>2</v>
      </c>
      <c r="F217" s="1">
        <v>12330</v>
      </c>
      <c r="G217" s="1">
        <v>12</v>
      </c>
      <c r="H217" s="2">
        <v>46122</v>
      </c>
      <c r="I217" s="2">
        <v>46125</v>
      </c>
      <c r="J217" s="1" t="s">
        <v>15</v>
      </c>
      <c r="K217" s="1">
        <v>1239</v>
      </c>
    </row>
    <row r="218" spans="1:11" x14ac:dyDescent="0.3">
      <c r="A218" s="1" t="s">
        <v>11</v>
      </c>
      <c r="B218" s="1" t="s">
        <v>31</v>
      </c>
      <c r="C218" s="1" t="s">
        <v>18</v>
      </c>
      <c r="D218" s="1" t="s">
        <v>56</v>
      </c>
      <c r="E218" s="1">
        <v>18</v>
      </c>
      <c r="F218" s="1">
        <v>2681</v>
      </c>
      <c r="G218" s="1">
        <v>10</v>
      </c>
      <c r="H218" s="2">
        <v>46122</v>
      </c>
      <c r="I218" s="2">
        <v>46125</v>
      </c>
      <c r="J218" s="1" t="s">
        <v>51</v>
      </c>
      <c r="K218" s="1">
        <v>1221</v>
      </c>
    </row>
    <row r="219" spans="1:11" x14ac:dyDescent="0.3">
      <c r="A219" s="1" t="s">
        <v>26</v>
      </c>
      <c r="B219" s="1" t="s">
        <v>17</v>
      </c>
      <c r="C219" s="1" t="s">
        <v>18</v>
      </c>
      <c r="D219" s="1" t="s">
        <v>56</v>
      </c>
      <c r="E219" s="1">
        <v>8</v>
      </c>
      <c r="F219" s="1">
        <v>8783</v>
      </c>
      <c r="G219" s="1">
        <v>2</v>
      </c>
      <c r="H219" s="2">
        <v>46123</v>
      </c>
      <c r="I219" s="2">
        <v>46132</v>
      </c>
      <c r="J219" s="1" t="s">
        <v>15</v>
      </c>
      <c r="K219" s="1">
        <v>1299</v>
      </c>
    </row>
    <row r="220" spans="1:11" x14ac:dyDescent="0.3">
      <c r="A220" s="1" t="s">
        <v>16</v>
      </c>
      <c r="B220" s="1" t="s">
        <v>31</v>
      </c>
      <c r="C220" s="1" t="s">
        <v>13</v>
      </c>
      <c r="D220" s="1" t="s">
        <v>37</v>
      </c>
      <c r="E220" s="1">
        <v>13</v>
      </c>
      <c r="F220" s="1">
        <v>416</v>
      </c>
      <c r="G220" s="1">
        <v>10</v>
      </c>
      <c r="H220" s="2">
        <v>46123</v>
      </c>
      <c r="I220" s="2">
        <v>46132</v>
      </c>
      <c r="J220" s="1" t="s">
        <v>20</v>
      </c>
      <c r="K220" s="1">
        <v>1204</v>
      </c>
    </row>
    <row r="221" spans="1:11" x14ac:dyDescent="0.3">
      <c r="A221" s="1" t="s">
        <v>55</v>
      </c>
      <c r="B221" s="1" t="s">
        <v>33</v>
      </c>
      <c r="C221" s="1" t="s">
        <v>34</v>
      </c>
      <c r="D221" s="1" t="s">
        <v>45</v>
      </c>
      <c r="E221" s="1">
        <v>20</v>
      </c>
      <c r="F221" s="1">
        <v>49042</v>
      </c>
      <c r="G221" s="1">
        <v>2</v>
      </c>
      <c r="H221" s="2">
        <v>46124</v>
      </c>
      <c r="I221" s="2">
        <v>46126</v>
      </c>
      <c r="J221" s="1" t="s">
        <v>15</v>
      </c>
      <c r="K221" s="1">
        <v>1279</v>
      </c>
    </row>
    <row r="222" spans="1:11" x14ac:dyDescent="0.3">
      <c r="A222" s="1" t="s">
        <v>29</v>
      </c>
      <c r="B222" s="1" t="s">
        <v>43</v>
      </c>
      <c r="C222" s="1" t="s">
        <v>34</v>
      </c>
      <c r="D222" s="1" t="s">
        <v>35</v>
      </c>
      <c r="E222" s="1">
        <v>13</v>
      </c>
      <c r="F222" s="1">
        <v>23903</v>
      </c>
      <c r="G222" s="1">
        <v>5</v>
      </c>
      <c r="H222" s="2">
        <v>46124</v>
      </c>
      <c r="I222" s="2">
        <v>46125</v>
      </c>
      <c r="J222" s="1" t="s">
        <v>29</v>
      </c>
      <c r="K222" s="1">
        <v>1392</v>
      </c>
    </row>
    <row r="223" spans="1:11" x14ac:dyDescent="0.3">
      <c r="A223" s="1" t="s">
        <v>57</v>
      </c>
      <c r="B223" s="1" t="s">
        <v>38</v>
      </c>
      <c r="C223" s="1" t="s">
        <v>34</v>
      </c>
      <c r="D223" s="1" t="s">
        <v>35</v>
      </c>
      <c r="E223" s="1">
        <v>13</v>
      </c>
      <c r="F223" s="1">
        <v>5170</v>
      </c>
      <c r="G223" s="1">
        <v>2</v>
      </c>
      <c r="H223" s="2">
        <v>46124</v>
      </c>
      <c r="I223" s="2">
        <v>46127</v>
      </c>
      <c r="J223" s="1" t="s">
        <v>15</v>
      </c>
      <c r="K223" s="1">
        <v>1303</v>
      </c>
    </row>
    <row r="224" spans="1:11" x14ac:dyDescent="0.3">
      <c r="A224" s="1" t="s">
        <v>42</v>
      </c>
      <c r="B224" s="1" t="s">
        <v>31</v>
      </c>
      <c r="C224" s="1" t="s">
        <v>34</v>
      </c>
      <c r="D224" s="1" t="s">
        <v>35</v>
      </c>
      <c r="E224" s="1">
        <v>16</v>
      </c>
      <c r="F224" s="1">
        <v>32262</v>
      </c>
      <c r="G224" s="1">
        <v>12</v>
      </c>
      <c r="H224" s="2">
        <v>46125</v>
      </c>
      <c r="I224" s="2">
        <v>46126</v>
      </c>
      <c r="J224" s="1" t="s">
        <v>20</v>
      </c>
      <c r="K224" s="1">
        <v>1225</v>
      </c>
    </row>
    <row r="225" spans="1:11" x14ac:dyDescent="0.3">
      <c r="A225" s="1" t="s">
        <v>48</v>
      </c>
      <c r="B225" s="1" t="s">
        <v>33</v>
      </c>
      <c r="C225" s="1" t="s">
        <v>13</v>
      </c>
      <c r="D225" s="1" t="s">
        <v>14</v>
      </c>
      <c r="E225" s="1">
        <v>12</v>
      </c>
      <c r="F225" s="1">
        <v>50</v>
      </c>
      <c r="G225" s="1">
        <v>2</v>
      </c>
      <c r="H225" s="2">
        <v>46125</v>
      </c>
      <c r="I225" s="2">
        <v>46131</v>
      </c>
      <c r="J225" s="1" t="s">
        <v>24</v>
      </c>
      <c r="K225" s="1">
        <v>1130</v>
      </c>
    </row>
    <row r="226" spans="1:11" x14ac:dyDescent="0.3">
      <c r="A226" s="1" t="s">
        <v>58</v>
      </c>
      <c r="B226" s="1" t="s">
        <v>17</v>
      </c>
      <c r="C226" s="1" t="s">
        <v>18</v>
      </c>
      <c r="D226" s="1" t="s">
        <v>56</v>
      </c>
      <c r="E226" s="1">
        <v>4</v>
      </c>
      <c r="F226" s="1">
        <v>2453</v>
      </c>
      <c r="G226" s="1">
        <v>7</v>
      </c>
      <c r="H226" s="2">
        <v>46126</v>
      </c>
      <c r="I226" s="2">
        <v>46129</v>
      </c>
      <c r="J226" s="1" t="s">
        <v>51</v>
      </c>
      <c r="K226" s="1">
        <v>1073</v>
      </c>
    </row>
    <row r="227" spans="1:11" x14ac:dyDescent="0.3">
      <c r="A227" s="1" t="s">
        <v>26</v>
      </c>
      <c r="B227" s="1" t="s">
        <v>25</v>
      </c>
      <c r="C227" s="1" t="s">
        <v>13</v>
      </c>
      <c r="D227" s="1" t="s">
        <v>53</v>
      </c>
      <c r="E227" s="1">
        <v>17</v>
      </c>
      <c r="F227" s="1">
        <v>345</v>
      </c>
      <c r="G227" s="1">
        <v>2</v>
      </c>
      <c r="H227" s="2">
        <v>46126</v>
      </c>
      <c r="I227" s="2">
        <v>46127</v>
      </c>
      <c r="J227" s="1" t="s">
        <v>51</v>
      </c>
      <c r="K227" s="1">
        <v>1098</v>
      </c>
    </row>
    <row r="228" spans="1:11" x14ac:dyDescent="0.3">
      <c r="A228" s="1" t="s">
        <v>30</v>
      </c>
      <c r="B228" s="1" t="s">
        <v>43</v>
      </c>
      <c r="C228" s="1" t="s">
        <v>13</v>
      </c>
      <c r="D228" s="1" t="s">
        <v>53</v>
      </c>
      <c r="E228" s="1">
        <v>18</v>
      </c>
      <c r="F228" s="1">
        <v>227</v>
      </c>
      <c r="G228" s="1">
        <v>5</v>
      </c>
      <c r="H228" s="2">
        <v>46126</v>
      </c>
      <c r="I228" s="2">
        <v>46136</v>
      </c>
      <c r="J228" s="1" t="s">
        <v>29</v>
      </c>
      <c r="K228" s="1">
        <v>1329</v>
      </c>
    </row>
    <row r="229" spans="1:11" x14ac:dyDescent="0.3">
      <c r="A229" s="1" t="s">
        <v>40</v>
      </c>
      <c r="B229" s="1" t="s">
        <v>38</v>
      </c>
      <c r="C229" s="1" t="s">
        <v>18</v>
      </c>
      <c r="D229" s="1" t="s">
        <v>19</v>
      </c>
      <c r="E229" s="1">
        <v>7</v>
      </c>
      <c r="F229" s="1">
        <v>6618</v>
      </c>
      <c r="G229" s="1">
        <v>0</v>
      </c>
      <c r="H229" s="2">
        <v>46127</v>
      </c>
      <c r="I229" s="2">
        <v>46129</v>
      </c>
      <c r="J229" s="1" t="s">
        <v>20</v>
      </c>
      <c r="K229" s="1">
        <v>1358</v>
      </c>
    </row>
    <row r="230" spans="1:11" x14ac:dyDescent="0.3">
      <c r="A230" s="1" t="s">
        <v>32</v>
      </c>
      <c r="B230" s="1" t="s">
        <v>25</v>
      </c>
      <c r="C230" s="1" t="s">
        <v>13</v>
      </c>
      <c r="D230" s="1" t="s">
        <v>53</v>
      </c>
      <c r="E230" s="1">
        <v>12</v>
      </c>
      <c r="F230" s="1">
        <v>360</v>
      </c>
      <c r="G230" s="1">
        <v>5</v>
      </c>
      <c r="H230" s="2">
        <v>46127</v>
      </c>
      <c r="I230" s="2">
        <v>46137</v>
      </c>
      <c r="J230" s="1" t="s">
        <v>29</v>
      </c>
      <c r="K230" s="1">
        <v>1050</v>
      </c>
    </row>
    <row r="231" spans="1:11" x14ac:dyDescent="0.3">
      <c r="A231" s="1" t="s">
        <v>52</v>
      </c>
      <c r="B231" s="1" t="s">
        <v>43</v>
      </c>
      <c r="C231" s="1" t="s">
        <v>13</v>
      </c>
      <c r="D231" s="1" t="s">
        <v>53</v>
      </c>
      <c r="E231" s="1">
        <v>3</v>
      </c>
      <c r="F231" s="1">
        <v>412</v>
      </c>
      <c r="G231" s="1">
        <v>7</v>
      </c>
      <c r="H231" s="2">
        <v>46128</v>
      </c>
      <c r="I231" s="2">
        <v>46138</v>
      </c>
      <c r="J231" s="1" t="s">
        <v>24</v>
      </c>
      <c r="K231" s="1">
        <v>1380</v>
      </c>
    </row>
    <row r="232" spans="1:11" x14ac:dyDescent="0.3">
      <c r="A232" s="1" t="s">
        <v>30</v>
      </c>
      <c r="B232" s="1" t="s">
        <v>22</v>
      </c>
      <c r="C232" s="1" t="s">
        <v>34</v>
      </c>
      <c r="D232" s="1" t="s">
        <v>41</v>
      </c>
      <c r="E232" s="1">
        <v>12</v>
      </c>
      <c r="F232" s="1">
        <v>66075</v>
      </c>
      <c r="G232" s="1">
        <v>5</v>
      </c>
      <c r="H232" s="2">
        <v>46129</v>
      </c>
      <c r="I232" s="2">
        <v>46135</v>
      </c>
      <c r="J232" s="1" t="s">
        <v>20</v>
      </c>
      <c r="K232" s="1">
        <v>1308</v>
      </c>
    </row>
    <row r="233" spans="1:11" x14ac:dyDescent="0.3">
      <c r="A233" s="1" t="s">
        <v>40</v>
      </c>
      <c r="B233" s="1" t="s">
        <v>17</v>
      </c>
      <c r="C233" s="1" t="s">
        <v>34</v>
      </c>
      <c r="D233" s="1" t="s">
        <v>41</v>
      </c>
      <c r="E233" s="1">
        <v>19</v>
      </c>
      <c r="F233" s="1">
        <v>53683</v>
      </c>
      <c r="G233" s="1">
        <v>12</v>
      </c>
      <c r="H233" s="2">
        <v>46129</v>
      </c>
      <c r="I233" s="2">
        <v>46134</v>
      </c>
      <c r="J233" s="1" t="s">
        <v>29</v>
      </c>
      <c r="K233" s="1">
        <v>1014</v>
      </c>
    </row>
    <row r="234" spans="1:11" x14ac:dyDescent="0.3">
      <c r="A234" s="1" t="s">
        <v>59</v>
      </c>
      <c r="B234" s="1" t="s">
        <v>22</v>
      </c>
      <c r="C234" s="1" t="s">
        <v>34</v>
      </c>
      <c r="D234" s="1" t="s">
        <v>61</v>
      </c>
      <c r="E234" s="1">
        <v>18</v>
      </c>
      <c r="F234" s="1">
        <v>32197</v>
      </c>
      <c r="G234" s="1">
        <v>5</v>
      </c>
      <c r="H234" s="2">
        <v>46129</v>
      </c>
      <c r="I234" s="2">
        <v>46137</v>
      </c>
      <c r="J234" s="1" t="s">
        <v>20</v>
      </c>
      <c r="K234" s="1">
        <v>1071</v>
      </c>
    </row>
    <row r="235" spans="1:11" x14ac:dyDescent="0.3">
      <c r="A235" s="1" t="s">
        <v>57</v>
      </c>
      <c r="B235" s="1" t="s">
        <v>43</v>
      </c>
      <c r="C235" s="1" t="s">
        <v>18</v>
      </c>
      <c r="D235" s="1" t="s">
        <v>28</v>
      </c>
      <c r="E235" s="1">
        <v>13</v>
      </c>
      <c r="F235" s="1">
        <v>12856</v>
      </c>
      <c r="G235" s="1">
        <v>15</v>
      </c>
      <c r="H235" s="2">
        <v>46129</v>
      </c>
      <c r="I235" s="2">
        <v>46133</v>
      </c>
      <c r="J235" s="1" t="s">
        <v>51</v>
      </c>
      <c r="K235" s="1">
        <v>1194</v>
      </c>
    </row>
    <row r="236" spans="1:11" x14ac:dyDescent="0.3">
      <c r="A236" s="1" t="s">
        <v>52</v>
      </c>
      <c r="B236" s="1" t="s">
        <v>43</v>
      </c>
      <c r="C236" s="1" t="s">
        <v>18</v>
      </c>
      <c r="D236" s="1" t="s">
        <v>19</v>
      </c>
      <c r="E236" s="1">
        <v>14</v>
      </c>
      <c r="F236" s="1">
        <v>5704</v>
      </c>
      <c r="G236" s="1">
        <v>2</v>
      </c>
      <c r="H236" s="2">
        <v>46129</v>
      </c>
      <c r="I236" s="2">
        <v>46131</v>
      </c>
      <c r="J236" s="1" t="s">
        <v>15</v>
      </c>
      <c r="K236" s="1">
        <v>1269</v>
      </c>
    </row>
    <row r="237" spans="1:11" x14ac:dyDescent="0.3">
      <c r="A237" s="1" t="s">
        <v>27</v>
      </c>
      <c r="B237" s="1" t="s">
        <v>38</v>
      </c>
      <c r="C237" s="1" t="s">
        <v>13</v>
      </c>
      <c r="D237" s="1" t="s">
        <v>50</v>
      </c>
      <c r="E237" s="1">
        <v>1</v>
      </c>
      <c r="F237" s="1">
        <v>50</v>
      </c>
      <c r="G237" s="1">
        <v>0</v>
      </c>
      <c r="H237" s="2">
        <v>46129</v>
      </c>
      <c r="I237" s="2">
        <v>46138</v>
      </c>
      <c r="J237" s="1" t="s">
        <v>20</v>
      </c>
      <c r="K237" s="1">
        <v>1267</v>
      </c>
    </row>
    <row r="238" spans="1:11" x14ac:dyDescent="0.3">
      <c r="A238" s="1" t="s">
        <v>49</v>
      </c>
      <c r="B238" s="1" t="s">
        <v>33</v>
      </c>
      <c r="C238" s="1" t="s">
        <v>34</v>
      </c>
      <c r="D238" s="1" t="s">
        <v>60</v>
      </c>
      <c r="E238" s="1">
        <v>11</v>
      </c>
      <c r="F238" s="1">
        <v>36198</v>
      </c>
      <c r="G238" s="1">
        <v>0</v>
      </c>
      <c r="H238" s="2">
        <v>46130</v>
      </c>
      <c r="I238" s="2">
        <v>46134</v>
      </c>
      <c r="J238" s="1" t="s">
        <v>15</v>
      </c>
      <c r="K238" s="1">
        <v>1382</v>
      </c>
    </row>
    <row r="239" spans="1:11" x14ac:dyDescent="0.3">
      <c r="A239" s="1" t="s">
        <v>29</v>
      </c>
      <c r="B239" s="1" t="s">
        <v>38</v>
      </c>
      <c r="C239" s="1" t="s">
        <v>18</v>
      </c>
      <c r="D239" s="1" t="s">
        <v>28</v>
      </c>
      <c r="E239" s="1">
        <v>10</v>
      </c>
      <c r="F239" s="1">
        <v>1505</v>
      </c>
      <c r="G239" s="1">
        <v>0</v>
      </c>
      <c r="H239" s="2">
        <v>46130</v>
      </c>
      <c r="I239" s="2">
        <v>46138</v>
      </c>
      <c r="J239" s="1" t="s">
        <v>51</v>
      </c>
      <c r="K239" s="1">
        <v>1263</v>
      </c>
    </row>
    <row r="240" spans="1:11" x14ac:dyDescent="0.3">
      <c r="A240" s="1" t="s">
        <v>54</v>
      </c>
      <c r="B240" s="1" t="s">
        <v>12</v>
      </c>
      <c r="C240" s="1" t="s">
        <v>13</v>
      </c>
      <c r="D240" s="1" t="s">
        <v>37</v>
      </c>
      <c r="E240" s="1">
        <v>18</v>
      </c>
      <c r="F240" s="1">
        <v>335</v>
      </c>
      <c r="G240" s="1">
        <v>15</v>
      </c>
      <c r="H240" s="2">
        <v>46130</v>
      </c>
      <c r="I240" s="2">
        <v>46140</v>
      </c>
      <c r="J240" s="1" t="s">
        <v>29</v>
      </c>
      <c r="K240" s="1">
        <v>1168</v>
      </c>
    </row>
    <row r="241" spans="1:11" x14ac:dyDescent="0.3">
      <c r="A241" s="1" t="s">
        <v>27</v>
      </c>
      <c r="B241" s="1" t="s">
        <v>12</v>
      </c>
      <c r="C241" s="1" t="s">
        <v>18</v>
      </c>
      <c r="D241" s="1" t="s">
        <v>28</v>
      </c>
      <c r="E241" s="1">
        <v>6</v>
      </c>
      <c r="F241" s="1">
        <v>1254</v>
      </c>
      <c r="G241" s="1">
        <v>0</v>
      </c>
      <c r="H241" s="2">
        <v>46131</v>
      </c>
      <c r="I241" s="2">
        <v>46136</v>
      </c>
      <c r="J241" s="1" t="s">
        <v>29</v>
      </c>
      <c r="K241" s="1">
        <v>1215</v>
      </c>
    </row>
    <row r="242" spans="1:11" x14ac:dyDescent="0.3">
      <c r="A242" s="1" t="s">
        <v>40</v>
      </c>
      <c r="B242" s="1" t="s">
        <v>22</v>
      </c>
      <c r="C242" s="1" t="s">
        <v>34</v>
      </c>
      <c r="D242" s="1" t="s">
        <v>39</v>
      </c>
      <c r="E242" s="1">
        <v>14</v>
      </c>
      <c r="F242" s="1">
        <v>49990</v>
      </c>
      <c r="G242" s="1">
        <v>10</v>
      </c>
      <c r="H242" s="2">
        <v>46132</v>
      </c>
      <c r="I242" s="2">
        <v>46135</v>
      </c>
      <c r="J242" s="1" t="s">
        <v>29</v>
      </c>
      <c r="K242" s="1">
        <v>1122</v>
      </c>
    </row>
    <row r="243" spans="1:11" x14ac:dyDescent="0.3">
      <c r="A243" s="1" t="s">
        <v>59</v>
      </c>
      <c r="B243" s="1" t="s">
        <v>31</v>
      </c>
      <c r="C243" s="1" t="s">
        <v>34</v>
      </c>
      <c r="D243" s="1" t="s">
        <v>35</v>
      </c>
      <c r="E243" s="1">
        <v>13</v>
      </c>
      <c r="F243" s="1">
        <v>47881</v>
      </c>
      <c r="G243" s="1">
        <v>15</v>
      </c>
      <c r="H243" s="2">
        <v>46132</v>
      </c>
      <c r="I243" s="2">
        <v>46139</v>
      </c>
      <c r="J243" s="1" t="s">
        <v>29</v>
      </c>
      <c r="K243" s="1">
        <v>1342</v>
      </c>
    </row>
    <row r="244" spans="1:11" x14ac:dyDescent="0.3">
      <c r="A244" s="1" t="s">
        <v>21</v>
      </c>
      <c r="B244" s="1" t="s">
        <v>22</v>
      </c>
      <c r="C244" s="1" t="s">
        <v>34</v>
      </c>
      <c r="D244" s="1" t="s">
        <v>41</v>
      </c>
      <c r="E244" s="1">
        <v>12</v>
      </c>
      <c r="F244" s="1">
        <v>54161</v>
      </c>
      <c r="G244" s="1">
        <v>15</v>
      </c>
      <c r="H244" s="2">
        <v>46133</v>
      </c>
      <c r="I244" s="2">
        <v>46143</v>
      </c>
      <c r="J244" s="1" t="s">
        <v>24</v>
      </c>
      <c r="K244" s="1">
        <v>1080</v>
      </c>
    </row>
    <row r="245" spans="1:11" x14ac:dyDescent="0.3">
      <c r="A245" s="1" t="s">
        <v>47</v>
      </c>
      <c r="B245" s="1" t="s">
        <v>17</v>
      </c>
      <c r="C245" s="1" t="s">
        <v>34</v>
      </c>
      <c r="D245" s="1" t="s">
        <v>35</v>
      </c>
      <c r="E245" s="1">
        <v>5</v>
      </c>
      <c r="F245" s="1">
        <v>49945</v>
      </c>
      <c r="G245" s="1">
        <v>12</v>
      </c>
      <c r="H245" s="2">
        <v>46133</v>
      </c>
      <c r="I245" s="2">
        <v>46141</v>
      </c>
      <c r="J245" s="1" t="s">
        <v>29</v>
      </c>
      <c r="K245" s="1">
        <v>1111</v>
      </c>
    </row>
    <row r="246" spans="1:11" x14ac:dyDescent="0.3">
      <c r="A246" s="1" t="s">
        <v>11</v>
      </c>
      <c r="B246" s="1" t="s">
        <v>22</v>
      </c>
      <c r="C246" s="1" t="s">
        <v>18</v>
      </c>
      <c r="D246" s="1" t="s">
        <v>19</v>
      </c>
      <c r="E246" s="1">
        <v>3</v>
      </c>
      <c r="F246" s="1">
        <v>9771</v>
      </c>
      <c r="G246" s="1">
        <v>5</v>
      </c>
      <c r="H246" s="2">
        <v>46133</v>
      </c>
      <c r="I246" s="2">
        <v>46139</v>
      </c>
      <c r="J246" s="1" t="s">
        <v>24</v>
      </c>
      <c r="K246" s="1">
        <v>1056</v>
      </c>
    </row>
    <row r="247" spans="1:11" x14ac:dyDescent="0.3">
      <c r="A247" s="1" t="s">
        <v>59</v>
      </c>
      <c r="B247" s="1" t="s">
        <v>25</v>
      </c>
      <c r="C247" s="1" t="s">
        <v>13</v>
      </c>
      <c r="D247" s="1" t="s">
        <v>37</v>
      </c>
      <c r="E247" s="1">
        <v>6</v>
      </c>
      <c r="F247" s="1">
        <v>365</v>
      </c>
      <c r="G247" s="1">
        <v>7</v>
      </c>
      <c r="H247" s="2">
        <v>46133</v>
      </c>
      <c r="I247" s="2">
        <v>46140</v>
      </c>
      <c r="J247" s="1" t="s">
        <v>51</v>
      </c>
      <c r="K247" s="1">
        <v>1357</v>
      </c>
    </row>
    <row r="248" spans="1:11" x14ac:dyDescent="0.3">
      <c r="A248" s="1" t="s">
        <v>49</v>
      </c>
      <c r="B248" s="1" t="s">
        <v>33</v>
      </c>
      <c r="C248" s="1" t="s">
        <v>13</v>
      </c>
      <c r="D248" s="1" t="s">
        <v>14</v>
      </c>
      <c r="E248" s="1">
        <v>6</v>
      </c>
      <c r="F248" s="1">
        <v>30</v>
      </c>
      <c r="G248" s="1">
        <v>2</v>
      </c>
      <c r="H248" s="2">
        <v>46133</v>
      </c>
      <c r="I248" s="2">
        <v>46138</v>
      </c>
      <c r="J248" s="1" t="s">
        <v>24</v>
      </c>
      <c r="K248" s="1">
        <v>1125</v>
      </c>
    </row>
    <row r="249" spans="1:11" x14ac:dyDescent="0.3">
      <c r="A249" s="1" t="s">
        <v>29</v>
      </c>
      <c r="B249" s="1" t="s">
        <v>31</v>
      </c>
      <c r="C249" s="1" t="s">
        <v>34</v>
      </c>
      <c r="D249" s="1" t="s">
        <v>45</v>
      </c>
      <c r="E249" s="1">
        <v>13</v>
      </c>
      <c r="F249" s="1">
        <v>69422</v>
      </c>
      <c r="G249" s="1">
        <v>0</v>
      </c>
      <c r="H249" s="2">
        <v>46134</v>
      </c>
      <c r="I249" s="2">
        <v>46143</v>
      </c>
      <c r="J249" s="1" t="s">
        <v>29</v>
      </c>
      <c r="K249" s="1">
        <v>1200</v>
      </c>
    </row>
    <row r="250" spans="1:11" x14ac:dyDescent="0.3">
      <c r="A250" s="1" t="s">
        <v>49</v>
      </c>
      <c r="B250" s="1" t="s">
        <v>43</v>
      </c>
      <c r="C250" s="1" t="s">
        <v>34</v>
      </c>
      <c r="D250" s="1" t="s">
        <v>35</v>
      </c>
      <c r="E250" s="1">
        <v>16</v>
      </c>
      <c r="F250" s="1">
        <v>62941</v>
      </c>
      <c r="G250" s="1">
        <v>7</v>
      </c>
      <c r="H250" s="2">
        <v>46135</v>
      </c>
      <c r="I250" s="2">
        <v>46141</v>
      </c>
      <c r="J250" s="1" t="s">
        <v>51</v>
      </c>
      <c r="K250" s="1">
        <v>1270</v>
      </c>
    </row>
    <row r="251" spans="1:11" x14ac:dyDescent="0.3">
      <c r="A251" s="1" t="s">
        <v>40</v>
      </c>
      <c r="B251" s="1" t="s">
        <v>22</v>
      </c>
      <c r="C251" s="1" t="s">
        <v>34</v>
      </c>
      <c r="D251" s="1" t="s">
        <v>45</v>
      </c>
      <c r="E251" s="1">
        <v>10</v>
      </c>
      <c r="F251" s="1">
        <v>56709</v>
      </c>
      <c r="G251" s="1">
        <v>15</v>
      </c>
      <c r="H251" s="2">
        <v>46135</v>
      </c>
      <c r="I251" s="2">
        <v>46139</v>
      </c>
      <c r="J251" s="1" t="s">
        <v>29</v>
      </c>
      <c r="K251" s="1">
        <v>1216</v>
      </c>
    </row>
    <row r="252" spans="1:11" x14ac:dyDescent="0.3">
      <c r="A252" s="1" t="s">
        <v>55</v>
      </c>
      <c r="B252" s="1" t="s">
        <v>17</v>
      </c>
      <c r="C252" s="1" t="s">
        <v>13</v>
      </c>
      <c r="D252" s="1" t="s">
        <v>53</v>
      </c>
      <c r="E252" s="1">
        <v>2</v>
      </c>
      <c r="F252" s="1">
        <v>305</v>
      </c>
      <c r="G252" s="1">
        <v>0</v>
      </c>
      <c r="H252" s="2">
        <v>46136</v>
      </c>
      <c r="I252" s="2">
        <v>46144</v>
      </c>
      <c r="J252" s="1" t="s">
        <v>15</v>
      </c>
      <c r="K252" s="1">
        <v>1091</v>
      </c>
    </row>
    <row r="253" spans="1:11" x14ac:dyDescent="0.3">
      <c r="A253" s="1" t="s">
        <v>32</v>
      </c>
      <c r="B253" s="1" t="s">
        <v>33</v>
      </c>
      <c r="C253" s="1" t="s">
        <v>34</v>
      </c>
      <c r="D253" s="1" t="s">
        <v>45</v>
      </c>
      <c r="E253" s="1">
        <v>16</v>
      </c>
      <c r="F253" s="1">
        <v>30234</v>
      </c>
      <c r="G253" s="1">
        <v>15</v>
      </c>
      <c r="H253" s="2">
        <v>46137</v>
      </c>
      <c r="I253" s="2">
        <v>46140</v>
      </c>
      <c r="J253" s="1" t="s">
        <v>24</v>
      </c>
      <c r="K253" s="1">
        <v>1016</v>
      </c>
    </row>
    <row r="254" spans="1:11" x14ac:dyDescent="0.3">
      <c r="A254" s="1" t="s">
        <v>46</v>
      </c>
      <c r="B254" s="1" t="s">
        <v>38</v>
      </c>
      <c r="C254" s="1" t="s">
        <v>18</v>
      </c>
      <c r="D254" s="1" t="s">
        <v>56</v>
      </c>
      <c r="E254" s="1">
        <v>8</v>
      </c>
      <c r="F254" s="1">
        <v>12123</v>
      </c>
      <c r="G254" s="1">
        <v>2</v>
      </c>
      <c r="H254" s="2">
        <v>46137</v>
      </c>
      <c r="I254" s="2">
        <v>46145</v>
      </c>
      <c r="J254" s="1" t="s">
        <v>15</v>
      </c>
      <c r="K254" s="1">
        <v>1237</v>
      </c>
    </row>
    <row r="255" spans="1:11" x14ac:dyDescent="0.3">
      <c r="A255" s="1" t="s">
        <v>32</v>
      </c>
      <c r="B255" s="1" t="s">
        <v>31</v>
      </c>
      <c r="C255" s="1" t="s">
        <v>34</v>
      </c>
      <c r="D255" s="1" t="s">
        <v>60</v>
      </c>
      <c r="E255" s="1">
        <v>1</v>
      </c>
      <c r="F255" s="1">
        <v>10600</v>
      </c>
      <c r="G255" s="1">
        <v>5</v>
      </c>
      <c r="H255" s="2">
        <v>46137</v>
      </c>
      <c r="I255" s="2">
        <v>46138</v>
      </c>
      <c r="J255" s="1" t="s">
        <v>29</v>
      </c>
      <c r="K255" s="1">
        <v>1258</v>
      </c>
    </row>
    <row r="256" spans="1:11" x14ac:dyDescent="0.3">
      <c r="A256" s="1" t="s">
        <v>29</v>
      </c>
      <c r="B256" s="1" t="s">
        <v>22</v>
      </c>
      <c r="C256" s="1" t="s">
        <v>18</v>
      </c>
      <c r="D256" s="1" t="s">
        <v>56</v>
      </c>
      <c r="E256" s="1">
        <v>6</v>
      </c>
      <c r="F256" s="1">
        <v>10368</v>
      </c>
      <c r="G256" s="1">
        <v>7</v>
      </c>
      <c r="H256" s="2">
        <v>46137</v>
      </c>
      <c r="I256" s="2">
        <v>46142</v>
      </c>
      <c r="J256" s="1" t="s">
        <v>15</v>
      </c>
      <c r="K256" s="1">
        <v>1188</v>
      </c>
    </row>
    <row r="257" spans="1:11" x14ac:dyDescent="0.3">
      <c r="A257" s="1" t="s">
        <v>21</v>
      </c>
      <c r="B257" s="1" t="s">
        <v>17</v>
      </c>
      <c r="C257" s="1" t="s">
        <v>13</v>
      </c>
      <c r="D257" s="1" t="s">
        <v>36</v>
      </c>
      <c r="E257" s="1">
        <v>17</v>
      </c>
      <c r="F257" s="1">
        <v>415</v>
      </c>
      <c r="G257" s="1">
        <v>5</v>
      </c>
      <c r="H257" s="2">
        <v>46137</v>
      </c>
      <c r="I257" s="2">
        <v>46141</v>
      </c>
      <c r="J257" s="1" t="s">
        <v>20</v>
      </c>
      <c r="K257" s="1">
        <v>1291</v>
      </c>
    </row>
    <row r="258" spans="1:11" x14ac:dyDescent="0.3">
      <c r="A258" s="1" t="s">
        <v>42</v>
      </c>
      <c r="B258" s="1" t="s">
        <v>25</v>
      </c>
      <c r="C258" s="1" t="s">
        <v>13</v>
      </c>
      <c r="D258" s="1" t="s">
        <v>14</v>
      </c>
      <c r="E258" s="1">
        <v>16</v>
      </c>
      <c r="F258" s="1">
        <v>219</v>
      </c>
      <c r="G258" s="1">
        <v>7</v>
      </c>
      <c r="H258" s="2">
        <v>46138</v>
      </c>
      <c r="I258" s="2">
        <v>46140</v>
      </c>
      <c r="J258" s="1" t="s">
        <v>20</v>
      </c>
      <c r="K258" s="1">
        <v>1144</v>
      </c>
    </row>
    <row r="259" spans="1:11" x14ac:dyDescent="0.3">
      <c r="A259" s="1" t="s">
        <v>42</v>
      </c>
      <c r="B259" s="1" t="s">
        <v>25</v>
      </c>
      <c r="C259" s="1" t="s">
        <v>18</v>
      </c>
      <c r="D259" s="1" t="s">
        <v>28</v>
      </c>
      <c r="E259" s="1">
        <v>19</v>
      </c>
      <c r="F259" s="1">
        <v>13832</v>
      </c>
      <c r="G259" s="1">
        <v>0</v>
      </c>
      <c r="H259" s="2">
        <v>46140</v>
      </c>
      <c r="I259" s="2">
        <v>46145</v>
      </c>
      <c r="J259" s="1" t="s">
        <v>51</v>
      </c>
      <c r="K259" s="1">
        <v>1214</v>
      </c>
    </row>
    <row r="260" spans="1:11" x14ac:dyDescent="0.3">
      <c r="A260" s="1" t="s">
        <v>32</v>
      </c>
      <c r="B260" s="1" t="s">
        <v>22</v>
      </c>
      <c r="C260" s="1" t="s">
        <v>18</v>
      </c>
      <c r="D260" s="1" t="s">
        <v>19</v>
      </c>
      <c r="E260" s="1">
        <v>16</v>
      </c>
      <c r="F260" s="1">
        <v>6910</v>
      </c>
      <c r="G260" s="1">
        <v>15</v>
      </c>
      <c r="H260" s="2">
        <v>46140</v>
      </c>
      <c r="I260" s="2">
        <v>46142</v>
      </c>
      <c r="J260" s="1" t="s">
        <v>29</v>
      </c>
      <c r="K260" s="1">
        <v>1346</v>
      </c>
    </row>
    <row r="261" spans="1:11" x14ac:dyDescent="0.3">
      <c r="A261" s="1" t="s">
        <v>27</v>
      </c>
      <c r="B261" s="1" t="s">
        <v>22</v>
      </c>
      <c r="C261" s="1" t="s">
        <v>34</v>
      </c>
      <c r="D261" s="1" t="s">
        <v>61</v>
      </c>
      <c r="E261" s="1">
        <v>9</v>
      </c>
      <c r="F261" s="1">
        <v>37361</v>
      </c>
      <c r="G261" s="1">
        <v>10</v>
      </c>
      <c r="H261" s="2">
        <v>46141</v>
      </c>
      <c r="I261" s="2">
        <v>46142</v>
      </c>
      <c r="J261" s="1" t="s">
        <v>24</v>
      </c>
      <c r="K261" s="1">
        <v>1101</v>
      </c>
    </row>
    <row r="262" spans="1:11" x14ac:dyDescent="0.3">
      <c r="A262" s="1" t="s">
        <v>27</v>
      </c>
      <c r="B262" s="1" t="s">
        <v>12</v>
      </c>
      <c r="C262" s="1" t="s">
        <v>18</v>
      </c>
      <c r="D262" s="1" t="s">
        <v>23</v>
      </c>
      <c r="E262" s="1">
        <v>14</v>
      </c>
      <c r="F262" s="1">
        <v>9081</v>
      </c>
      <c r="G262" s="1">
        <v>15</v>
      </c>
      <c r="H262" s="2">
        <v>46141</v>
      </c>
      <c r="I262" s="2">
        <v>46146</v>
      </c>
      <c r="J262" s="1" t="s">
        <v>15</v>
      </c>
      <c r="K262" s="1">
        <v>1322</v>
      </c>
    </row>
    <row r="263" spans="1:11" x14ac:dyDescent="0.3">
      <c r="A263" s="1" t="s">
        <v>42</v>
      </c>
      <c r="B263" s="1" t="s">
        <v>17</v>
      </c>
      <c r="C263" s="1" t="s">
        <v>18</v>
      </c>
      <c r="D263" s="1" t="s">
        <v>23</v>
      </c>
      <c r="E263" s="1">
        <v>2</v>
      </c>
      <c r="F263" s="1">
        <v>1822</v>
      </c>
      <c r="G263" s="1">
        <v>5</v>
      </c>
      <c r="H263" s="2">
        <v>46141</v>
      </c>
      <c r="I263" s="2">
        <v>46145</v>
      </c>
      <c r="J263" s="1" t="s">
        <v>20</v>
      </c>
      <c r="K263" s="1">
        <v>1361</v>
      </c>
    </row>
    <row r="264" spans="1:11" x14ac:dyDescent="0.3">
      <c r="A264" s="1" t="s">
        <v>52</v>
      </c>
      <c r="B264" s="1" t="s">
        <v>22</v>
      </c>
      <c r="C264" s="1" t="s">
        <v>13</v>
      </c>
      <c r="D264" s="1" t="s">
        <v>50</v>
      </c>
      <c r="E264" s="1">
        <v>18</v>
      </c>
      <c r="F264" s="1">
        <v>447</v>
      </c>
      <c r="G264" s="1">
        <v>15</v>
      </c>
      <c r="H264" s="2">
        <v>46141</v>
      </c>
      <c r="I264" s="2">
        <v>46149</v>
      </c>
      <c r="J264" s="1" t="s">
        <v>24</v>
      </c>
      <c r="K264" s="1">
        <v>1254</v>
      </c>
    </row>
    <row r="265" spans="1:11" x14ac:dyDescent="0.3">
      <c r="A265" s="1" t="s">
        <v>59</v>
      </c>
      <c r="B265" s="1" t="s">
        <v>22</v>
      </c>
      <c r="C265" s="1" t="s">
        <v>34</v>
      </c>
      <c r="D265" s="1" t="s">
        <v>39</v>
      </c>
      <c r="E265" s="1">
        <v>7</v>
      </c>
      <c r="F265" s="1">
        <v>53986</v>
      </c>
      <c r="G265" s="1">
        <v>10</v>
      </c>
      <c r="H265" s="2">
        <v>46142</v>
      </c>
      <c r="I265" s="2">
        <v>46147</v>
      </c>
      <c r="J265" s="1" t="s">
        <v>51</v>
      </c>
      <c r="K265" s="1">
        <v>1160</v>
      </c>
    </row>
    <row r="266" spans="1:11" x14ac:dyDescent="0.3">
      <c r="A266" s="1" t="s">
        <v>55</v>
      </c>
      <c r="B266" s="1" t="s">
        <v>33</v>
      </c>
      <c r="C266" s="1" t="s">
        <v>18</v>
      </c>
      <c r="D266" s="1" t="s">
        <v>23</v>
      </c>
      <c r="E266" s="1">
        <v>2</v>
      </c>
      <c r="F266" s="1">
        <v>5475</v>
      </c>
      <c r="G266" s="1">
        <v>2</v>
      </c>
      <c r="H266" s="2">
        <v>46142</v>
      </c>
      <c r="I266" s="2">
        <v>46146</v>
      </c>
      <c r="J266" s="1" t="s">
        <v>29</v>
      </c>
      <c r="K266" s="1">
        <v>1240</v>
      </c>
    </row>
    <row r="267" spans="1:11" x14ac:dyDescent="0.3">
      <c r="A267" s="1" t="s">
        <v>32</v>
      </c>
      <c r="B267" s="1" t="s">
        <v>25</v>
      </c>
      <c r="C267" s="1" t="s">
        <v>13</v>
      </c>
      <c r="D267" s="1" t="s">
        <v>14</v>
      </c>
      <c r="E267" s="1">
        <v>6</v>
      </c>
      <c r="F267" s="1">
        <v>302</v>
      </c>
      <c r="G267" s="1">
        <v>5</v>
      </c>
      <c r="H267" s="2">
        <v>46142</v>
      </c>
      <c r="I267" s="2">
        <v>46148</v>
      </c>
      <c r="J267" s="1" t="s">
        <v>20</v>
      </c>
      <c r="K267" s="1">
        <v>1339</v>
      </c>
    </row>
    <row r="268" spans="1:11" x14ac:dyDescent="0.3">
      <c r="A268" s="1" t="s">
        <v>42</v>
      </c>
      <c r="B268" s="1" t="s">
        <v>12</v>
      </c>
      <c r="C268" s="1" t="s">
        <v>18</v>
      </c>
      <c r="D268" s="1" t="s">
        <v>56</v>
      </c>
      <c r="E268" s="1">
        <v>10</v>
      </c>
      <c r="F268" s="1">
        <v>5323</v>
      </c>
      <c r="G268" s="1">
        <v>7</v>
      </c>
      <c r="H268" s="2">
        <v>46143</v>
      </c>
      <c r="I268" s="2">
        <v>46153</v>
      </c>
      <c r="J268" s="1" t="s">
        <v>24</v>
      </c>
      <c r="K268" s="1">
        <v>1150</v>
      </c>
    </row>
    <row r="269" spans="1:11" x14ac:dyDescent="0.3">
      <c r="A269" s="1" t="s">
        <v>55</v>
      </c>
      <c r="B269" s="1" t="s">
        <v>38</v>
      </c>
      <c r="C269" s="1" t="s">
        <v>13</v>
      </c>
      <c r="D269" s="1" t="s">
        <v>14</v>
      </c>
      <c r="E269" s="1">
        <v>1</v>
      </c>
      <c r="F269" s="1">
        <v>134</v>
      </c>
      <c r="G269" s="1">
        <v>10</v>
      </c>
      <c r="H269" s="2">
        <v>46143</v>
      </c>
      <c r="I269" s="2">
        <v>46151</v>
      </c>
      <c r="J269" s="1" t="s">
        <v>51</v>
      </c>
      <c r="K269" s="1">
        <v>1218</v>
      </c>
    </row>
    <row r="270" spans="1:11" x14ac:dyDescent="0.3">
      <c r="A270" s="1" t="s">
        <v>48</v>
      </c>
      <c r="B270" s="1" t="s">
        <v>43</v>
      </c>
      <c r="C270" s="1" t="s">
        <v>13</v>
      </c>
      <c r="D270" s="1" t="s">
        <v>14</v>
      </c>
      <c r="E270" s="1">
        <v>3</v>
      </c>
      <c r="F270" s="1">
        <v>484</v>
      </c>
      <c r="G270" s="1">
        <v>2</v>
      </c>
      <c r="H270" s="2">
        <v>46144</v>
      </c>
      <c r="I270" s="2">
        <v>46148</v>
      </c>
      <c r="J270" s="1" t="s">
        <v>24</v>
      </c>
      <c r="K270" s="1">
        <v>1021</v>
      </c>
    </row>
    <row r="271" spans="1:11" x14ac:dyDescent="0.3">
      <c r="A271" s="1" t="s">
        <v>40</v>
      </c>
      <c r="B271" s="1" t="s">
        <v>31</v>
      </c>
      <c r="C271" s="1" t="s">
        <v>34</v>
      </c>
      <c r="D271" s="1" t="s">
        <v>39</v>
      </c>
      <c r="E271" s="1">
        <v>12</v>
      </c>
      <c r="F271" s="1">
        <v>50517</v>
      </c>
      <c r="G271" s="1">
        <v>15</v>
      </c>
      <c r="H271" s="2">
        <v>46145</v>
      </c>
      <c r="I271" s="2">
        <v>46153</v>
      </c>
      <c r="J271" s="1" t="s">
        <v>29</v>
      </c>
      <c r="K271" s="1">
        <v>1184</v>
      </c>
    </row>
    <row r="272" spans="1:11" x14ac:dyDescent="0.3">
      <c r="A272" s="1" t="s">
        <v>29</v>
      </c>
      <c r="B272" s="1" t="s">
        <v>38</v>
      </c>
      <c r="C272" s="1" t="s">
        <v>13</v>
      </c>
      <c r="D272" s="1" t="s">
        <v>53</v>
      </c>
      <c r="E272" s="1">
        <v>20</v>
      </c>
      <c r="F272" s="1">
        <v>416</v>
      </c>
      <c r="G272" s="1">
        <v>12</v>
      </c>
      <c r="H272" s="2">
        <v>46145</v>
      </c>
      <c r="I272" s="2">
        <v>46146</v>
      </c>
      <c r="J272" s="1" t="s">
        <v>51</v>
      </c>
      <c r="K272" s="1">
        <v>1333</v>
      </c>
    </row>
    <row r="273" spans="1:11" x14ac:dyDescent="0.3">
      <c r="A273" s="1" t="s">
        <v>32</v>
      </c>
      <c r="B273" s="1" t="s">
        <v>38</v>
      </c>
      <c r="C273" s="1" t="s">
        <v>34</v>
      </c>
      <c r="D273" s="1" t="s">
        <v>60</v>
      </c>
      <c r="E273" s="1">
        <v>19</v>
      </c>
      <c r="F273" s="1">
        <v>45307</v>
      </c>
      <c r="G273" s="1">
        <v>12</v>
      </c>
      <c r="H273" s="2">
        <v>46146</v>
      </c>
      <c r="I273" s="2">
        <v>46150</v>
      </c>
      <c r="J273" s="1" t="s">
        <v>24</v>
      </c>
      <c r="K273" s="1">
        <v>1085</v>
      </c>
    </row>
    <row r="274" spans="1:11" x14ac:dyDescent="0.3">
      <c r="A274" s="1" t="s">
        <v>58</v>
      </c>
      <c r="B274" s="1" t="s">
        <v>31</v>
      </c>
      <c r="C274" s="1" t="s">
        <v>34</v>
      </c>
      <c r="D274" s="1" t="s">
        <v>60</v>
      </c>
      <c r="E274" s="1">
        <v>20</v>
      </c>
      <c r="F274" s="1">
        <v>31406</v>
      </c>
      <c r="G274" s="1">
        <v>15</v>
      </c>
      <c r="H274" s="2">
        <v>46146</v>
      </c>
      <c r="I274" s="2">
        <v>46154</v>
      </c>
      <c r="J274" s="1" t="s">
        <v>51</v>
      </c>
      <c r="K274" s="1">
        <v>1305</v>
      </c>
    </row>
    <row r="275" spans="1:11" x14ac:dyDescent="0.3">
      <c r="A275" s="1" t="s">
        <v>11</v>
      </c>
      <c r="B275" s="1" t="s">
        <v>43</v>
      </c>
      <c r="C275" s="1" t="s">
        <v>18</v>
      </c>
      <c r="D275" s="1" t="s">
        <v>23</v>
      </c>
      <c r="E275" s="1">
        <v>19</v>
      </c>
      <c r="F275" s="1">
        <v>6681</v>
      </c>
      <c r="G275" s="1">
        <v>2</v>
      </c>
      <c r="H275" s="2">
        <v>46146</v>
      </c>
      <c r="I275" s="2">
        <v>46150</v>
      </c>
      <c r="J275" s="1" t="s">
        <v>15</v>
      </c>
      <c r="K275" s="1">
        <v>1360</v>
      </c>
    </row>
    <row r="276" spans="1:11" x14ac:dyDescent="0.3">
      <c r="A276" s="1" t="s">
        <v>55</v>
      </c>
      <c r="B276" s="1" t="s">
        <v>43</v>
      </c>
      <c r="C276" s="1" t="s">
        <v>34</v>
      </c>
      <c r="D276" s="1" t="s">
        <v>39</v>
      </c>
      <c r="E276" s="1">
        <v>16</v>
      </c>
      <c r="F276" s="1">
        <v>33162</v>
      </c>
      <c r="G276" s="1">
        <v>7</v>
      </c>
      <c r="H276" s="2">
        <v>46147</v>
      </c>
      <c r="I276" s="2">
        <v>46155</v>
      </c>
      <c r="J276" s="1" t="s">
        <v>29</v>
      </c>
      <c r="K276" s="1">
        <v>1117</v>
      </c>
    </row>
    <row r="277" spans="1:11" x14ac:dyDescent="0.3">
      <c r="A277" s="1" t="s">
        <v>54</v>
      </c>
      <c r="B277" s="1" t="s">
        <v>22</v>
      </c>
      <c r="C277" s="1" t="s">
        <v>34</v>
      </c>
      <c r="D277" s="1" t="s">
        <v>45</v>
      </c>
      <c r="E277" s="1">
        <v>7</v>
      </c>
      <c r="F277" s="1">
        <v>66744</v>
      </c>
      <c r="G277" s="1">
        <v>7</v>
      </c>
      <c r="H277" s="2">
        <v>46148</v>
      </c>
      <c r="I277" s="2">
        <v>46155</v>
      </c>
      <c r="J277" s="1" t="s">
        <v>15</v>
      </c>
      <c r="K277" s="1">
        <v>1063</v>
      </c>
    </row>
    <row r="278" spans="1:11" x14ac:dyDescent="0.3">
      <c r="A278" s="1" t="s">
        <v>57</v>
      </c>
      <c r="B278" s="1" t="s">
        <v>31</v>
      </c>
      <c r="C278" s="1" t="s">
        <v>34</v>
      </c>
      <c r="D278" s="1" t="s">
        <v>61</v>
      </c>
      <c r="E278" s="1">
        <v>10</v>
      </c>
      <c r="F278" s="1">
        <v>29217</v>
      </c>
      <c r="G278" s="1">
        <v>15</v>
      </c>
      <c r="H278" s="2">
        <v>46148</v>
      </c>
      <c r="I278" s="2">
        <v>46150</v>
      </c>
      <c r="J278" s="1" t="s">
        <v>24</v>
      </c>
      <c r="K278" s="1">
        <v>1134</v>
      </c>
    </row>
    <row r="279" spans="1:11" x14ac:dyDescent="0.3">
      <c r="A279" s="1" t="s">
        <v>57</v>
      </c>
      <c r="B279" s="1" t="s">
        <v>22</v>
      </c>
      <c r="C279" s="1" t="s">
        <v>18</v>
      </c>
      <c r="D279" s="1" t="s">
        <v>56</v>
      </c>
      <c r="E279" s="1">
        <v>20</v>
      </c>
      <c r="F279" s="1">
        <v>3274</v>
      </c>
      <c r="G279" s="1">
        <v>2</v>
      </c>
      <c r="H279" s="2">
        <v>46148</v>
      </c>
      <c r="I279" s="2">
        <v>46156</v>
      </c>
      <c r="J279" s="1" t="s">
        <v>24</v>
      </c>
      <c r="K279" s="1">
        <v>1312</v>
      </c>
    </row>
    <row r="280" spans="1:11" x14ac:dyDescent="0.3">
      <c r="A280" s="1" t="s">
        <v>52</v>
      </c>
      <c r="B280" s="1" t="s">
        <v>33</v>
      </c>
      <c r="C280" s="1" t="s">
        <v>18</v>
      </c>
      <c r="D280" s="1" t="s">
        <v>56</v>
      </c>
      <c r="E280" s="1">
        <v>9</v>
      </c>
      <c r="F280" s="1">
        <v>8631</v>
      </c>
      <c r="G280" s="1">
        <v>10</v>
      </c>
      <c r="H280" s="2">
        <v>46149</v>
      </c>
      <c r="I280" s="2">
        <v>46156</v>
      </c>
      <c r="J280" s="1" t="s">
        <v>20</v>
      </c>
      <c r="K280" s="1">
        <v>1191</v>
      </c>
    </row>
    <row r="281" spans="1:11" x14ac:dyDescent="0.3">
      <c r="A281" s="1" t="s">
        <v>59</v>
      </c>
      <c r="B281" s="1" t="s">
        <v>43</v>
      </c>
      <c r="C281" s="1" t="s">
        <v>13</v>
      </c>
      <c r="D281" s="1" t="s">
        <v>50</v>
      </c>
      <c r="E281" s="1">
        <v>9</v>
      </c>
      <c r="F281" s="1">
        <v>303</v>
      </c>
      <c r="G281" s="1">
        <v>10</v>
      </c>
      <c r="H281" s="2">
        <v>46149</v>
      </c>
      <c r="I281" s="2">
        <v>46157</v>
      </c>
      <c r="J281" s="1" t="s">
        <v>29</v>
      </c>
      <c r="K281" s="1">
        <v>1115</v>
      </c>
    </row>
    <row r="282" spans="1:11" x14ac:dyDescent="0.3">
      <c r="A282" s="1" t="s">
        <v>48</v>
      </c>
      <c r="B282" s="1" t="s">
        <v>12</v>
      </c>
      <c r="C282" s="1" t="s">
        <v>13</v>
      </c>
      <c r="D282" s="1" t="s">
        <v>53</v>
      </c>
      <c r="E282" s="1">
        <v>15</v>
      </c>
      <c r="F282" s="1">
        <v>449</v>
      </c>
      <c r="G282" s="1">
        <v>5</v>
      </c>
      <c r="H282" s="2">
        <v>46152</v>
      </c>
      <c r="I282" s="2">
        <v>46153</v>
      </c>
      <c r="J282" s="1" t="s">
        <v>15</v>
      </c>
      <c r="K282" s="1">
        <v>1327</v>
      </c>
    </row>
    <row r="283" spans="1:11" x14ac:dyDescent="0.3">
      <c r="A283" s="1" t="s">
        <v>57</v>
      </c>
      <c r="B283" s="1" t="s">
        <v>38</v>
      </c>
      <c r="C283" s="1" t="s">
        <v>34</v>
      </c>
      <c r="D283" s="1" t="s">
        <v>45</v>
      </c>
      <c r="E283" s="1">
        <v>3</v>
      </c>
      <c r="F283" s="1">
        <v>19443</v>
      </c>
      <c r="G283" s="1">
        <v>10</v>
      </c>
      <c r="H283" s="2">
        <v>46153</v>
      </c>
      <c r="I283" s="2">
        <v>46158</v>
      </c>
      <c r="J283" s="1" t="s">
        <v>29</v>
      </c>
      <c r="K283" s="1">
        <v>1046</v>
      </c>
    </row>
    <row r="284" spans="1:11" x14ac:dyDescent="0.3">
      <c r="A284" s="1" t="s">
        <v>58</v>
      </c>
      <c r="B284" s="1" t="s">
        <v>22</v>
      </c>
      <c r="C284" s="1" t="s">
        <v>34</v>
      </c>
      <c r="D284" s="1" t="s">
        <v>60</v>
      </c>
      <c r="E284" s="1">
        <v>16</v>
      </c>
      <c r="F284" s="1">
        <v>15536</v>
      </c>
      <c r="G284" s="1">
        <v>2</v>
      </c>
      <c r="H284" s="2">
        <v>46153</v>
      </c>
      <c r="I284" s="2">
        <v>46156</v>
      </c>
      <c r="J284" s="1" t="s">
        <v>15</v>
      </c>
      <c r="K284" s="1">
        <v>1185</v>
      </c>
    </row>
    <row r="285" spans="1:11" x14ac:dyDescent="0.3">
      <c r="A285" s="1" t="s">
        <v>11</v>
      </c>
      <c r="B285" s="1" t="s">
        <v>22</v>
      </c>
      <c r="C285" s="1" t="s">
        <v>18</v>
      </c>
      <c r="D285" s="1" t="s">
        <v>28</v>
      </c>
      <c r="E285" s="1">
        <v>7</v>
      </c>
      <c r="F285" s="1">
        <v>9581</v>
      </c>
      <c r="G285" s="1">
        <v>5</v>
      </c>
      <c r="H285" s="2">
        <v>46154</v>
      </c>
      <c r="I285" s="2">
        <v>46155</v>
      </c>
      <c r="J285" s="1" t="s">
        <v>20</v>
      </c>
      <c r="K285" s="1">
        <v>1147</v>
      </c>
    </row>
    <row r="286" spans="1:11" x14ac:dyDescent="0.3">
      <c r="A286" s="1" t="s">
        <v>30</v>
      </c>
      <c r="B286" s="1" t="s">
        <v>33</v>
      </c>
      <c r="C286" s="1" t="s">
        <v>18</v>
      </c>
      <c r="D286" s="1" t="s">
        <v>23</v>
      </c>
      <c r="E286" s="1">
        <v>9</v>
      </c>
      <c r="F286" s="1">
        <v>2712</v>
      </c>
      <c r="G286" s="1">
        <v>12</v>
      </c>
      <c r="H286" s="2">
        <v>46154</v>
      </c>
      <c r="I286" s="2">
        <v>46163</v>
      </c>
      <c r="J286" s="1" t="s">
        <v>15</v>
      </c>
      <c r="K286" s="1">
        <v>1222</v>
      </c>
    </row>
    <row r="287" spans="1:11" x14ac:dyDescent="0.3">
      <c r="A287" s="1" t="s">
        <v>29</v>
      </c>
      <c r="B287" s="1" t="s">
        <v>43</v>
      </c>
      <c r="C287" s="1" t="s">
        <v>13</v>
      </c>
      <c r="D287" s="1" t="s">
        <v>50</v>
      </c>
      <c r="E287" s="1">
        <v>7</v>
      </c>
      <c r="F287" s="1">
        <v>439</v>
      </c>
      <c r="G287" s="1">
        <v>2</v>
      </c>
      <c r="H287" s="2">
        <v>46154</v>
      </c>
      <c r="I287" s="2">
        <v>46157</v>
      </c>
      <c r="J287" s="1" t="s">
        <v>15</v>
      </c>
      <c r="K287" s="1">
        <v>1332</v>
      </c>
    </row>
    <row r="288" spans="1:11" x14ac:dyDescent="0.3">
      <c r="A288" s="1" t="s">
        <v>47</v>
      </c>
      <c r="B288" s="1" t="s">
        <v>17</v>
      </c>
      <c r="C288" s="1" t="s">
        <v>34</v>
      </c>
      <c r="D288" s="1" t="s">
        <v>39</v>
      </c>
      <c r="E288" s="1">
        <v>6</v>
      </c>
      <c r="F288" s="1">
        <v>10400</v>
      </c>
      <c r="G288" s="1">
        <v>2</v>
      </c>
      <c r="H288" s="2">
        <v>46155</v>
      </c>
      <c r="I288" s="2">
        <v>46158</v>
      </c>
      <c r="J288" s="1" t="s">
        <v>15</v>
      </c>
      <c r="K288" s="1">
        <v>1179</v>
      </c>
    </row>
    <row r="289" spans="1:11" x14ac:dyDescent="0.3">
      <c r="A289" s="1" t="s">
        <v>48</v>
      </c>
      <c r="B289" s="1" t="s">
        <v>22</v>
      </c>
      <c r="C289" s="1" t="s">
        <v>34</v>
      </c>
      <c r="D289" s="1" t="s">
        <v>35</v>
      </c>
      <c r="E289" s="1">
        <v>20</v>
      </c>
      <c r="F289" s="1">
        <v>3172</v>
      </c>
      <c r="G289" s="1">
        <v>5</v>
      </c>
      <c r="H289" s="2">
        <v>46155</v>
      </c>
      <c r="I289" s="2">
        <v>46159</v>
      </c>
      <c r="J289" s="1" t="s">
        <v>20</v>
      </c>
      <c r="K289" s="1">
        <v>1196</v>
      </c>
    </row>
    <row r="290" spans="1:11" x14ac:dyDescent="0.3">
      <c r="A290" s="1" t="s">
        <v>29</v>
      </c>
      <c r="B290" s="1" t="s">
        <v>43</v>
      </c>
      <c r="C290" s="1" t="s">
        <v>13</v>
      </c>
      <c r="D290" s="1" t="s">
        <v>50</v>
      </c>
      <c r="E290" s="1">
        <v>4</v>
      </c>
      <c r="F290" s="1">
        <v>264</v>
      </c>
      <c r="G290" s="1">
        <v>0</v>
      </c>
      <c r="H290" s="2">
        <v>46155</v>
      </c>
      <c r="I290" s="2">
        <v>46161</v>
      </c>
      <c r="J290" s="1" t="s">
        <v>51</v>
      </c>
      <c r="K290" s="1">
        <v>1027</v>
      </c>
    </row>
    <row r="291" spans="1:11" x14ac:dyDescent="0.3">
      <c r="A291" s="1" t="s">
        <v>30</v>
      </c>
      <c r="B291" s="1" t="s">
        <v>17</v>
      </c>
      <c r="C291" s="1" t="s">
        <v>13</v>
      </c>
      <c r="D291" s="1" t="s">
        <v>53</v>
      </c>
      <c r="E291" s="1">
        <v>18</v>
      </c>
      <c r="F291" s="1">
        <v>240</v>
      </c>
      <c r="G291" s="1">
        <v>10</v>
      </c>
      <c r="H291" s="2">
        <v>46155</v>
      </c>
      <c r="I291" s="2">
        <v>46156</v>
      </c>
      <c r="J291" s="1" t="s">
        <v>24</v>
      </c>
      <c r="K291" s="1">
        <v>1344</v>
      </c>
    </row>
    <row r="292" spans="1:11" x14ac:dyDescent="0.3">
      <c r="A292" s="1" t="s">
        <v>57</v>
      </c>
      <c r="B292" s="1" t="s">
        <v>25</v>
      </c>
      <c r="C292" s="1" t="s">
        <v>13</v>
      </c>
      <c r="D292" s="1" t="s">
        <v>50</v>
      </c>
      <c r="E292" s="1">
        <v>17</v>
      </c>
      <c r="F292" s="1">
        <v>147</v>
      </c>
      <c r="G292" s="1">
        <v>12</v>
      </c>
      <c r="H292" s="2">
        <v>46155</v>
      </c>
      <c r="I292" s="2">
        <v>46160</v>
      </c>
      <c r="J292" s="1" t="s">
        <v>20</v>
      </c>
      <c r="K292" s="1">
        <v>1171</v>
      </c>
    </row>
    <row r="293" spans="1:11" x14ac:dyDescent="0.3">
      <c r="A293" s="1" t="s">
        <v>52</v>
      </c>
      <c r="B293" s="1" t="s">
        <v>38</v>
      </c>
      <c r="C293" s="1" t="s">
        <v>18</v>
      </c>
      <c r="D293" s="1" t="s">
        <v>28</v>
      </c>
      <c r="E293" s="1">
        <v>16</v>
      </c>
      <c r="F293" s="1">
        <v>11935</v>
      </c>
      <c r="G293" s="1">
        <v>12</v>
      </c>
      <c r="H293" s="2">
        <v>46157</v>
      </c>
      <c r="I293" s="2">
        <v>46162</v>
      </c>
      <c r="J293" s="1" t="s">
        <v>15</v>
      </c>
      <c r="K293" s="1">
        <v>1295</v>
      </c>
    </row>
    <row r="294" spans="1:11" x14ac:dyDescent="0.3">
      <c r="A294" s="1" t="s">
        <v>54</v>
      </c>
      <c r="B294" s="1" t="s">
        <v>25</v>
      </c>
      <c r="C294" s="1" t="s">
        <v>13</v>
      </c>
      <c r="D294" s="1" t="s">
        <v>53</v>
      </c>
      <c r="E294" s="1">
        <v>1</v>
      </c>
      <c r="F294" s="1">
        <v>371</v>
      </c>
      <c r="G294" s="1">
        <v>5</v>
      </c>
      <c r="H294" s="2">
        <v>46158</v>
      </c>
      <c r="I294" s="2">
        <v>46168</v>
      </c>
      <c r="J294" s="1" t="s">
        <v>29</v>
      </c>
      <c r="K294" s="1">
        <v>1367</v>
      </c>
    </row>
    <row r="295" spans="1:11" x14ac:dyDescent="0.3">
      <c r="A295" s="1" t="s">
        <v>59</v>
      </c>
      <c r="B295" s="1" t="s">
        <v>33</v>
      </c>
      <c r="C295" s="1" t="s">
        <v>34</v>
      </c>
      <c r="D295" s="1" t="s">
        <v>41</v>
      </c>
      <c r="E295" s="1">
        <v>7</v>
      </c>
      <c r="F295" s="1">
        <v>67339</v>
      </c>
      <c r="G295" s="1">
        <v>5</v>
      </c>
      <c r="H295" s="2">
        <v>46159</v>
      </c>
      <c r="I295" s="2">
        <v>46169</v>
      </c>
      <c r="J295" s="1" t="s">
        <v>51</v>
      </c>
      <c r="K295" s="1">
        <v>1317</v>
      </c>
    </row>
    <row r="296" spans="1:11" x14ac:dyDescent="0.3">
      <c r="A296" s="1" t="s">
        <v>55</v>
      </c>
      <c r="B296" s="1" t="s">
        <v>12</v>
      </c>
      <c r="C296" s="1" t="s">
        <v>13</v>
      </c>
      <c r="D296" s="1" t="s">
        <v>14</v>
      </c>
      <c r="E296" s="1">
        <v>17</v>
      </c>
      <c r="F296" s="1">
        <v>172</v>
      </c>
      <c r="G296" s="1">
        <v>10</v>
      </c>
      <c r="H296" s="2">
        <v>46159</v>
      </c>
      <c r="I296" s="2">
        <v>46165</v>
      </c>
      <c r="J296" s="1" t="s">
        <v>20</v>
      </c>
      <c r="K296" s="1">
        <v>1052</v>
      </c>
    </row>
    <row r="297" spans="1:11" x14ac:dyDescent="0.3">
      <c r="A297" s="1" t="s">
        <v>29</v>
      </c>
      <c r="B297" s="1" t="s">
        <v>17</v>
      </c>
      <c r="C297" s="1" t="s">
        <v>13</v>
      </c>
      <c r="D297" s="1" t="s">
        <v>37</v>
      </c>
      <c r="E297" s="1">
        <v>13</v>
      </c>
      <c r="F297" s="1">
        <v>456</v>
      </c>
      <c r="G297" s="1">
        <v>2</v>
      </c>
      <c r="H297" s="2">
        <v>46160</v>
      </c>
      <c r="I297" s="2">
        <v>46167</v>
      </c>
      <c r="J297" s="1" t="s">
        <v>24</v>
      </c>
      <c r="K297" s="1">
        <v>1143</v>
      </c>
    </row>
    <row r="298" spans="1:11" x14ac:dyDescent="0.3">
      <c r="A298" s="1" t="s">
        <v>48</v>
      </c>
      <c r="B298" s="1" t="s">
        <v>17</v>
      </c>
      <c r="C298" s="1" t="s">
        <v>13</v>
      </c>
      <c r="D298" s="1" t="s">
        <v>37</v>
      </c>
      <c r="E298" s="1">
        <v>20</v>
      </c>
      <c r="F298" s="1">
        <v>251</v>
      </c>
      <c r="G298" s="1">
        <v>5</v>
      </c>
      <c r="H298" s="2">
        <v>46160</v>
      </c>
      <c r="I298" s="2">
        <v>46170</v>
      </c>
      <c r="J298" s="1" t="s">
        <v>29</v>
      </c>
      <c r="K298" s="1">
        <v>1167</v>
      </c>
    </row>
    <row r="299" spans="1:11" x14ac:dyDescent="0.3">
      <c r="A299" s="1" t="s">
        <v>58</v>
      </c>
      <c r="B299" s="1" t="s">
        <v>17</v>
      </c>
      <c r="C299" s="1" t="s">
        <v>13</v>
      </c>
      <c r="D299" s="1" t="s">
        <v>50</v>
      </c>
      <c r="E299" s="1">
        <v>15</v>
      </c>
      <c r="F299" s="1">
        <v>75</v>
      </c>
      <c r="G299" s="1">
        <v>7</v>
      </c>
      <c r="H299" s="2">
        <v>46160</v>
      </c>
      <c r="I299" s="2">
        <v>46164</v>
      </c>
      <c r="J299" s="1" t="s">
        <v>29</v>
      </c>
      <c r="K299" s="1">
        <v>1129</v>
      </c>
    </row>
    <row r="300" spans="1:11" x14ac:dyDescent="0.3">
      <c r="A300" s="1" t="s">
        <v>54</v>
      </c>
      <c r="B300" s="1" t="s">
        <v>25</v>
      </c>
      <c r="C300" s="1" t="s">
        <v>34</v>
      </c>
      <c r="D300" s="1" t="s">
        <v>61</v>
      </c>
      <c r="E300" s="1">
        <v>7</v>
      </c>
      <c r="F300" s="1">
        <v>53243</v>
      </c>
      <c r="G300" s="1">
        <v>12</v>
      </c>
      <c r="H300" s="2">
        <v>46161</v>
      </c>
      <c r="I300" s="2">
        <v>46171</v>
      </c>
      <c r="J300" s="1" t="s">
        <v>15</v>
      </c>
      <c r="K300" s="1">
        <v>1257</v>
      </c>
    </row>
    <row r="301" spans="1:11" x14ac:dyDescent="0.3">
      <c r="A301" s="1" t="s">
        <v>48</v>
      </c>
      <c r="B301" s="1" t="s">
        <v>17</v>
      </c>
      <c r="C301" s="1" t="s">
        <v>34</v>
      </c>
      <c r="D301" s="1" t="s">
        <v>39</v>
      </c>
      <c r="E301" s="1">
        <v>9</v>
      </c>
      <c r="F301" s="1">
        <v>9551</v>
      </c>
      <c r="G301" s="1">
        <v>10</v>
      </c>
      <c r="H301" s="2">
        <v>46161</v>
      </c>
      <c r="I301" s="2">
        <v>46168</v>
      </c>
      <c r="J301" s="1" t="s">
        <v>15</v>
      </c>
      <c r="K301" s="1">
        <v>1372</v>
      </c>
    </row>
    <row r="302" spans="1:11" x14ac:dyDescent="0.3">
      <c r="A302" s="1" t="s">
        <v>32</v>
      </c>
      <c r="B302" s="1" t="s">
        <v>38</v>
      </c>
      <c r="C302" s="1" t="s">
        <v>34</v>
      </c>
      <c r="D302" s="1" t="s">
        <v>41</v>
      </c>
      <c r="E302" s="1">
        <v>12</v>
      </c>
      <c r="F302" s="1">
        <v>1682</v>
      </c>
      <c r="G302" s="1">
        <v>5</v>
      </c>
      <c r="H302" s="2">
        <v>46161</v>
      </c>
      <c r="I302" s="2">
        <v>46165</v>
      </c>
      <c r="J302" s="1" t="s">
        <v>15</v>
      </c>
      <c r="K302" s="1">
        <v>1024</v>
      </c>
    </row>
    <row r="303" spans="1:11" x14ac:dyDescent="0.3">
      <c r="A303" s="1" t="s">
        <v>27</v>
      </c>
      <c r="B303" s="1" t="s">
        <v>43</v>
      </c>
      <c r="C303" s="1" t="s">
        <v>13</v>
      </c>
      <c r="D303" s="1" t="s">
        <v>37</v>
      </c>
      <c r="E303" s="1">
        <v>5</v>
      </c>
      <c r="F303" s="1">
        <v>398</v>
      </c>
      <c r="G303" s="1">
        <v>7</v>
      </c>
      <c r="H303" s="2">
        <v>46161</v>
      </c>
      <c r="I303" s="2">
        <v>46171</v>
      </c>
      <c r="J303" s="1" t="s">
        <v>29</v>
      </c>
      <c r="K303" s="1">
        <v>1248</v>
      </c>
    </row>
    <row r="304" spans="1:11" x14ac:dyDescent="0.3">
      <c r="A304" s="1" t="s">
        <v>11</v>
      </c>
      <c r="B304" s="1" t="s">
        <v>17</v>
      </c>
      <c r="C304" s="1" t="s">
        <v>13</v>
      </c>
      <c r="D304" s="1" t="s">
        <v>37</v>
      </c>
      <c r="E304" s="1">
        <v>14</v>
      </c>
      <c r="F304" s="1">
        <v>88</v>
      </c>
      <c r="G304" s="1">
        <v>12</v>
      </c>
      <c r="H304" s="2">
        <v>46161</v>
      </c>
      <c r="I304" s="2">
        <v>46163</v>
      </c>
      <c r="J304" s="1" t="s">
        <v>15</v>
      </c>
      <c r="K304" s="1">
        <v>1011</v>
      </c>
    </row>
    <row r="305" spans="1:11" x14ac:dyDescent="0.3">
      <c r="A305" s="1" t="s">
        <v>27</v>
      </c>
      <c r="B305" s="1" t="s">
        <v>31</v>
      </c>
      <c r="C305" s="1" t="s">
        <v>18</v>
      </c>
      <c r="D305" s="1" t="s">
        <v>28</v>
      </c>
      <c r="E305" s="1">
        <v>9</v>
      </c>
      <c r="F305" s="1">
        <v>7509</v>
      </c>
      <c r="G305" s="1">
        <v>5</v>
      </c>
      <c r="H305" s="2">
        <v>46162</v>
      </c>
      <c r="I305" s="2">
        <v>46171</v>
      </c>
      <c r="J305" s="1" t="s">
        <v>51</v>
      </c>
      <c r="K305" s="1">
        <v>1386</v>
      </c>
    </row>
    <row r="306" spans="1:11" x14ac:dyDescent="0.3">
      <c r="A306" s="1" t="s">
        <v>21</v>
      </c>
      <c r="B306" s="1" t="s">
        <v>22</v>
      </c>
      <c r="C306" s="1" t="s">
        <v>13</v>
      </c>
      <c r="D306" s="1" t="s">
        <v>14</v>
      </c>
      <c r="E306" s="1">
        <v>19</v>
      </c>
      <c r="F306" s="1">
        <v>149</v>
      </c>
      <c r="G306" s="1">
        <v>7</v>
      </c>
      <c r="H306" s="2">
        <v>46162</v>
      </c>
      <c r="I306" s="2">
        <v>46168</v>
      </c>
      <c r="J306" s="1" t="s">
        <v>24</v>
      </c>
      <c r="K306" s="1">
        <v>1007</v>
      </c>
    </row>
    <row r="307" spans="1:11" x14ac:dyDescent="0.3">
      <c r="A307" s="1" t="s">
        <v>54</v>
      </c>
      <c r="B307" s="1" t="s">
        <v>43</v>
      </c>
      <c r="C307" s="1" t="s">
        <v>34</v>
      </c>
      <c r="D307" s="1" t="s">
        <v>39</v>
      </c>
      <c r="E307" s="1">
        <v>20</v>
      </c>
      <c r="F307" s="1">
        <v>11305</v>
      </c>
      <c r="G307" s="1">
        <v>2</v>
      </c>
      <c r="H307" s="2">
        <v>46163</v>
      </c>
      <c r="I307" s="2">
        <v>46165</v>
      </c>
      <c r="J307" s="1" t="s">
        <v>29</v>
      </c>
      <c r="K307" s="1">
        <v>1032</v>
      </c>
    </row>
    <row r="308" spans="1:11" x14ac:dyDescent="0.3">
      <c r="A308" s="1" t="s">
        <v>57</v>
      </c>
      <c r="B308" s="1" t="s">
        <v>12</v>
      </c>
      <c r="C308" s="1" t="s">
        <v>34</v>
      </c>
      <c r="D308" s="1" t="s">
        <v>35</v>
      </c>
      <c r="E308" s="1">
        <v>9</v>
      </c>
      <c r="F308" s="1">
        <v>8500</v>
      </c>
      <c r="G308" s="1">
        <v>15</v>
      </c>
      <c r="H308" s="2">
        <v>46163</v>
      </c>
      <c r="I308" s="2">
        <v>46172</v>
      </c>
      <c r="J308" s="1" t="s">
        <v>24</v>
      </c>
      <c r="K308" s="1">
        <v>1302</v>
      </c>
    </row>
    <row r="309" spans="1:11" x14ac:dyDescent="0.3">
      <c r="A309" s="1" t="s">
        <v>16</v>
      </c>
      <c r="B309" s="1" t="s">
        <v>25</v>
      </c>
      <c r="C309" s="1" t="s">
        <v>34</v>
      </c>
      <c r="D309" s="1" t="s">
        <v>41</v>
      </c>
      <c r="E309" s="1">
        <v>18</v>
      </c>
      <c r="F309" s="1">
        <v>6360</v>
      </c>
      <c r="G309" s="1">
        <v>12</v>
      </c>
      <c r="H309" s="2">
        <v>46163</v>
      </c>
      <c r="I309" s="2">
        <v>46165</v>
      </c>
      <c r="J309" s="1" t="s">
        <v>20</v>
      </c>
      <c r="K309" s="1">
        <v>1249</v>
      </c>
    </row>
    <row r="310" spans="1:11" x14ac:dyDescent="0.3">
      <c r="A310" s="1" t="s">
        <v>55</v>
      </c>
      <c r="B310" s="1" t="s">
        <v>25</v>
      </c>
      <c r="C310" s="1" t="s">
        <v>13</v>
      </c>
      <c r="D310" s="1" t="s">
        <v>53</v>
      </c>
      <c r="E310" s="1">
        <v>7</v>
      </c>
      <c r="F310" s="1">
        <v>244</v>
      </c>
      <c r="G310" s="1">
        <v>2</v>
      </c>
      <c r="H310" s="2">
        <v>46164</v>
      </c>
      <c r="I310" s="2">
        <v>46173</v>
      </c>
      <c r="J310" s="1" t="s">
        <v>24</v>
      </c>
      <c r="K310" s="1">
        <v>1207</v>
      </c>
    </row>
    <row r="311" spans="1:11" x14ac:dyDescent="0.3">
      <c r="A311" s="1" t="s">
        <v>54</v>
      </c>
      <c r="B311" s="1" t="s">
        <v>43</v>
      </c>
      <c r="C311" s="1" t="s">
        <v>13</v>
      </c>
      <c r="D311" s="1" t="s">
        <v>37</v>
      </c>
      <c r="E311" s="1">
        <v>12</v>
      </c>
      <c r="F311" s="1">
        <v>189</v>
      </c>
      <c r="G311" s="1">
        <v>7</v>
      </c>
      <c r="H311" s="2">
        <v>46164</v>
      </c>
      <c r="I311" s="2">
        <v>46169</v>
      </c>
      <c r="J311" s="1" t="s">
        <v>29</v>
      </c>
      <c r="K311" s="1">
        <v>1236</v>
      </c>
    </row>
    <row r="312" spans="1:11" x14ac:dyDescent="0.3">
      <c r="A312" s="1" t="s">
        <v>26</v>
      </c>
      <c r="B312" s="1" t="s">
        <v>17</v>
      </c>
      <c r="C312" s="1" t="s">
        <v>18</v>
      </c>
      <c r="D312" s="1" t="s">
        <v>44</v>
      </c>
      <c r="E312" s="1">
        <v>18</v>
      </c>
      <c r="F312" s="1">
        <v>1830</v>
      </c>
      <c r="G312" s="1">
        <v>10</v>
      </c>
      <c r="H312" s="2">
        <v>46165</v>
      </c>
      <c r="I312" s="2">
        <v>46172</v>
      </c>
      <c r="J312" s="1" t="s">
        <v>15</v>
      </c>
      <c r="K312" s="1">
        <v>1326</v>
      </c>
    </row>
    <row r="313" spans="1:11" x14ac:dyDescent="0.3">
      <c r="A313" s="1" t="s">
        <v>47</v>
      </c>
      <c r="B313" s="1" t="s">
        <v>25</v>
      </c>
      <c r="C313" s="1" t="s">
        <v>13</v>
      </c>
      <c r="D313" s="1" t="s">
        <v>36</v>
      </c>
      <c r="E313" s="1">
        <v>15</v>
      </c>
      <c r="F313" s="1">
        <v>257</v>
      </c>
      <c r="G313" s="1">
        <v>5</v>
      </c>
      <c r="H313" s="2">
        <v>46166</v>
      </c>
      <c r="I313" s="2">
        <v>46173</v>
      </c>
      <c r="J313" s="1" t="s">
        <v>20</v>
      </c>
      <c r="K313" s="1">
        <v>1252</v>
      </c>
    </row>
    <row r="314" spans="1:11" x14ac:dyDescent="0.3">
      <c r="A314" s="1" t="s">
        <v>55</v>
      </c>
      <c r="B314" s="1" t="s">
        <v>33</v>
      </c>
      <c r="C314" s="1" t="s">
        <v>13</v>
      </c>
      <c r="D314" s="1" t="s">
        <v>14</v>
      </c>
      <c r="E314" s="1">
        <v>9</v>
      </c>
      <c r="F314" s="1">
        <v>60</v>
      </c>
      <c r="G314" s="1">
        <v>0</v>
      </c>
      <c r="H314" s="2">
        <v>46166</v>
      </c>
      <c r="I314" s="2">
        <v>46174</v>
      </c>
      <c r="J314" s="1" t="s">
        <v>15</v>
      </c>
      <c r="K314" s="1">
        <v>1206</v>
      </c>
    </row>
    <row r="315" spans="1:11" x14ac:dyDescent="0.3">
      <c r="A315" s="1" t="s">
        <v>47</v>
      </c>
      <c r="B315" s="1" t="s">
        <v>25</v>
      </c>
      <c r="C315" s="1" t="s">
        <v>34</v>
      </c>
      <c r="D315" s="1" t="s">
        <v>41</v>
      </c>
      <c r="E315" s="1">
        <v>18</v>
      </c>
      <c r="F315" s="1">
        <v>587</v>
      </c>
      <c r="G315" s="1">
        <v>2</v>
      </c>
      <c r="H315" s="2">
        <v>46167</v>
      </c>
      <c r="I315" s="2">
        <v>46171</v>
      </c>
      <c r="J315" s="1" t="s">
        <v>20</v>
      </c>
      <c r="K315" s="1">
        <v>1095</v>
      </c>
    </row>
    <row r="316" spans="1:11" x14ac:dyDescent="0.3">
      <c r="A316" s="1" t="s">
        <v>21</v>
      </c>
      <c r="B316" s="1" t="s">
        <v>31</v>
      </c>
      <c r="C316" s="1" t="s">
        <v>18</v>
      </c>
      <c r="D316" s="1" t="s">
        <v>23</v>
      </c>
      <c r="E316" s="1">
        <v>13</v>
      </c>
      <c r="F316" s="1">
        <v>3083</v>
      </c>
      <c r="G316" s="1">
        <v>7</v>
      </c>
      <c r="H316" s="2">
        <v>46168</v>
      </c>
      <c r="I316" s="2">
        <v>46173</v>
      </c>
      <c r="J316" s="1" t="s">
        <v>51</v>
      </c>
      <c r="K316" s="1">
        <v>1131</v>
      </c>
    </row>
    <row r="317" spans="1:11" x14ac:dyDescent="0.3">
      <c r="A317" s="1" t="s">
        <v>47</v>
      </c>
      <c r="B317" s="1" t="s">
        <v>17</v>
      </c>
      <c r="C317" s="1" t="s">
        <v>18</v>
      </c>
      <c r="D317" s="1" t="s">
        <v>19</v>
      </c>
      <c r="E317" s="1">
        <v>9</v>
      </c>
      <c r="F317" s="1">
        <v>1495</v>
      </c>
      <c r="G317" s="1">
        <v>12</v>
      </c>
      <c r="H317" s="2">
        <v>46168</v>
      </c>
      <c r="I317" s="2">
        <v>46173</v>
      </c>
      <c r="J317" s="1" t="s">
        <v>15</v>
      </c>
      <c r="K317" s="1">
        <v>1335</v>
      </c>
    </row>
    <row r="318" spans="1:11" x14ac:dyDescent="0.3">
      <c r="A318" s="1" t="s">
        <v>46</v>
      </c>
      <c r="B318" s="1" t="s">
        <v>17</v>
      </c>
      <c r="C318" s="1" t="s">
        <v>18</v>
      </c>
      <c r="D318" s="1" t="s">
        <v>56</v>
      </c>
      <c r="E318" s="1">
        <v>9</v>
      </c>
      <c r="F318" s="1">
        <v>1340</v>
      </c>
      <c r="G318" s="1">
        <v>2</v>
      </c>
      <c r="H318" s="2">
        <v>46168</v>
      </c>
      <c r="I318" s="2">
        <v>46173</v>
      </c>
      <c r="J318" s="1" t="s">
        <v>15</v>
      </c>
      <c r="K318" s="1">
        <v>1286</v>
      </c>
    </row>
    <row r="319" spans="1:11" x14ac:dyDescent="0.3">
      <c r="A319" s="1" t="s">
        <v>29</v>
      </c>
      <c r="B319" s="1" t="s">
        <v>22</v>
      </c>
      <c r="C319" s="1" t="s">
        <v>18</v>
      </c>
      <c r="D319" s="1" t="s">
        <v>19</v>
      </c>
      <c r="E319" s="1">
        <v>14</v>
      </c>
      <c r="F319" s="1">
        <v>7501</v>
      </c>
      <c r="G319" s="1">
        <v>7</v>
      </c>
      <c r="H319" s="2">
        <v>46169</v>
      </c>
      <c r="I319" s="2">
        <v>46179</v>
      </c>
      <c r="J319" s="1" t="s">
        <v>20</v>
      </c>
      <c r="K319" s="1">
        <v>1177</v>
      </c>
    </row>
    <row r="320" spans="1:11" x14ac:dyDescent="0.3">
      <c r="A320" s="1" t="s">
        <v>11</v>
      </c>
      <c r="B320" s="1" t="s">
        <v>43</v>
      </c>
      <c r="C320" s="1" t="s">
        <v>13</v>
      </c>
      <c r="D320" s="1" t="s">
        <v>50</v>
      </c>
      <c r="E320" s="1">
        <v>4</v>
      </c>
      <c r="F320" s="1">
        <v>38</v>
      </c>
      <c r="G320" s="1">
        <v>12</v>
      </c>
      <c r="H320" s="2">
        <v>46169</v>
      </c>
      <c r="I320" s="2">
        <v>46175</v>
      </c>
      <c r="J320" s="1" t="s">
        <v>29</v>
      </c>
      <c r="K320" s="1">
        <v>1318</v>
      </c>
    </row>
    <row r="321" spans="1:11" x14ac:dyDescent="0.3">
      <c r="A321" s="1" t="s">
        <v>26</v>
      </c>
      <c r="B321" s="1" t="s">
        <v>38</v>
      </c>
      <c r="C321" s="1" t="s">
        <v>34</v>
      </c>
      <c r="D321" s="1" t="s">
        <v>41</v>
      </c>
      <c r="E321" s="1">
        <v>19</v>
      </c>
      <c r="F321" s="1">
        <v>48956</v>
      </c>
      <c r="G321" s="1">
        <v>12</v>
      </c>
      <c r="H321" s="2">
        <v>46170</v>
      </c>
      <c r="I321" s="2">
        <v>46177</v>
      </c>
      <c r="J321" s="1" t="s">
        <v>51</v>
      </c>
      <c r="K321" s="1">
        <v>1079</v>
      </c>
    </row>
    <row r="322" spans="1:11" x14ac:dyDescent="0.3">
      <c r="A322" s="1" t="s">
        <v>26</v>
      </c>
      <c r="B322" s="1" t="s">
        <v>33</v>
      </c>
      <c r="C322" s="1" t="s">
        <v>18</v>
      </c>
      <c r="D322" s="1" t="s">
        <v>28</v>
      </c>
      <c r="E322" s="1">
        <v>15</v>
      </c>
      <c r="F322" s="1">
        <v>11694</v>
      </c>
      <c r="G322" s="1">
        <v>12</v>
      </c>
      <c r="H322" s="2">
        <v>46170</v>
      </c>
      <c r="I322" s="2">
        <v>46179</v>
      </c>
      <c r="J322" s="1" t="s">
        <v>29</v>
      </c>
      <c r="K322" s="1">
        <v>1127</v>
      </c>
    </row>
    <row r="323" spans="1:11" x14ac:dyDescent="0.3">
      <c r="A323" s="1" t="s">
        <v>58</v>
      </c>
      <c r="B323" s="1" t="s">
        <v>43</v>
      </c>
      <c r="C323" s="1" t="s">
        <v>34</v>
      </c>
      <c r="D323" s="1" t="s">
        <v>39</v>
      </c>
      <c r="E323" s="1">
        <v>12</v>
      </c>
      <c r="F323" s="1">
        <v>10668</v>
      </c>
      <c r="G323" s="1">
        <v>0</v>
      </c>
      <c r="H323" s="2">
        <v>46170</v>
      </c>
      <c r="I323" s="2">
        <v>46176</v>
      </c>
      <c r="J323" s="1" t="s">
        <v>15</v>
      </c>
      <c r="K323" s="1">
        <v>1398</v>
      </c>
    </row>
    <row r="324" spans="1:11" x14ac:dyDescent="0.3">
      <c r="A324" s="1" t="s">
        <v>11</v>
      </c>
      <c r="B324" s="1" t="s">
        <v>25</v>
      </c>
      <c r="C324" s="1" t="s">
        <v>18</v>
      </c>
      <c r="D324" s="1" t="s">
        <v>56</v>
      </c>
      <c r="E324" s="1">
        <v>2</v>
      </c>
      <c r="F324" s="1">
        <v>8861</v>
      </c>
      <c r="G324" s="1">
        <v>2</v>
      </c>
      <c r="H324" s="2">
        <v>46170</v>
      </c>
      <c r="I324" s="2">
        <v>46174</v>
      </c>
      <c r="J324" s="1" t="s">
        <v>24</v>
      </c>
      <c r="K324" s="1">
        <v>1220</v>
      </c>
    </row>
    <row r="325" spans="1:11" x14ac:dyDescent="0.3">
      <c r="A325" s="1" t="s">
        <v>49</v>
      </c>
      <c r="B325" s="1" t="s">
        <v>38</v>
      </c>
      <c r="C325" s="1" t="s">
        <v>18</v>
      </c>
      <c r="D325" s="1" t="s">
        <v>28</v>
      </c>
      <c r="E325" s="1">
        <v>10</v>
      </c>
      <c r="F325" s="1">
        <v>7531</v>
      </c>
      <c r="G325" s="1">
        <v>2</v>
      </c>
      <c r="H325" s="2">
        <v>46171</v>
      </c>
      <c r="I325" s="2">
        <v>46178</v>
      </c>
      <c r="J325" s="1" t="s">
        <v>24</v>
      </c>
      <c r="K325" s="1">
        <v>1040</v>
      </c>
    </row>
    <row r="326" spans="1:11" x14ac:dyDescent="0.3">
      <c r="A326" s="1" t="s">
        <v>11</v>
      </c>
      <c r="B326" s="1" t="s">
        <v>31</v>
      </c>
      <c r="C326" s="1" t="s">
        <v>13</v>
      </c>
      <c r="D326" s="1" t="s">
        <v>37</v>
      </c>
      <c r="E326" s="1">
        <v>13</v>
      </c>
      <c r="F326" s="1">
        <v>387</v>
      </c>
      <c r="G326" s="1">
        <v>7</v>
      </c>
      <c r="H326" s="2">
        <v>46171</v>
      </c>
      <c r="I326" s="2">
        <v>46176</v>
      </c>
      <c r="J326" s="1" t="s">
        <v>24</v>
      </c>
      <c r="K326" s="1">
        <v>1087</v>
      </c>
    </row>
    <row r="327" spans="1:11" x14ac:dyDescent="0.3">
      <c r="A327" s="1" t="s">
        <v>26</v>
      </c>
      <c r="B327" s="1" t="s">
        <v>17</v>
      </c>
      <c r="C327" s="1" t="s">
        <v>13</v>
      </c>
      <c r="D327" s="1" t="s">
        <v>14</v>
      </c>
      <c r="E327" s="1">
        <v>18</v>
      </c>
      <c r="F327" s="1">
        <v>70</v>
      </c>
      <c r="G327" s="1">
        <v>0</v>
      </c>
      <c r="H327" s="2">
        <v>46171</v>
      </c>
      <c r="I327" s="2">
        <v>46179</v>
      </c>
      <c r="J327" s="1" t="s">
        <v>24</v>
      </c>
      <c r="K327" s="1">
        <v>1005</v>
      </c>
    </row>
    <row r="328" spans="1:11" x14ac:dyDescent="0.3">
      <c r="A328" s="1" t="s">
        <v>30</v>
      </c>
      <c r="B328" s="1" t="s">
        <v>22</v>
      </c>
      <c r="C328" s="1" t="s">
        <v>13</v>
      </c>
      <c r="D328" s="1" t="s">
        <v>50</v>
      </c>
      <c r="E328" s="1">
        <v>18</v>
      </c>
      <c r="F328" s="1">
        <v>60</v>
      </c>
      <c r="G328" s="1">
        <v>0</v>
      </c>
      <c r="H328" s="2">
        <v>46171</v>
      </c>
      <c r="I328" s="2">
        <v>46172</v>
      </c>
      <c r="J328" s="1" t="s">
        <v>29</v>
      </c>
      <c r="K328" s="1">
        <v>1217</v>
      </c>
    </row>
    <row r="329" spans="1:11" x14ac:dyDescent="0.3">
      <c r="A329" s="1" t="s">
        <v>42</v>
      </c>
      <c r="B329" s="1" t="s">
        <v>22</v>
      </c>
      <c r="C329" s="1" t="s">
        <v>34</v>
      </c>
      <c r="D329" s="1" t="s">
        <v>45</v>
      </c>
      <c r="E329" s="1">
        <v>10</v>
      </c>
      <c r="F329" s="1">
        <v>38771</v>
      </c>
      <c r="G329" s="1">
        <v>15</v>
      </c>
      <c r="H329" s="2">
        <v>46172</v>
      </c>
      <c r="I329" s="2">
        <v>46182</v>
      </c>
      <c r="J329" s="1" t="s">
        <v>15</v>
      </c>
      <c r="K329" s="1">
        <v>1259</v>
      </c>
    </row>
    <row r="330" spans="1:11" x14ac:dyDescent="0.3">
      <c r="A330" s="1" t="s">
        <v>46</v>
      </c>
      <c r="B330" s="1" t="s">
        <v>25</v>
      </c>
      <c r="C330" s="1" t="s">
        <v>34</v>
      </c>
      <c r="D330" s="1" t="s">
        <v>39</v>
      </c>
      <c r="E330" s="1">
        <v>12</v>
      </c>
      <c r="F330" s="1">
        <v>20618</v>
      </c>
      <c r="G330" s="1">
        <v>12</v>
      </c>
      <c r="H330" s="2">
        <v>46172</v>
      </c>
      <c r="I330" s="2">
        <v>46174</v>
      </c>
      <c r="J330" s="1" t="s">
        <v>20</v>
      </c>
      <c r="K330" s="1">
        <v>1273</v>
      </c>
    </row>
    <row r="331" spans="1:11" x14ac:dyDescent="0.3">
      <c r="A331" s="1" t="s">
        <v>57</v>
      </c>
      <c r="B331" s="1" t="s">
        <v>25</v>
      </c>
      <c r="C331" s="1" t="s">
        <v>13</v>
      </c>
      <c r="D331" s="1" t="s">
        <v>50</v>
      </c>
      <c r="E331" s="1">
        <v>15</v>
      </c>
      <c r="F331" s="1">
        <v>267</v>
      </c>
      <c r="G331" s="1">
        <v>15</v>
      </c>
      <c r="H331" s="2">
        <v>46172</v>
      </c>
      <c r="I331" s="2">
        <v>46177</v>
      </c>
      <c r="J331" s="1" t="s">
        <v>29</v>
      </c>
      <c r="K331" s="1">
        <v>1235</v>
      </c>
    </row>
    <row r="332" spans="1:11" x14ac:dyDescent="0.3">
      <c r="A332" s="1" t="s">
        <v>48</v>
      </c>
      <c r="B332" s="1" t="s">
        <v>38</v>
      </c>
      <c r="C332" s="1" t="s">
        <v>18</v>
      </c>
      <c r="D332" s="1" t="s">
        <v>19</v>
      </c>
      <c r="E332" s="1">
        <v>4</v>
      </c>
      <c r="F332" s="1">
        <v>14731</v>
      </c>
      <c r="G332" s="1">
        <v>2</v>
      </c>
      <c r="H332" s="2">
        <v>46173</v>
      </c>
      <c r="I332" s="2">
        <v>46176</v>
      </c>
      <c r="J332" s="1" t="s">
        <v>20</v>
      </c>
      <c r="K332" s="1">
        <v>1044</v>
      </c>
    </row>
    <row r="333" spans="1:11" x14ac:dyDescent="0.3">
      <c r="A333" s="1" t="s">
        <v>26</v>
      </c>
      <c r="B333" s="1" t="s">
        <v>12</v>
      </c>
      <c r="C333" s="1" t="s">
        <v>13</v>
      </c>
      <c r="D333" s="1" t="s">
        <v>50</v>
      </c>
      <c r="E333" s="1">
        <v>10</v>
      </c>
      <c r="F333" s="1">
        <v>336</v>
      </c>
      <c r="G333" s="1">
        <v>7</v>
      </c>
      <c r="H333" s="2">
        <v>46173</v>
      </c>
      <c r="I333" s="2">
        <v>46175</v>
      </c>
      <c r="J333" s="1" t="s">
        <v>20</v>
      </c>
      <c r="K333" s="1">
        <v>1247</v>
      </c>
    </row>
    <row r="334" spans="1:11" x14ac:dyDescent="0.3">
      <c r="A334" s="1" t="s">
        <v>55</v>
      </c>
      <c r="B334" s="1" t="s">
        <v>12</v>
      </c>
      <c r="C334" s="1" t="s">
        <v>13</v>
      </c>
      <c r="D334" s="1" t="s">
        <v>14</v>
      </c>
      <c r="E334" s="1">
        <v>2</v>
      </c>
      <c r="F334" s="1">
        <v>209</v>
      </c>
      <c r="G334" s="1">
        <v>0</v>
      </c>
      <c r="H334" s="2">
        <v>46173</v>
      </c>
      <c r="I334" s="2">
        <v>46176</v>
      </c>
      <c r="J334" s="1" t="s">
        <v>20</v>
      </c>
      <c r="K334" s="1">
        <v>1311</v>
      </c>
    </row>
    <row r="335" spans="1:11" x14ac:dyDescent="0.3">
      <c r="A335" s="1" t="s">
        <v>59</v>
      </c>
      <c r="B335" s="1" t="s">
        <v>31</v>
      </c>
      <c r="C335" s="1" t="s">
        <v>34</v>
      </c>
      <c r="D335" s="1" t="s">
        <v>39</v>
      </c>
      <c r="E335" s="1">
        <v>14</v>
      </c>
      <c r="F335" s="1">
        <v>32719</v>
      </c>
      <c r="G335" s="1">
        <v>15</v>
      </c>
      <c r="H335" s="2">
        <v>46174</v>
      </c>
      <c r="I335" s="2">
        <v>46179</v>
      </c>
      <c r="J335" s="1" t="s">
        <v>15</v>
      </c>
      <c r="K335" s="1">
        <v>1343</v>
      </c>
    </row>
    <row r="336" spans="1:11" x14ac:dyDescent="0.3">
      <c r="A336" s="1" t="s">
        <v>16</v>
      </c>
      <c r="B336" s="1" t="s">
        <v>17</v>
      </c>
      <c r="C336" s="1" t="s">
        <v>18</v>
      </c>
      <c r="D336" s="1" t="s">
        <v>19</v>
      </c>
      <c r="E336" s="1">
        <v>7</v>
      </c>
      <c r="F336" s="1">
        <v>8448</v>
      </c>
      <c r="G336" s="1">
        <v>12</v>
      </c>
      <c r="H336" s="2">
        <v>46174</v>
      </c>
      <c r="I336" s="2">
        <v>46179</v>
      </c>
      <c r="J336" s="1" t="s">
        <v>20</v>
      </c>
      <c r="K336" s="1">
        <v>1002</v>
      </c>
    </row>
    <row r="337" spans="1:11" x14ac:dyDescent="0.3">
      <c r="A337" s="1" t="s">
        <v>16</v>
      </c>
      <c r="B337" s="1" t="s">
        <v>22</v>
      </c>
      <c r="C337" s="1" t="s">
        <v>18</v>
      </c>
      <c r="D337" s="1" t="s">
        <v>28</v>
      </c>
      <c r="E337" s="1">
        <v>9</v>
      </c>
      <c r="F337" s="1">
        <v>2231</v>
      </c>
      <c r="G337" s="1">
        <v>15</v>
      </c>
      <c r="H337" s="2">
        <v>46174</v>
      </c>
      <c r="I337" s="2">
        <v>46183</v>
      </c>
      <c r="J337" s="1" t="s">
        <v>15</v>
      </c>
      <c r="K337" s="1">
        <v>1262</v>
      </c>
    </row>
    <row r="338" spans="1:11" x14ac:dyDescent="0.3">
      <c r="A338" s="1" t="s">
        <v>42</v>
      </c>
      <c r="B338" s="1" t="s">
        <v>43</v>
      </c>
      <c r="C338" s="1" t="s">
        <v>18</v>
      </c>
      <c r="D338" s="1" t="s">
        <v>44</v>
      </c>
      <c r="E338" s="1">
        <v>11</v>
      </c>
      <c r="F338" s="1">
        <v>14511</v>
      </c>
      <c r="G338" s="1">
        <v>2</v>
      </c>
      <c r="H338" s="2">
        <v>46175</v>
      </c>
      <c r="I338" s="2">
        <v>46185</v>
      </c>
      <c r="J338" s="1" t="s">
        <v>20</v>
      </c>
      <c r="K338" s="1">
        <v>1015</v>
      </c>
    </row>
    <row r="339" spans="1:11" x14ac:dyDescent="0.3">
      <c r="A339" s="1" t="s">
        <v>47</v>
      </c>
      <c r="B339" s="1" t="s">
        <v>25</v>
      </c>
      <c r="C339" s="1" t="s">
        <v>18</v>
      </c>
      <c r="D339" s="1" t="s">
        <v>23</v>
      </c>
      <c r="E339" s="1">
        <v>6</v>
      </c>
      <c r="F339" s="1">
        <v>8224</v>
      </c>
      <c r="G339" s="1">
        <v>15</v>
      </c>
      <c r="H339" s="2">
        <v>46175</v>
      </c>
      <c r="I339" s="2">
        <v>46185</v>
      </c>
      <c r="J339" s="1" t="s">
        <v>51</v>
      </c>
      <c r="K339" s="1">
        <v>1093</v>
      </c>
    </row>
    <row r="340" spans="1:11" x14ac:dyDescent="0.3">
      <c r="A340" s="1" t="s">
        <v>21</v>
      </c>
      <c r="B340" s="1" t="s">
        <v>12</v>
      </c>
      <c r="C340" s="1" t="s">
        <v>18</v>
      </c>
      <c r="D340" s="1" t="s">
        <v>19</v>
      </c>
      <c r="E340" s="1">
        <v>18</v>
      </c>
      <c r="F340" s="1">
        <v>7924</v>
      </c>
      <c r="G340" s="1">
        <v>0</v>
      </c>
      <c r="H340" s="2">
        <v>46175</v>
      </c>
      <c r="I340" s="2">
        <v>46181</v>
      </c>
      <c r="J340" s="1" t="s">
        <v>15</v>
      </c>
      <c r="K340" s="1">
        <v>1025</v>
      </c>
    </row>
    <row r="341" spans="1:11" x14ac:dyDescent="0.3">
      <c r="A341" s="1" t="s">
        <v>48</v>
      </c>
      <c r="B341" s="1" t="s">
        <v>17</v>
      </c>
      <c r="C341" s="1" t="s">
        <v>34</v>
      </c>
      <c r="D341" s="1" t="s">
        <v>35</v>
      </c>
      <c r="E341" s="1">
        <v>3</v>
      </c>
      <c r="F341" s="1">
        <v>5962</v>
      </c>
      <c r="G341" s="1">
        <v>7</v>
      </c>
      <c r="H341" s="2">
        <v>46175</v>
      </c>
      <c r="I341" s="2">
        <v>46183</v>
      </c>
      <c r="J341" s="1" t="s">
        <v>15</v>
      </c>
      <c r="K341" s="1">
        <v>1211</v>
      </c>
    </row>
    <row r="342" spans="1:11" x14ac:dyDescent="0.3">
      <c r="A342" s="1" t="s">
        <v>55</v>
      </c>
      <c r="B342" s="1" t="s">
        <v>43</v>
      </c>
      <c r="C342" s="1" t="s">
        <v>34</v>
      </c>
      <c r="D342" s="1" t="s">
        <v>41</v>
      </c>
      <c r="E342" s="1">
        <v>19</v>
      </c>
      <c r="F342" s="1">
        <v>69029</v>
      </c>
      <c r="G342" s="1">
        <v>7</v>
      </c>
      <c r="H342" s="2">
        <v>46176</v>
      </c>
      <c r="I342" s="2">
        <v>46179</v>
      </c>
      <c r="J342" s="1" t="s">
        <v>29</v>
      </c>
      <c r="K342" s="1">
        <v>1245</v>
      </c>
    </row>
    <row r="343" spans="1:11" x14ac:dyDescent="0.3">
      <c r="A343" s="1" t="s">
        <v>57</v>
      </c>
      <c r="B343" s="1" t="s">
        <v>43</v>
      </c>
      <c r="C343" s="1" t="s">
        <v>18</v>
      </c>
      <c r="D343" s="1" t="s">
        <v>44</v>
      </c>
      <c r="E343" s="1">
        <v>12</v>
      </c>
      <c r="F343" s="1">
        <v>3178</v>
      </c>
      <c r="G343" s="1">
        <v>10</v>
      </c>
      <c r="H343" s="2">
        <v>46176</v>
      </c>
      <c r="I343" s="2">
        <v>46177</v>
      </c>
      <c r="J343" s="1" t="s">
        <v>29</v>
      </c>
      <c r="K343" s="1">
        <v>1282</v>
      </c>
    </row>
    <row r="344" spans="1:11" x14ac:dyDescent="0.3">
      <c r="A344" s="1" t="s">
        <v>59</v>
      </c>
      <c r="B344" s="1" t="s">
        <v>25</v>
      </c>
      <c r="C344" s="1" t="s">
        <v>34</v>
      </c>
      <c r="D344" s="1" t="s">
        <v>60</v>
      </c>
      <c r="E344" s="1">
        <v>10</v>
      </c>
      <c r="F344" s="1">
        <v>16719</v>
      </c>
      <c r="G344" s="1">
        <v>5</v>
      </c>
      <c r="H344" s="2">
        <v>46177</v>
      </c>
      <c r="I344" s="2">
        <v>46179</v>
      </c>
      <c r="J344" s="1" t="s">
        <v>15</v>
      </c>
      <c r="K344" s="1">
        <v>1338</v>
      </c>
    </row>
    <row r="345" spans="1:11" x14ac:dyDescent="0.3">
      <c r="A345" s="1" t="s">
        <v>54</v>
      </c>
      <c r="B345" s="1" t="s">
        <v>22</v>
      </c>
      <c r="C345" s="1" t="s">
        <v>34</v>
      </c>
      <c r="D345" s="1" t="s">
        <v>45</v>
      </c>
      <c r="E345" s="1">
        <v>18</v>
      </c>
      <c r="F345" s="1">
        <v>68527</v>
      </c>
      <c r="G345" s="1">
        <v>12</v>
      </c>
      <c r="H345" s="2">
        <v>46178</v>
      </c>
      <c r="I345" s="2">
        <v>46184</v>
      </c>
      <c r="J345" s="1" t="s">
        <v>51</v>
      </c>
      <c r="K345" s="1">
        <v>1187</v>
      </c>
    </row>
    <row r="346" spans="1:11" x14ac:dyDescent="0.3">
      <c r="A346" s="1" t="s">
        <v>54</v>
      </c>
      <c r="B346" s="1" t="s">
        <v>25</v>
      </c>
      <c r="C346" s="1" t="s">
        <v>34</v>
      </c>
      <c r="D346" s="1" t="s">
        <v>35</v>
      </c>
      <c r="E346" s="1">
        <v>14</v>
      </c>
      <c r="F346" s="1">
        <v>24524</v>
      </c>
      <c r="G346" s="1">
        <v>10</v>
      </c>
      <c r="H346" s="2">
        <v>46178</v>
      </c>
      <c r="I346" s="2">
        <v>46187</v>
      </c>
      <c r="J346" s="1" t="s">
        <v>29</v>
      </c>
      <c r="K346" s="1">
        <v>1297</v>
      </c>
    </row>
    <row r="347" spans="1:11" x14ac:dyDescent="0.3">
      <c r="A347" s="1" t="s">
        <v>48</v>
      </c>
      <c r="B347" s="1" t="s">
        <v>38</v>
      </c>
      <c r="C347" s="1" t="s">
        <v>18</v>
      </c>
      <c r="D347" s="1" t="s">
        <v>19</v>
      </c>
      <c r="E347" s="1">
        <v>13</v>
      </c>
      <c r="F347" s="1">
        <v>10297</v>
      </c>
      <c r="G347" s="1">
        <v>12</v>
      </c>
      <c r="H347" s="2">
        <v>46178</v>
      </c>
      <c r="I347" s="2">
        <v>46186</v>
      </c>
      <c r="J347" s="1" t="s">
        <v>20</v>
      </c>
      <c r="K347" s="1">
        <v>1231</v>
      </c>
    </row>
    <row r="348" spans="1:11" x14ac:dyDescent="0.3">
      <c r="A348" s="1" t="s">
        <v>21</v>
      </c>
      <c r="B348" s="1" t="s">
        <v>22</v>
      </c>
      <c r="C348" s="1" t="s">
        <v>18</v>
      </c>
      <c r="D348" s="1" t="s">
        <v>23</v>
      </c>
      <c r="E348" s="1">
        <v>18</v>
      </c>
      <c r="F348" s="1">
        <v>9118</v>
      </c>
      <c r="G348" s="1">
        <v>5</v>
      </c>
      <c r="H348" s="2">
        <v>46178</v>
      </c>
      <c r="I348" s="2">
        <v>46187</v>
      </c>
      <c r="J348" s="1" t="s">
        <v>29</v>
      </c>
      <c r="K348" s="1">
        <v>1118</v>
      </c>
    </row>
    <row r="349" spans="1:11" x14ac:dyDescent="0.3">
      <c r="A349" s="1" t="s">
        <v>32</v>
      </c>
      <c r="B349" s="1" t="s">
        <v>17</v>
      </c>
      <c r="C349" s="1" t="s">
        <v>18</v>
      </c>
      <c r="D349" s="1" t="s">
        <v>56</v>
      </c>
      <c r="E349" s="1">
        <v>15</v>
      </c>
      <c r="F349" s="1">
        <v>6101</v>
      </c>
      <c r="G349" s="1">
        <v>0</v>
      </c>
      <c r="H349" s="2">
        <v>46178</v>
      </c>
      <c r="I349" s="2">
        <v>46183</v>
      </c>
      <c r="J349" s="1" t="s">
        <v>51</v>
      </c>
      <c r="K349" s="1">
        <v>1154</v>
      </c>
    </row>
    <row r="350" spans="1:11" x14ac:dyDescent="0.3">
      <c r="A350" s="1" t="s">
        <v>11</v>
      </c>
      <c r="B350" s="1" t="s">
        <v>25</v>
      </c>
      <c r="C350" s="1" t="s">
        <v>34</v>
      </c>
      <c r="D350" s="1" t="s">
        <v>45</v>
      </c>
      <c r="E350" s="1">
        <v>2</v>
      </c>
      <c r="F350" s="1">
        <v>4375</v>
      </c>
      <c r="G350" s="1">
        <v>7</v>
      </c>
      <c r="H350" s="2">
        <v>46178</v>
      </c>
      <c r="I350" s="2">
        <v>46180</v>
      </c>
      <c r="J350" s="1" t="s">
        <v>24</v>
      </c>
      <c r="K350" s="1">
        <v>1199</v>
      </c>
    </row>
    <row r="351" spans="1:11" x14ac:dyDescent="0.3">
      <c r="A351" s="1" t="s">
        <v>52</v>
      </c>
      <c r="B351" s="1" t="s">
        <v>31</v>
      </c>
      <c r="C351" s="1" t="s">
        <v>13</v>
      </c>
      <c r="D351" s="1" t="s">
        <v>50</v>
      </c>
      <c r="E351" s="1">
        <v>20</v>
      </c>
      <c r="F351" s="1">
        <v>429</v>
      </c>
      <c r="G351" s="1">
        <v>5</v>
      </c>
      <c r="H351" s="2">
        <v>46178</v>
      </c>
      <c r="I351" s="2">
        <v>46184</v>
      </c>
      <c r="J351" s="1" t="s">
        <v>20</v>
      </c>
      <c r="K351" s="1">
        <v>1376</v>
      </c>
    </row>
    <row r="352" spans="1:11" x14ac:dyDescent="0.3">
      <c r="A352" s="1" t="s">
        <v>26</v>
      </c>
      <c r="B352" s="1" t="s">
        <v>25</v>
      </c>
      <c r="C352" s="1" t="s">
        <v>34</v>
      </c>
      <c r="D352" s="1" t="s">
        <v>41</v>
      </c>
      <c r="E352" s="1">
        <v>13</v>
      </c>
      <c r="F352" s="1">
        <v>36652</v>
      </c>
      <c r="G352" s="1">
        <v>12</v>
      </c>
      <c r="H352" s="2">
        <v>46179</v>
      </c>
      <c r="I352" s="2">
        <v>46186</v>
      </c>
      <c r="J352" s="1" t="s">
        <v>20</v>
      </c>
      <c r="K352" s="1">
        <v>1274</v>
      </c>
    </row>
    <row r="353" spans="1:11" x14ac:dyDescent="0.3">
      <c r="A353" s="1" t="s">
        <v>54</v>
      </c>
      <c r="B353" s="1" t="s">
        <v>22</v>
      </c>
      <c r="C353" s="1" t="s">
        <v>34</v>
      </c>
      <c r="D353" s="1" t="s">
        <v>60</v>
      </c>
      <c r="E353" s="1">
        <v>14</v>
      </c>
      <c r="F353" s="1">
        <v>35601</v>
      </c>
      <c r="G353" s="1">
        <v>10</v>
      </c>
      <c r="H353" s="2">
        <v>46179</v>
      </c>
      <c r="I353" s="2">
        <v>46187</v>
      </c>
      <c r="J353" s="1" t="s">
        <v>29</v>
      </c>
      <c r="K353" s="1">
        <v>1288</v>
      </c>
    </row>
    <row r="354" spans="1:11" x14ac:dyDescent="0.3">
      <c r="A354" s="1" t="s">
        <v>47</v>
      </c>
      <c r="B354" s="1" t="s">
        <v>22</v>
      </c>
      <c r="C354" s="1" t="s">
        <v>34</v>
      </c>
      <c r="D354" s="1" t="s">
        <v>61</v>
      </c>
      <c r="E354" s="1">
        <v>4</v>
      </c>
      <c r="F354" s="1">
        <v>20639</v>
      </c>
      <c r="G354" s="1">
        <v>7</v>
      </c>
      <c r="H354" s="2">
        <v>46180</v>
      </c>
      <c r="I354" s="2">
        <v>46186</v>
      </c>
      <c r="J354" s="1" t="s">
        <v>20</v>
      </c>
      <c r="K354" s="1">
        <v>1278</v>
      </c>
    </row>
    <row r="355" spans="1:11" x14ac:dyDescent="0.3">
      <c r="A355" s="1" t="s">
        <v>59</v>
      </c>
      <c r="B355" s="1" t="s">
        <v>25</v>
      </c>
      <c r="C355" s="1" t="s">
        <v>34</v>
      </c>
      <c r="D355" s="1" t="s">
        <v>60</v>
      </c>
      <c r="E355" s="1">
        <v>14</v>
      </c>
      <c r="F355" s="1">
        <v>11762</v>
      </c>
      <c r="G355" s="1">
        <v>7</v>
      </c>
      <c r="H355" s="2">
        <v>46180</v>
      </c>
      <c r="I355" s="2">
        <v>46186</v>
      </c>
      <c r="J355" s="1" t="s">
        <v>24</v>
      </c>
      <c r="K355" s="1">
        <v>1048</v>
      </c>
    </row>
    <row r="356" spans="1:11" x14ac:dyDescent="0.3">
      <c r="A356" s="1" t="s">
        <v>21</v>
      </c>
      <c r="B356" s="1" t="s">
        <v>12</v>
      </c>
      <c r="C356" s="1" t="s">
        <v>18</v>
      </c>
      <c r="D356" s="1" t="s">
        <v>19</v>
      </c>
      <c r="E356" s="1">
        <v>8</v>
      </c>
      <c r="F356" s="1">
        <v>14448</v>
      </c>
      <c r="G356" s="1">
        <v>10</v>
      </c>
      <c r="H356" s="2">
        <v>46181</v>
      </c>
      <c r="I356" s="2">
        <v>46189</v>
      </c>
      <c r="J356" s="1" t="s">
        <v>15</v>
      </c>
      <c r="K356" s="1">
        <v>1294</v>
      </c>
    </row>
    <row r="357" spans="1:11" x14ac:dyDescent="0.3">
      <c r="A357" s="1" t="s">
        <v>49</v>
      </c>
      <c r="B357" s="1" t="s">
        <v>17</v>
      </c>
      <c r="C357" s="1" t="s">
        <v>18</v>
      </c>
      <c r="D357" s="1" t="s">
        <v>56</v>
      </c>
      <c r="E357" s="1">
        <v>19</v>
      </c>
      <c r="F357" s="1">
        <v>12691</v>
      </c>
      <c r="G357" s="1">
        <v>0</v>
      </c>
      <c r="H357" s="2">
        <v>46181</v>
      </c>
      <c r="I357" s="2">
        <v>46189</v>
      </c>
      <c r="J357" s="1" t="s">
        <v>29</v>
      </c>
      <c r="K357" s="1">
        <v>1310</v>
      </c>
    </row>
    <row r="358" spans="1:11" x14ac:dyDescent="0.3">
      <c r="A358" s="1" t="s">
        <v>27</v>
      </c>
      <c r="B358" s="1" t="s">
        <v>38</v>
      </c>
      <c r="C358" s="1" t="s">
        <v>18</v>
      </c>
      <c r="D358" s="1" t="s">
        <v>56</v>
      </c>
      <c r="E358" s="1">
        <v>4</v>
      </c>
      <c r="F358" s="1">
        <v>14195</v>
      </c>
      <c r="G358" s="1">
        <v>15</v>
      </c>
      <c r="H358" s="2">
        <v>46182</v>
      </c>
      <c r="I358" s="2">
        <v>46189</v>
      </c>
      <c r="J358" s="1" t="s">
        <v>51</v>
      </c>
      <c r="K358" s="1">
        <v>1124</v>
      </c>
    </row>
    <row r="359" spans="1:11" x14ac:dyDescent="0.3">
      <c r="A359" s="1" t="s">
        <v>32</v>
      </c>
      <c r="B359" s="1" t="s">
        <v>33</v>
      </c>
      <c r="C359" s="1" t="s">
        <v>34</v>
      </c>
      <c r="D359" s="1" t="s">
        <v>35</v>
      </c>
      <c r="E359" s="1">
        <v>10</v>
      </c>
      <c r="F359" s="1">
        <v>40671</v>
      </c>
      <c r="G359" s="1">
        <v>12</v>
      </c>
      <c r="H359" s="2">
        <v>46183</v>
      </c>
      <c r="I359" s="2">
        <v>46193</v>
      </c>
      <c r="J359" s="1" t="s">
        <v>24</v>
      </c>
      <c r="K359" s="1">
        <v>1009</v>
      </c>
    </row>
    <row r="360" spans="1:11" x14ac:dyDescent="0.3">
      <c r="A360" s="1" t="s">
        <v>21</v>
      </c>
      <c r="B360" s="1" t="s">
        <v>22</v>
      </c>
      <c r="C360" s="1" t="s">
        <v>18</v>
      </c>
      <c r="D360" s="1" t="s">
        <v>23</v>
      </c>
      <c r="E360" s="1">
        <v>20</v>
      </c>
      <c r="F360" s="1">
        <v>2123</v>
      </c>
      <c r="G360" s="1">
        <v>15</v>
      </c>
      <c r="H360" s="2">
        <v>46183</v>
      </c>
      <c r="I360" s="2">
        <v>46192</v>
      </c>
      <c r="J360" s="1" t="s">
        <v>24</v>
      </c>
      <c r="K360" s="1">
        <v>1003</v>
      </c>
    </row>
    <row r="361" spans="1:11" x14ac:dyDescent="0.3">
      <c r="A361" s="1" t="s">
        <v>47</v>
      </c>
      <c r="B361" s="1" t="s">
        <v>38</v>
      </c>
      <c r="C361" s="1" t="s">
        <v>13</v>
      </c>
      <c r="D361" s="1" t="s">
        <v>36</v>
      </c>
      <c r="E361" s="1">
        <v>20</v>
      </c>
      <c r="F361" s="1">
        <v>55</v>
      </c>
      <c r="G361" s="1">
        <v>7</v>
      </c>
      <c r="H361" s="2">
        <v>46183</v>
      </c>
      <c r="I361" s="2">
        <v>46186</v>
      </c>
      <c r="J361" s="1" t="s">
        <v>20</v>
      </c>
      <c r="K361" s="1">
        <v>1320</v>
      </c>
    </row>
    <row r="362" spans="1:11" x14ac:dyDescent="0.3">
      <c r="A362" s="1" t="s">
        <v>32</v>
      </c>
      <c r="B362" s="1" t="s">
        <v>43</v>
      </c>
      <c r="C362" s="1" t="s">
        <v>18</v>
      </c>
      <c r="D362" s="1" t="s">
        <v>28</v>
      </c>
      <c r="E362" s="1">
        <v>20</v>
      </c>
      <c r="F362" s="1">
        <v>14000</v>
      </c>
      <c r="G362" s="1">
        <v>15</v>
      </c>
      <c r="H362" s="2">
        <v>46184</v>
      </c>
      <c r="I362" s="2">
        <v>46187</v>
      </c>
      <c r="J362" s="1" t="s">
        <v>15</v>
      </c>
      <c r="K362" s="1">
        <v>1159</v>
      </c>
    </row>
    <row r="363" spans="1:11" x14ac:dyDescent="0.3">
      <c r="A363" s="1" t="s">
        <v>49</v>
      </c>
      <c r="B363" s="1" t="s">
        <v>31</v>
      </c>
      <c r="C363" s="1" t="s">
        <v>18</v>
      </c>
      <c r="D363" s="1" t="s">
        <v>56</v>
      </c>
      <c r="E363" s="1">
        <v>12</v>
      </c>
      <c r="F363" s="1">
        <v>8327</v>
      </c>
      <c r="G363" s="1">
        <v>10</v>
      </c>
      <c r="H363" s="2">
        <v>46184</v>
      </c>
      <c r="I363" s="2">
        <v>46185</v>
      </c>
      <c r="J363" s="1" t="s">
        <v>29</v>
      </c>
      <c r="K363" s="1">
        <v>1189</v>
      </c>
    </row>
    <row r="364" spans="1:11" x14ac:dyDescent="0.3">
      <c r="A364" s="1" t="s">
        <v>30</v>
      </c>
      <c r="B364" s="1" t="s">
        <v>43</v>
      </c>
      <c r="C364" s="1" t="s">
        <v>18</v>
      </c>
      <c r="D364" s="1" t="s">
        <v>28</v>
      </c>
      <c r="E364" s="1">
        <v>2</v>
      </c>
      <c r="F364" s="1">
        <v>3706</v>
      </c>
      <c r="G364" s="1">
        <v>5</v>
      </c>
      <c r="H364" s="2">
        <v>46184</v>
      </c>
      <c r="I364" s="2">
        <v>46192</v>
      </c>
      <c r="J364" s="1" t="s">
        <v>51</v>
      </c>
      <c r="K364" s="1">
        <v>1119</v>
      </c>
    </row>
    <row r="365" spans="1:11" x14ac:dyDescent="0.3">
      <c r="A365" s="1" t="s">
        <v>59</v>
      </c>
      <c r="B365" s="1" t="s">
        <v>38</v>
      </c>
      <c r="C365" s="1" t="s">
        <v>13</v>
      </c>
      <c r="D365" s="1" t="s">
        <v>53</v>
      </c>
      <c r="E365" s="1">
        <v>13</v>
      </c>
      <c r="F365" s="1">
        <v>337</v>
      </c>
      <c r="G365" s="1">
        <v>7</v>
      </c>
      <c r="H365" s="2">
        <v>46184</v>
      </c>
      <c r="I365" s="2">
        <v>46188</v>
      </c>
      <c r="J365" s="1" t="s">
        <v>15</v>
      </c>
      <c r="K365" s="1">
        <v>1370</v>
      </c>
    </row>
    <row r="366" spans="1:11" x14ac:dyDescent="0.3">
      <c r="A366" s="1" t="s">
        <v>52</v>
      </c>
      <c r="B366" s="1" t="s">
        <v>12</v>
      </c>
      <c r="C366" s="1" t="s">
        <v>13</v>
      </c>
      <c r="D366" s="1" t="s">
        <v>37</v>
      </c>
      <c r="E366" s="1">
        <v>16</v>
      </c>
      <c r="F366" s="1">
        <v>270</v>
      </c>
      <c r="G366" s="1">
        <v>10</v>
      </c>
      <c r="H366" s="2">
        <v>46184</v>
      </c>
      <c r="I366" s="2">
        <v>46190</v>
      </c>
      <c r="J366" s="1" t="s">
        <v>29</v>
      </c>
      <c r="K366" s="1">
        <v>1137</v>
      </c>
    </row>
    <row r="367" spans="1:11" x14ac:dyDescent="0.3">
      <c r="A367" s="1" t="s">
        <v>42</v>
      </c>
      <c r="B367" s="1" t="s">
        <v>43</v>
      </c>
      <c r="C367" s="1" t="s">
        <v>34</v>
      </c>
      <c r="D367" s="1" t="s">
        <v>61</v>
      </c>
      <c r="E367" s="1">
        <v>4</v>
      </c>
      <c r="F367" s="1">
        <v>64773</v>
      </c>
      <c r="G367" s="1">
        <v>10</v>
      </c>
      <c r="H367" s="2">
        <v>46185</v>
      </c>
      <c r="I367" s="2">
        <v>46186</v>
      </c>
      <c r="J367" s="1" t="s">
        <v>51</v>
      </c>
      <c r="K367" s="1">
        <v>1075</v>
      </c>
    </row>
    <row r="368" spans="1:11" x14ac:dyDescent="0.3">
      <c r="A368" s="1" t="s">
        <v>26</v>
      </c>
      <c r="B368" s="1" t="s">
        <v>43</v>
      </c>
      <c r="C368" s="1" t="s">
        <v>18</v>
      </c>
      <c r="D368" s="1" t="s">
        <v>28</v>
      </c>
      <c r="E368" s="1">
        <v>16</v>
      </c>
      <c r="F368" s="1">
        <v>11790</v>
      </c>
      <c r="G368" s="1">
        <v>12</v>
      </c>
      <c r="H368" s="2">
        <v>46185</v>
      </c>
      <c r="I368" s="2">
        <v>46190</v>
      </c>
      <c r="J368" s="1" t="s">
        <v>29</v>
      </c>
      <c r="K368" s="1">
        <v>1350</v>
      </c>
    </row>
    <row r="369" spans="1:11" x14ac:dyDescent="0.3">
      <c r="A369" s="1" t="s">
        <v>55</v>
      </c>
      <c r="B369" s="1" t="s">
        <v>33</v>
      </c>
      <c r="C369" s="1" t="s">
        <v>13</v>
      </c>
      <c r="D369" s="1" t="s">
        <v>53</v>
      </c>
      <c r="E369" s="1">
        <v>4</v>
      </c>
      <c r="F369" s="1">
        <v>397</v>
      </c>
      <c r="G369" s="1">
        <v>7</v>
      </c>
      <c r="H369" s="2">
        <v>46185</v>
      </c>
      <c r="I369" s="2">
        <v>46193</v>
      </c>
      <c r="J369" s="1" t="s">
        <v>15</v>
      </c>
      <c r="K369" s="1">
        <v>1083</v>
      </c>
    </row>
    <row r="370" spans="1:11" x14ac:dyDescent="0.3">
      <c r="A370" s="1" t="s">
        <v>26</v>
      </c>
      <c r="B370" s="1" t="s">
        <v>17</v>
      </c>
      <c r="C370" s="1" t="s">
        <v>13</v>
      </c>
      <c r="D370" s="1" t="s">
        <v>50</v>
      </c>
      <c r="E370" s="1">
        <v>20</v>
      </c>
      <c r="F370" s="1">
        <v>191</v>
      </c>
      <c r="G370" s="1">
        <v>7</v>
      </c>
      <c r="H370" s="2">
        <v>46185</v>
      </c>
      <c r="I370" s="2">
        <v>46195</v>
      </c>
      <c r="J370" s="1" t="s">
        <v>29</v>
      </c>
      <c r="K370" s="1">
        <v>1064</v>
      </c>
    </row>
    <row r="371" spans="1:11" x14ac:dyDescent="0.3">
      <c r="A371" s="1" t="s">
        <v>54</v>
      </c>
      <c r="B371" s="1" t="s">
        <v>38</v>
      </c>
      <c r="C371" s="1" t="s">
        <v>13</v>
      </c>
      <c r="D371" s="1" t="s">
        <v>50</v>
      </c>
      <c r="E371" s="1">
        <v>9</v>
      </c>
      <c r="F371" s="1">
        <v>71</v>
      </c>
      <c r="G371" s="1">
        <v>7</v>
      </c>
      <c r="H371" s="2">
        <v>46185</v>
      </c>
      <c r="I371" s="2">
        <v>46188</v>
      </c>
      <c r="J371" s="1" t="s">
        <v>15</v>
      </c>
      <c r="K371" s="1">
        <v>1041</v>
      </c>
    </row>
    <row r="372" spans="1:11" x14ac:dyDescent="0.3">
      <c r="A372" s="1" t="s">
        <v>49</v>
      </c>
      <c r="B372" s="1" t="s">
        <v>31</v>
      </c>
      <c r="C372" s="1" t="s">
        <v>34</v>
      </c>
      <c r="D372" s="1" t="s">
        <v>41</v>
      </c>
      <c r="E372" s="1">
        <v>14</v>
      </c>
      <c r="F372" s="1">
        <v>57670</v>
      </c>
      <c r="G372" s="1">
        <v>2</v>
      </c>
      <c r="H372" s="2">
        <v>46186</v>
      </c>
      <c r="I372" s="2">
        <v>46196</v>
      </c>
      <c r="J372" s="1" t="s">
        <v>15</v>
      </c>
      <c r="K372" s="1">
        <v>1315</v>
      </c>
    </row>
    <row r="373" spans="1:11" x14ac:dyDescent="0.3">
      <c r="A373" s="1" t="s">
        <v>54</v>
      </c>
      <c r="B373" s="1" t="s">
        <v>33</v>
      </c>
      <c r="C373" s="1" t="s">
        <v>34</v>
      </c>
      <c r="D373" s="1" t="s">
        <v>61</v>
      </c>
      <c r="E373" s="1">
        <v>11</v>
      </c>
      <c r="F373" s="1">
        <v>25158</v>
      </c>
      <c r="G373" s="1">
        <v>5</v>
      </c>
      <c r="H373" s="2">
        <v>46186</v>
      </c>
      <c r="I373" s="2">
        <v>46193</v>
      </c>
      <c r="J373" s="1" t="s">
        <v>20</v>
      </c>
      <c r="K373" s="1">
        <v>1292</v>
      </c>
    </row>
    <row r="374" spans="1:11" x14ac:dyDescent="0.3">
      <c r="A374" s="1" t="s">
        <v>16</v>
      </c>
      <c r="B374" s="1" t="s">
        <v>25</v>
      </c>
      <c r="C374" s="1" t="s">
        <v>18</v>
      </c>
      <c r="D374" s="1" t="s">
        <v>44</v>
      </c>
      <c r="E374" s="1">
        <v>10</v>
      </c>
      <c r="F374" s="1">
        <v>14951</v>
      </c>
      <c r="G374" s="1">
        <v>2</v>
      </c>
      <c r="H374" s="2">
        <v>46188</v>
      </c>
      <c r="I374" s="2">
        <v>46196</v>
      </c>
      <c r="J374" s="1" t="s">
        <v>24</v>
      </c>
      <c r="K374" s="1">
        <v>1186</v>
      </c>
    </row>
    <row r="375" spans="1:11" x14ac:dyDescent="0.3">
      <c r="A375" s="1" t="s">
        <v>16</v>
      </c>
      <c r="B375" s="1" t="s">
        <v>43</v>
      </c>
      <c r="C375" s="1" t="s">
        <v>34</v>
      </c>
      <c r="D375" s="1" t="s">
        <v>45</v>
      </c>
      <c r="E375" s="1">
        <v>7</v>
      </c>
      <c r="F375" s="1">
        <v>68217</v>
      </c>
      <c r="G375" s="1">
        <v>0</v>
      </c>
      <c r="H375" s="2">
        <v>46190</v>
      </c>
      <c r="I375" s="2">
        <v>46197</v>
      </c>
      <c r="J375" s="1" t="s">
        <v>29</v>
      </c>
      <c r="K375" s="1">
        <v>1146</v>
      </c>
    </row>
    <row r="376" spans="1:11" x14ac:dyDescent="0.3">
      <c r="A376" s="1" t="s">
        <v>21</v>
      </c>
      <c r="B376" s="1" t="s">
        <v>25</v>
      </c>
      <c r="C376" s="1" t="s">
        <v>34</v>
      </c>
      <c r="D376" s="1" t="s">
        <v>61</v>
      </c>
      <c r="E376" s="1">
        <v>2</v>
      </c>
      <c r="F376" s="1">
        <v>43557</v>
      </c>
      <c r="G376" s="1">
        <v>2</v>
      </c>
      <c r="H376" s="2">
        <v>46190</v>
      </c>
      <c r="I376" s="2">
        <v>46200</v>
      </c>
      <c r="J376" s="1" t="s">
        <v>15</v>
      </c>
      <c r="K376" s="1">
        <v>1331</v>
      </c>
    </row>
    <row r="377" spans="1:11" x14ac:dyDescent="0.3">
      <c r="A377" s="1" t="s">
        <v>40</v>
      </c>
      <c r="B377" s="1" t="s">
        <v>43</v>
      </c>
      <c r="C377" s="1" t="s">
        <v>18</v>
      </c>
      <c r="D377" s="1" t="s">
        <v>23</v>
      </c>
      <c r="E377" s="1">
        <v>8</v>
      </c>
      <c r="F377" s="1">
        <v>8360</v>
      </c>
      <c r="G377" s="1">
        <v>2</v>
      </c>
      <c r="H377" s="2">
        <v>46190</v>
      </c>
      <c r="I377" s="2">
        <v>46200</v>
      </c>
      <c r="J377" s="1" t="s">
        <v>51</v>
      </c>
      <c r="K377" s="1">
        <v>1062</v>
      </c>
    </row>
    <row r="378" spans="1:11" x14ac:dyDescent="0.3">
      <c r="A378" s="1" t="s">
        <v>54</v>
      </c>
      <c r="B378" s="1" t="s">
        <v>25</v>
      </c>
      <c r="C378" s="1" t="s">
        <v>34</v>
      </c>
      <c r="D378" s="1" t="s">
        <v>60</v>
      </c>
      <c r="E378" s="1">
        <v>11</v>
      </c>
      <c r="F378" s="1">
        <v>47930</v>
      </c>
      <c r="G378" s="1">
        <v>12</v>
      </c>
      <c r="H378" s="2">
        <v>46191</v>
      </c>
      <c r="I378" s="2">
        <v>46201</v>
      </c>
      <c r="J378" s="1" t="s">
        <v>20</v>
      </c>
      <c r="K378" s="1">
        <v>1373</v>
      </c>
    </row>
    <row r="379" spans="1:11" x14ac:dyDescent="0.3">
      <c r="A379" s="1" t="s">
        <v>54</v>
      </c>
      <c r="B379" s="1" t="s">
        <v>43</v>
      </c>
      <c r="C379" s="1" t="s">
        <v>13</v>
      </c>
      <c r="D379" s="1" t="s">
        <v>36</v>
      </c>
      <c r="E379" s="1">
        <v>1</v>
      </c>
      <c r="F379" s="1">
        <v>332</v>
      </c>
      <c r="G379" s="1">
        <v>0</v>
      </c>
      <c r="H379" s="2">
        <v>46191</v>
      </c>
      <c r="I379" s="2">
        <v>46194</v>
      </c>
      <c r="J379" s="1" t="s">
        <v>20</v>
      </c>
      <c r="K379" s="1">
        <v>1306</v>
      </c>
    </row>
    <row r="380" spans="1:11" x14ac:dyDescent="0.3">
      <c r="A380" s="1" t="s">
        <v>54</v>
      </c>
      <c r="B380" s="1" t="s">
        <v>38</v>
      </c>
      <c r="C380" s="1" t="s">
        <v>13</v>
      </c>
      <c r="D380" s="1" t="s">
        <v>50</v>
      </c>
      <c r="E380" s="1">
        <v>7</v>
      </c>
      <c r="F380" s="1">
        <v>168</v>
      </c>
      <c r="G380" s="1">
        <v>10</v>
      </c>
      <c r="H380" s="2">
        <v>46191</v>
      </c>
      <c r="I380" s="2">
        <v>46196</v>
      </c>
      <c r="J380" s="1" t="s">
        <v>51</v>
      </c>
      <c r="K380" s="1">
        <v>1242</v>
      </c>
    </row>
    <row r="381" spans="1:11" x14ac:dyDescent="0.3">
      <c r="A381" s="1" t="s">
        <v>42</v>
      </c>
      <c r="B381" s="1" t="s">
        <v>43</v>
      </c>
      <c r="C381" s="1" t="s">
        <v>18</v>
      </c>
      <c r="D381" s="1" t="s">
        <v>44</v>
      </c>
      <c r="E381" s="1">
        <v>1</v>
      </c>
      <c r="F381" s="1">
        <v>7730</v>
      </c>
      <c r="G381" s="1">
        <v>5</v>
      </c>
      <c r="H381" s="2">
        <v>46192</v>
      </c>
      <c r="I381" s="2">
        <v>46195</v>
      </c>
      <c r="J381" s="1" t="s">
        <v>51</v>
      </c>
      <c r="K381" s="1">
        <v>1065</v>
      </c>
    </row>
    <row r="382" spans="1:11" x14ac:dyDescent="0.3">
      <c r="A382" s="1" t="s">
        <v>40</v>
      </c>
      <c r="B382" s="1" t="s">
        <v>12</v>
      </c>
      <c r="C382" s="1" t="s">
        <v>18</v>
      </c>
      <c r="D382" s="1" t="s">
        <v>44</v>
      </c>
      <c r="E382" s="1">
        <v>15</v>
      </c>
      <c r="F382" s="1">
        <v>3506</v>
      </c>
      <c r="G382" s="1">
        <v>2</v>
      </c>
      <c r="H382" s="2">
        <v>46193</v>
      </c>
      <c r="I382" s="2">
        <v>46194</v>
      </c>
      <c r="J382" s="1" t="s">
        <v>29</v>
      </c>
      <c r="K382" s="1">
        <v>1023</v>
      </c>
    </row>
    <row r="383" spans="1:11" x14ac:dyDescent="0.3">
      <c r="A383" s="1" t="s">
        <v>59</v>
      </c>
      <c r="B383" s="1" t="s">
        <v>25</v>
      </c>
      <c r="C383" s="1" t="s">
        <v>34</v>
      </c>
      <c r="D383" s="1" t="s">
        <v>60</v>
      </c>
      <c r="E383" s="1">
        <v>10</v>
      </c>
      <c r="F383" s="1">
        <v>34380</v>
      </c>
      <c r="G383" s="1">
        <v>7</v>
      </c>
      <c r="H383" s="2">
        <v>46194</v>
      </c>
      <c r="I383" s="2">
        <v>46195</v>
      </c>
      <c r="J383" s="1" t="s">
        <v>29</v>
      </c>
      <c r="K383" s="1">
        <v>1212</v>
      </c>
    </row>
    <row r="384" spans="1:11" x14ac:dyDescent="0.3">
      <c r="A384" s="1" t="s">
        <v>21</v>
      </c>
      <c r="B384" s="1" t="s">
        <v>33</v>
      </c>
      <c r="C384" s="1" t="s">
        <v>18</v>
      </c>
      <c r="D384" s="1" t="s">
        <v>23</v>
      </c>
      <c r="E384" s="1">
        <v>1</v>
      </c>
      <c r="F384" s="1">
        <v>8948</v>
      </c>
      <c r="G384" s="1">
        <v>5</v>
      </c>
      <c r="H384" s="2">
        <v>46194</v>
      </c>
      <c r="I384" s="2">
        <v>46201</v>
      </c>
      <c r="J384" s="1" t="s">
        <v>51</v>
      </c>
      <c r="K384" s="1">
        <v>1397</v>
      </c>
    </row>
    <row r="385" spans="1:11" x14ac:dyDescent="0.3">
      <c r="A385" s="1" t="s">
        <v>47</v>
      </c>
      <c r="B385" s="1" t="s">
        <v>43</v>
      </c>
      <c r="C385" s="1" t="s">
        <v>13</v>
      </c>
      <c r="D385" s="1" t="s">
        <v>14</v>
      </c>
      <c r="E385" s="1">
        <v>6</v>
      </c>
      <c r="F385" s="1">
        <v>495</v>
      </c>
      <c r="G385" s="1">
        <v>2</v>
      </c>
      <c r="H385" s="2">
        <v>46194</v>
      </c>
      <c r="I385" s="2">
        <v>46200</v>
      </c>
      <c r="J385" s="1" t="s">
        <v>24</v>
      </c>
      <c r="K385" s="1">
        <v>1353</v>
      </c>
    </row>
    <row r="386" spans="1:11" x14ac:dyDescent="0.3">
      <c r="A386" s="1" t="s">
        <v>40</v>
      </c>
      <c r="B386" s="1" t="s">
        <v>43</v>
      </c>
      <c r="C386" s="1" t="s">
        <v>34</v>
      </c>
      <c r="D386" s="1" t="s">
        <v>61</v>
      </c>
      <c r="E386" s="1">
        <v>7</v>
      </c>
      <c r="F386" s="1">
        <v>24615</v>
      </c>
      <c r="G386" s="1">
        <v>12</v>
      </c>
      <c r="H386" s="2">
        <v>46196</v>
      </c>
      <c r="I386" s="2">
        <v>46203</v>
      </c>
      <c r="J386" s="1" t="s">
        <v>51</v>
      </c>
      <c r="K386" s="1">
        <v>1164</v>
      </c>
    </row>
    <row r="387" spans="1:11" x14ac:dyDescent="0.3">
      <c r="A387" s="1" t="s">
        <v>52</v>
      </c>
      <c r="B387" s="1" t="s">
        <v>43</v>
      </c>
      <c r="C387" s="1" t="s">
        <v>34</v>
      </c>
      <c r="D387" s="1" t="s">
        <v>60</v>
      </c>
      <c r="E387" s="1">
        <v>15</v>
      </c>
      <c r="F387" s="1">
        <v>14534</v>
      </c>
      <c r="G387" s="1">
        <v>5</v>
      </c>
      <c r="H387" s="2">
        <v>46196</v>
      </c>
      <c r="I387" s="2">
        <v>46199</v>
      </c>
      <c r="J387" s="1" t="s">
        <v>29</v>
      </c>
      <c r="K387" s="1">
        <v>1068</v>
      </c>
    </row>
    <row r="388" spans="1:11" x14ac:dyDescent="0.3">
      <c r="A388" s="1" t="s">
        <v>52</v>
      </c>
      <c r="B388" s="1" t="s">
        <v>33</v>
      </c>
      <c r="C388" s="1" t="s">
        <v>18</v>
      </c>
      <c r="D388" s="1" t="s">
        <v>19</v>
      </c>
      <c r="E388" s="1">
        <v>10</v>
      </c>
      <c r="F388" s="1">
        <v>6328</v>
      </c>
      <c r="G388" s="1">
        <v>2</v>
      </c>
      <c r="H388" s="2">
        <v>46196</v>
      </c>
      <c r="I388" s="2">
        <v>46197</v>
      </c>
      <c r="J388" s="1" t="s">
        <v>29</v>
      </c>
      <c r="K388" s="1">
        <v>1314</v>
      </c>
    </row>
    <row r="389" spans="1:11" x14ac:dyDescent="0.3">
      <c r="A389" s="1" t="s">
        <v>48</v>
      </c>
      <c r="B389" s="1" t="s">
        <v>17</v>
      </c>
      <c r="C389" s="1" t="s">
        <v>18</v>
      </c>
      <c r="D389" s="1" t="s">
        <v>19</v>
      </c>
      <c r="E389" s="1">
        <v>12</v>
      </c>
      <c r="F389" s="1">
        <v>3857</v>
      </c>
      <c r="G389" s="1">
        <v>12</v>
      </c>
      <c r="H389" s="2">
        <v>46196</v>
      </c>
      <c r="I389" s="2">
        <v>46198</v>
      </c>
      <c r="J389" s="1" t="s">
        <v>51</v>
      </c>
      <c r="K389" s="1">
        <v>1340</v>
      </c>
    </row>
    <row r="390" spans="1:11" x14ac:dyDescent="0.3">
      <c r="A390" s="1" t="s">
        <v>32</v>
      </c>
      <c r="B390" s="1" t="s">
        <v>12</v>
      </c>
      <c r="C390" s="1" t="s">
        <v>13</v>
      </c>
      <c r="D390" s="1" t="s">
        <v>53</v>
      </c>
      <c r="E390" s="1">
        <v>14</v>
      </c>
      <c r="F390" s="1">
        <v>334</v>
      </c>
      <c r="G390" s="1">
        <v>10</v>
      </c>
      <c r="H390" s="2">
        <v>46196</v>
      </c>
      <c r="I390" s="2">
        <v>46203</v>
      </c>
      <c r="J390" s="1" t="s">
        <v>15</v>
      </c>
      <c r="K390" s="1">
        <v>1383</v>
      </c>
    </row>
    <row r="391" spans="1:11" x14ac:dyDescent="0.3">
      <c r="A391" s="1" t="s">
        <v>29</v>
      </c>
      <c r="B391" s="1" t="s">
        <v>31</v>
      </c>
      <c r="C391" s="1" t="s">
        <v>13</v>
      </c>
      <c r="D391" s="1" t="s">
        <v>50</v>
      </c>
      <c r="E391" s="1">
        <v>2</v>
      </c>
      <c r="F391" s="1">
        <v>35</v>
      </c>
      <c r="G391" s="1">
        <v>5</v>
      </c>
      <c r="H391" s="2">
        <v>46197</v>
      </c>
      <c r="I391" s="2">
        <v>46198</v>
      </c>
      <c r="J391" s="1" t="s">
        <v>24</v>
      </c>
      <c r="K391" s="1">
        <v>1309</v>
      </c>
    </row>
    <row r="392" spans="1:11" x14ac:dyDescent="0.3">
      <c r="A392" s="1" t="s">
        <v>58</v>
      </c>
      <c r="B392" s="1" t="s">
        <v>22</v>
      </c>
      <c r="C392" s="1" t="s">
        <v>18</v>
      </c>
      <c r="D392" s="1" t="s">
        <v>19</v>
      </c>
      <c r="E392" s="1">
        <v>20</v>
      </c>
      <c r="F392" s="1">
        <v>13941</v>
      </c>
      <c r="G392" s="1">
        <v>15</v>
      </c>
      <c r="H392" s="2">
        <v>46198</v>
      </c>
      <c r="I392" s="2">
        <v>46202</v>
      </c>
      <c r="J392" s="1" t="s">
        <v>24</v>
      </c>
      <c r="K392" s="1">
        <v>1233</v>
      </c>
    </row>
    <row r="393" spans="1:11" x14ac:dyDescent="0.3">
      <c r="A393" s="1" t="s">
        <v>59</v>
      </c>
      <c r="B393" s="1" t="s">
        <v>17</v>
      </c>
      <c r="C393" s="1" t="s">
        <v>13</v>
      </c>
      <c r="D393" s="1" t="s">
        <v>50</v>
      </c>
      <c r="E393" s="1">
        <v>19</v>
      </c>
      <c r="F393" s="1">
        <v>313</v>
      </c>
      <c r="G393" s="1">
        <v>2</v>
      </c>
      <c r="H393" s="2">
        <v>46198</v>
      </c>
      <c r="I393" s="2">
        <v>46206</v>
      </c>
      <c r="J393" s="1" t="s">
        <v>51</v>
      </c>
      <c r="K393" s="1">
        <v>1195</v>
      </c>
    </row>
    <row r="394" spans="1:11" x14ac:dyDescent="0.3">
      <c r="A394" s="1" t="s">
        <v>42</v>
      </c>
      <c r="B394" s="1" t="s">
        <v>38</v>
      </c>
      <c r="C394" s="1" t="s">
        <v>34</v>
      </c>
      <c r="D394" s="1" t="s">
        <v>45</v>
      </c>
      <c r="E394" s="1">
        <v>10</v>
      </c>
      <c r="F394" s="1">
        <v>46291</v>
      </c>
      <c r="G394" s="1">
        <v>12</v>
      </c>
      <c r="H394" s="2">
        <v>46199</v>
      </c>
      <c r="I394" s="2">
        <v>46202</v>
      </c>
      <c r="J394" s="1" t="s">
        <v>20</v>
      </c>
      <c r="K394" s="1">
        <v>1268</v>
      </c>
    </row>
    <row r="395" spans="1:11" x14ac:dyDescent="0.3">
      <c r="A395" s="1" t="s">
        <v>58</v>
      </c>
      <c r="B395" s="1" t="s">
        <v>38</v>
      </c>
      <c r="C395" s="1" t="s">
        <v>18</v>
      </c>
      <c r="D395" s="1" t="s">
        <v>56</v>
      </c>
      <c r="E395" s="1">
        <v>11</v>
      </c>
      <c r="F395" s="1">
        <v>9976</v>
      </c>
      <c r="G395" s="1">
        <v>12</v>
      </c>
      <c r="H395" s="2">
        <v>46200</v>
      </c>
      <c r="I395" s="2">
        <v>46209</v>
      </c>
      <c r="J395" s="1" t="s">
        <v>15</v>
      </c>
      <c r="K395" s="1">
        <v>1047</v>
      </c>
    </row>
    <row r="396" spans="1:11" x14ac:dyDescent="0.3">
      <c r="A396" s="1" t="s">
        <v>26</v>
      </c>
      <c r="B396" s="1" t="s">
        <v>25</v>
      </c>
      <c r="C396" s="1" t="s">
        <v>18</v>
      </c>
      <c r="D396" s="1" t="s">
        <v>23</v>
      </c>
      <c r="E396" s="1">
        <v>8</v>
      </c>
      <c r="F396" s="1">
        <v>9798</v>
      </c>
      <c r="G396" s="1">
        <v>12</v>
      </c>
      <c r="H396" s="2">
        <v>46200</v>
      </c>
      <c r="I396" s="2">
        <v>46201</v>
      </c>
      <c r="J396" s="1" t="s">
        <v>51</v>
      </c>
      <c r="K396" s="1">
        <v>1054</v>
      </c>
    </row>
    <row r="397" spans="1:11" x14ac:dyDescent="0.3">
      <c r="A397" s="1" t="s">
        <v>11</v>
      </c>
      <c r="B397" s="1" t="s">
        <v>22</v>
      </c>
      <c r="C397" s="1" t="s">
        <v>18</v>
      </c>
      <c r="D397" s="1" t="s">
        <v>28</v>
      </c>
      <c r="E397" s="1">
        <v>15</v>
      </c>
      <c r="F397" s="1">
        <v>6365</v>
      </c>
      <c r="G397" s="1">
        <v>10</v>
      </c>
      <c r="H397" s="2">
        <v>46200</v>
      </c>
      <c r="I397" s="2">
        <v>46206</v>
      </c>
      <c r="J397" s="1" t="s">
        <v>20</v>
      </c>
      <c r="K397" s="1">
        <v>1264</v>
      </c>
    </row>
    <row r="398" spans="1:11" x14ac:dyDescent="0.3">
      <c r="A398" s="1" t="s">
        <v>57</v>
      </c>
      <c r="B398" s="1" t="s">
        <v>38</v>
      </c>
      <c r="C398" s="1" t="s">
        <v>18</v>
      </c>
      <c r="D398" s="1" t="s">
        <v>28</v>
      </c>
      <c r="E398" s="1">
        <v>10</v>
      </c>
      <c r="F398" s="1">
        <v>6339</v>
      </c>
      <c r="G398" s="1">
        <v>12</v>
      </c>
      <c r="H398" s="2">
        <v>46200</v>
      </c>
      <c r="I398" s="2">
        <v>46205</v>
      </c>
      <c r="J398" s="1" t="s">
        <v>15</v>
      </c>
      <c r="K398" s="1">
        <v>1244</v>
      </c>
    </row>
    <row r="399" spans="1:11" x14ac:dyDescent="0.3">
      <c r="A399" s="1" t="s">
        <v>26</v>
      </c>
      <c r="B399" s="1" t="s">
        <v>38</v>
      </c>
      <c r="C399" s="1" t="s">
        <v>34</v>
      </c>
      <c r="D399" s="1" t="s">
        <v>60</v>
      </c>
      <c r="E399" s="1">
        <v>16</v>
      </c>
      <c r="F399" s="1">
        <v>53457</v>
      </c>
      <c r="G399" s="1">
        <v>10</v>
      </c>
      <c r="H399" s="2">
        <v>46201</v>
      </c>
      <c r="I399" s="2">
        <v>46204</v>
      </c>
      <c r="J399" s="1" t="s">
        <v>15</v>
      </c>
      <c r="K399" s="1">
        <v>1356</v>
      </c>
    </row>
    <row r="400" spans="1:11" x14ac:dyDescent="0.3">
      <c r="A400" s="1" t="s">
        <v>46</v>
      </c>
      <c r="B400" s="1" t="s">
        <v>22</v>
      </c>
      <c r="C400" s="1" t="s">
        <v>34</v>
      </c>
      <c r="D400" s="1" t="s">
        <v>39</v>
      </c>
      <c r="E400" s="1">
        <v>17</v>
      </c>
      <c r="F400" s="1">
        <v>19390</v>
      </c>
      <c r="G400" s="1">
        <v>12</v>
      </c>
      <c r="H400" s="2">
        <v>46201</v>
      </c>
      <c r="I400" s="2">
        <v>46206</v>
      </c>
      <c r="J400" s="1" t="s">
        <v>29</v>
      </c>
      <c r="K400" s="1">
        <v>1126</v>
      </c>
    </row>
    <row r="401" spans="1:11" x14ac:dyDescent="0.3">
      <c r="A401" s="1" t="s">
        <v>46</v>
      </c>
      <c r="B401" s="1" t="s">
        <v>22</v>
      </c>
      <c r="C401" s="1" t="s">
        <v>13</v>
      </c>
      <c r="D401" s="1" t="s">
        <v>14</v>
      </c>
      <c r="E401" s="1">
        <v>4</v>
      </c>
      <c r="F401" s="1">
        <v>117</v>
      </c>
      <c r="G401" s="1">
        <v>15</v>
      </c>
      <c r="H401" s="2">
        <v>46202</v>
      </c>
      <c r="I401" s="2">
        <v>46206</v>
      </c>
      <c r="J401" s="1" t="s">
        <v>29</v>
      </c>
      <c r="K401" s="1">
        <v>1219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K1000"/>
  <sheetViews>
    <sheetView topLeftCell="B1" workbookViewId="0"/>
  </sheetViews>
  <sheetFormatPr defaultColWidth="14.44140625" defaultRowHeight="15" customHeight="1" x14ac:dyDescent="0.3"/>
  <sheetData>
    <row r="1" spans="1:11" ht="14.4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0</v>
      </c>
    </row>
    <row r="2" spans="1:11" ht="14.4" hidden="1" x14ac:dyDescent="0.3">
      <c r="A2" s="1" t="s">
        <v>11</v>
      </c>
      <c r="B2" s="1" t="s">
        <v>12</v>
      </c>
      <c r="C2" s="1" t="s">
        <v>13</v>
      </c>
      <c r="D2" s="1" t="s">
        <v>14</v>
      </c>
      <c r="E2" s="1">
        <v>3</v>
      </c>
      <c r="F2" s="1">
        <v>222</v>
      </c>
      <c r="G2" s="1">
        <v>15</v>
      </c>
      <c r="H2" s="2">
        <v>46081</v>
      </c>
      <c r="I2" s="2">
        <v>46083</v>
      </c>
      <c r="J2" s="1" t="s">
        <v>15</v>
      </c>
      <c r="K2" s="1">
        <v>1001</v>
      </c>
    </row>
    <row r="3" spans="1:11" ht="14.4" hidden="1" x14ac:dyDescent="0.3">
      <c r="A3" s="1" t="s">
        <v>16</v>
      </c>
      <c r="B3" s="1" t="s">
        <v>17</v>
      </c>
      <c r="C3" s="1" t="s">
        <v>18</v>
      </c>
      <c r="D3" s="1" t="s">
        <v>19</v>
      </c>
      <c r="E3" s="1">
        <v>7</v>
      </c>
      <c r="F3" s="1">
        <v>8448</v>
      </c>
      <c r="G3" s="1">
        <v>12</v>
      </c>
      <c r="H3" s="2">
        <v>46174</v>
      </c>
      <c r="I3" s="2">
        <v>46179</v>
      </c>
      <c r="J3" s="1" t="s">
        <v>20</v>
      </c>
      <c r="K3" s="1">
        <v>1002</v>
      </c>
    </row>
    <row r="4" spans="1:11" ht="14.4" hidden="1" x14ac:dyDescent="0.3">
      <c r="A4" s="1" t="s">
        <v>21</v>
      </c>
      <c r="B4" s="1" t="s">
        <v>22</v>
      </c>
      <c r="C4" s="1" t="s">
        <v>18</v>
      </c>
      <c r="D4" s="1" t="s">
        <v>23</v>
      </c>
      <c r="E4" s="1">
        <v>20</v>
      </c>
      <c r="F4" s="1">
        <v>2123</v>
      </c>
      <c r="G4" s="1">
        <v>15</v>
      </c>
      <c r="H4" s="2">
        <v>46183</v>
      </c>
      <c r="I4" s="2">
        <v>46192</v>
      </c>
      <c r="J4" s="1" t="s">
        <v>24</v>
      </c>
      <c r="K4" s="1">
        <v>1003</v>
      </c>
    </row>
    <row r="5" spans="1:11" ht="14.4" hidden="1" x14ac:dyDescent="0.3">
      <c r="A5" s="1" t="s">
        <v>16</v>
      </c>
      <c r="B5" s="1" t="s">
        <v>25</v>
      </c>
      <c r="C5" s="1" t="s">
        <v>18</v>
      </c>
      <c r="D5" s="1" t="s">
        <v>23</v>
      </c>
      <c r="E5" s="1">
        <v>16</v>
      </c>
      <c r="F5" s="1">
        <v>11739</v>
      </c>
      <c r="G5" s="1">
        <v>12</v>
      </c>
      <c r="H5" s="2">
        <v>46034</v>
      </c>
      <c r="I5" s="2">
        <v>46040</v>
      </c>
      <c r="J5" s="1" t="s">
        <v>20</v>
      </c>
      <c r="K5" s="1">
        <v>1004</v>
      </c>
    </row>
    <row r="6" spans="1:11" ht="14.4" hidden="1" x14ac:dyDescent="0.3">
      <c r="A6" s="1" t="s">
        <v>26</v>
      </c>
      <c r="B6" s="1" t="s">
        <v>17</v>
      </c>
      <c r="C6" s="1" t="s">
        <v>13</v>
      </c>
      <c r="D6" s="1" t="s">
        <v>14</v>
      </c>
      <c r="E6" s="1">
        <v>18</v>
      </c>
      <c r="F6" s="1">
        <v>70</v>
      </c>
      <c r="G6" s="1">
        <v>0</v>
      </c>
      <c r="H6" s="2">
        <v>46171</v>
      </c>
      <c r="I6" s="2">
        <v>46179</v>
      </c>
      <c r="J6" s="1" t="s">
        <v>24</v>
      </c>
      <c r="K6" s="1">
        <v>1005</v>
      </c>
    </row>
    <row r="7" spans="1:11" ht="14.4" hidden="1" x14ac:dyDescent="0.3">
      <c r="A7" s="1" t="s">
        <v>27</v>
      </c>
      <c r="B7" s="1" t="s">
        <v>25</v>
      </c>
      <c r="C7" s="1" t="s">
        <v>18</v>
      </c>
      <c r="D7" s="1" t="s">
        <v>28</v>
      </c>
      <c r="E7" s="1">
        <v>3</v>
      </c>
      <c r="F7" s="1">
        <v>2714</v>
      </c>
      <c r="G7" s="1">
        <v>5</v>
      </c>
      <c r="H7" s="2">
        <v>46055</v>
      </c>
      <c r="I7" s="2">
        <v>46062</v>
      </c>
      <c r="J7" s="1" t="s">
        <v>29</v>
      </c>
      <c r="K7" s="1">
        <v>1006</v>
      </c>
    </row>
    <row r="8" spans="1:11" ht="14.4" hidden="1" x14ac:dyDescent="0.3">
      <c r="A8" s="1" t="s">
        <v>21</v>
      </c>
      <c r="B8" s="1" t="s">
        <v>22</v>
      </c>
      <c r="C8" s="1" t="s">
        <v>13</v>
      </c>
      <c r="D8" s="1" t="s">
        <v>14</v>
      </c>
      <c r="E8" s="1">
        <v>19</v>
      </c>
      <c r="F8" s="1">
        <v>149</v>
      </c>
      <c r="G8" s="1">
        <v>7</v>
      </c>
      <c r="H8" s="2">
        <v>46162</v>
      </c>
      <c r="I8" s="2">
        <v>46168</v>
      </c>
      <c r="J8" s="1" t="s">
        <v>24</v>
      </c>
      <c r="K8" s="1">
        <v>1007</v>
      </c>
    </row>
    <row r="9" spans="1:11" ht="14.4" hidden="1" x14ac:dyDescent="0.3">
      <c r="A9" s="1" t="s">
        <v>30</v>
      </c>
      <c r="B9" s="1" t="s">
        <v>31</v>
      </c>
      <c r="C9" s="1" t="s">
        <v>18</v>
      </c>
      <c r="D9" s="1" t="s">
        <v>28</v>
      </c>
      <c r="E9" s="1">
        <v>1</v>
      </c>
      <c r="F9" s="1">
        <v>1134</v>
      </c>
      <c r="G9" s="1">
        <v>0</v>
      </c>
      <c r="H9" s="2">
        <v>46033</v>
      </c>
      <c r="I9" s="2">
        <v>46041</v>
      </c>
      <c r="J9" s="1" t="s">
        <v>24</v>
      </c>
      <c r="K9" s="1">
        <v>1008</v>
      </c>
    </row>
    <row r="10" spans="1:11" ht="14.4" x14ac:dyDescent="0.3">
      <c r="A10" s="1" t="s">
        <v>32</v>
      </c>
      <c r="B10" s="1" t="s">
        <v>33</v>
      </c>
      <c r="C10" s="1" t="s">
        <v>34</v>
      </c>
      <c r="D10" s="1" t="s">
        <v>35</v>
      </c>
      <c r="E10" s="1">
        <v>10</v>
      </c>
      <c r="F10" s="1">
        <v>40671</v>
      </c>
      <c r="G10" s="1">
        <v>12</v>
      </c>
      <c r="H10" s="2">
        <v>46183</v>
      </c>
      <c r="I10" s="2">
        <v>46193</v>
      </c>
      <c r="J10" s="1" t="s">
        <v>24</v>
      </c>
      <c r="K10" s="1">
        <v>1009</v>
      </c>
    </row>
    <row r="11" spans="1:11" ht="14.4" hidden="1" x14ac:dyDescent="0.3">
      <c r="A11" s="1" t="s">
        <v>11</v>
      </c>
      <c r="B11" s="1" t="s">
        <v>17</v>
      </c>
      <c r="C11" s="1" t="s">
        <v>13</v>
      </c>
      <c r="D11" s="1" t="s">
        <v>36</v>
      </c>
      <c r="E11" s="1">
        <v>14</v>
      </c>
      <c r="F11" s="1">
        <v>470</v>
      </c>
      <c r="G11" s="1">
        <v>5</v>
      </c>
      <c r="H11" s="2">
        <v>46062</v>
      </c>
      <c r="I11" s="2">
        <v>46068</v>
      </c>
      <c r="J11" s="1" t="s">
        <v>15</v>
      </c>
      <c r="K11" s="1">
        <v>1010</v>
      </c>
    </row>
    <row r="12" spans="1:11" ht="14.4" hidden="1" x14ac:dyDescent="0.3">
      <c r="A12" s="1" t="s">
        <v>11</v>
      </c>
      <c r="B12" s="1" t="s">
        <v>17</v>
      </c>
      <c r="C12" s="1" t="s">
        <v>13</v>
      </c>
      <c r="D12" s="1" t="s">
        <v>37</v>
      </c>
      <c r="E12" s="1">
        <v>14</v>
      </c>
      <c r="F12" s="1">
        <v>88</v>
      </c>
      <c r="G12" s="1">
        <v>12</v>
      </c>
      <c r="H12" s="2">
        <v>46161</v>
      </c>
      <c r="I12" s="2">
        <v>46163</v>
      </c>
      <c r="J12" s="1" t="s">
        <v>15</v>
      </c>
      <c r="K12" s="1">
        <v>1011</v>
      </c>
    </row>
    <row r="13" spans="1:11" ht="14.4" x14ac:dyDescent="0.3">
      <c r="A13" s="1" t="s">
        <v>26</v>
      </c>
      <c r="B13" s="1" t="s">
        <v>38</v>
      </c>
      <c r="C13" s="1" t="s">
        <v>34</v>
      </c>
      <c r="D13" s="1" t="s">
        <v>39</v>
      </c>
      <c r="E13" s="1">
        <v>3</v>
      </c>
      <c r="F13" s="1">
        <v>64615</v>
      </c>
      <c r="G13" s="1">
        <v>10</v>
      </c>
      <c r="H13" s="2">
        <v>46086</v>
      </c>
      <c r="I13" s="2">
        <v>46095</v>
      </c>
      <c r="J13" s="1" t="s">
        <v>29</v>
      </c>
      <c r="K13" s="1">
        <v>1012</v>
      </c>
    </row>
    <row r="14" spans="1:11" ht="14.4" hidden="1" x14ac:dyDescent="0.3">
      <c r="A14" s="1" t="s">
        <v>16</v>
      </c>
      <c r="B14" s="1" t="s">
        <v>31</v>
      </c>
      <c r="C14" s="1" t="s">
        <v>13</v>
      </c>
      <c r="D14" s="1" t="s">
        <v>36</v>
      </c>
      <c r="E14" s="1">
        <v>17</v>
      </c>
      <c r="F14" s="1">
        <v>459</v>
      </c>
      <c r="G14" s="1">
        <v>12</v>
      </c>
      <c r="H14" s="2">
        <v>46095</v>
      </c>
      <c r="I14" s="2">
        <v>46105</v>
      </c>
      <c r="J14" s="1" t="s">
        <v>29</v>
      </c>
      <c r="K14" s="1">
        <v>1013</v>
      </c>
    </row>
    <row r="15" spans="1:11" ht="14.4" x14ac:dyDescent="0.3">
      <c r="A15" s="1" t="s">
        <v>40</v>
      </c>
      <c r="B15" s="1" t="s">
        <v>17</v>
      </c>
      <c r="C15" s="1" t="s">
        <v>34</v>
      </c>
      <c r="D15" s="1" t="s">
        <v>41</v>
      </c>
      <c r="E15" s="1">
        <v>19</v>
      </c>
      <c r="F15" s="1">
        <v>53683</v>
      </c>
      <c r="G15" s="1">
        <v>12</v>
      </c>
      <c r="H15" s="2">
        <v>46129</v>
      </c>
      <c r="I15" s="2">
        <v>46134</v>
      </c>
      <c r="J15" s="1" t="s">
        <v>29</v>
      </c>
      <c r="K15" s="1">
        <v>1014</v>
      </c>
    </row>
    <row r="16" spans="1:11" ht="14.4" hidden="1" x14ac:dyDescent="0.3">
      <c r="A16" s="1" t="s">
        <v>42</v>
      </c>
      <c r="B16" s="1" t="s">
        <v>43</v>
      </c>
      <c r="C16" s="1" t="s">
        <v>18</v>
      </c>
      <c r="D16" s="1" t="s">
        <v>44</v>
      </c>
      <c r="E16" s="1">
        <v>11</v>
      </c>
      <c r="F16" s="1">
        <v>14511</v>
      </c>
      <c r="G16" s="1">
        <v>2</v>
      </c>
      <c r="H16" s="2">
        <v>46175</v>
      </c>
      <c r="I16" s="2">
        <v>46185</v>
      </c>
      <c r="J16" s="1" t="s">
        <v>20</v>
      </c>
      <c r="K16" s="1">
        <v>1015</v>
      </c>
    </row>
    <row r="17" spans="1:11" ht="14.4" x14ac:dyDescent="0.3">
      <c r="A17" s="1" t="s">
        <v>32</v>
      </c>
      <c r="B17" s="1" t="s">
        <v>33</v>
      </c>
      <c r="C17" s="1" t="s">
        <v>34</v>
      </c>
      <c r="D17" s="1" t="s">
        <v>45</v>
      </c>
      <c r="E17" s="1">
        <v>16</v>
      </c>
      <c r="F17" s="1">
        <v>30234</v>
      </c>
      <c r="G17" s="1">
        <v>15</v>
      </c>
      <c r="H17" s="2">
        <v>46137</v>
      </c>
      <c r="I17" s="2">
        <v>46140</v>
      </c>
      <c r="J17" s="1" t="s">
        <v>24</v>
      </c>
      <c r="K17" s="1">
        <v>1016</v>
      </c>
    </row>
    <row r="18" spans="1:11" ht="14.4" hidden="1" x14ac:dyDescent="0.3">
      <c r="A18" s="1" t="s">
        <v>46</v>
      </c>
      <c r="B18" s="1" t="s">
        <v>38</v>
      </c>
      <c r="C18" s="1" t="s">
        <v>13</v>
      </c>
      <c r="D18" s="1" t="s">
        <v>36</v>
      </c>
      <c r="E18" s="1">
        <v>8</v>
      </c>
      <c r="F18" s="1">
        <v>179</v>
      </c>
      <c r="G18" s="1">
        <v>15</v>
      </c>
      <c r="H18" s="2">
        <v>46082</v>
      </c>
      <c r="I18" s="2">
        <v>46084</v>
      </c>
      <c r="J18" s="1" t="s">
        <v>15</v>
      </c>
      <c r="K18" s="1">
        <v>1017</v>
      </c>
    </row>
    <row r="19" spans="1:11" ht="14.4" hidden="1" x14ac:dyDescent="0.3">
      <c r="A19" s="1" t="s">
        <v>47</v>
      </c>
      <c r="B19" s="1" t="s">
        <v>25</v>
      </c>
      <c r="C19" s="1" t="s">
        <v>13</v>
      </c>
      <c r="D19" s="1" t="s">
        <v>14</v>
      </c>
      <c r="E19" s="1">
        <v>20</v>
      </c>
      <c r="F19" s="1">
        <v>301</v>
      </c>
      <c r="G19" s="1">
        <v>0</v>
      </c>
      <c r="H19" s="2">
        <v>46089</v>
      </c>
      <c r="I19" s="2">
        <v>46094</v>
      </c>
      <c r="J19" s="1" t="s">
        <v>29</v>
      </c>
      <c r="K19" s="1">
        <v>1018</v>
      </c>
    </row>
    <row r="20" spans="1:11" ht="14.4" x14ac:dyDescent="0.3">
      <c r="A20" s="1" t="s">
        <v>11</v>
      </c>
      <c r="B20" s="1" t="s">
        <v>43</v>
      </c>
      <c r="C20" s="1" t="s">
        <v>34</v>
      </c>
      <c r="D20" s="1" t="s">
        <v>41</v>
      </c>
      <c r="E20" s="1">
        <v>18</v>
      </c>
      <c r="F20" s="1">
        <v>45652</v>
      </c>
      <c r="G20" s="1">
        <v>10</v>
      </c>
      <c r="H20" s="2">
        <v>46023</v>
      </c>
      <c r="I20" s="2">
        <v>46030</v>
      </c>
      <c r="J20" s="1" t="s">
        <v>20</v>
      </c>
      <c r="K20" s="1">
        <v>1019</v>
      </c>
    </row>
    <row r="21" spans="1:11" ht="14.4" hidden="1" x14ac:dyDescent="0.3">
      <c r="A21" s="1" t="s">
        <v>46</v>
      </c>
      <c r="B21" s="1" t="s">
        <v>12</v>
      </c>
      <c r="C21" s="1" t="s">
        <v>18</v>
      </c>
      <c r="D21" s="1" t="s">
        <v>19</v>
      </c>
      <c r="E21" s="1">
        <v>5</v>
      </c>
      <c r="F21" s="1">
        <v>4582</v>
      </c>
      <c r="G21" s="1">
        <v>5</v>
      </c>
      <c r="H21" s="2">
        <v>46078</v>
      </c>
      <c r="I21" s="2">
        <v>46083</v>
      </c>
      <c r="J21" s="1" t="s">
        <v>15</v>
      </c>
      <c r="K21" s="1">
        <v>1020</v>
      </c>
    </row>
    <row r="22" spans="1:11" ht="14.4" hidden="1" x14ac:dyDescent="0.3">
      <c r="A22" s="1" t="s">
        <v>48</v>
      </c>
      <c r="B22" s="1" t="s">
        <v>43</v>
      </c>
      <c r="C22" s="1" t="s">
        <v>13</v>
      </c>
      <c r="D22" s="1" t="s">
        <v>14</v>
      </c>
      <c r="E22" s="1">
        <v>3</v>
      </c>
      <c r="F22" s="1">
        <v>484</v>
      </c>
      <c r="G22" s="1">
        <v>2</v>
      </c>
      <c r="H22" s="2">
        <v>46144</v>
      </c>
      <c r="I22" s="2">
        <v>46148</v>
      </c>
      <c r="J22" s="1" t="s">
        <v>24</v>
      </c>
      <c r="K22" s="1">
        <v>1021</v>
      </c>
    </row>
    <row r="23" spans="1:11" ht="14.4" x14ac:dyDescent="0.3">
      <c r="A23" s="1" t="s">
        <v>26</v>
      </c>
      <c r="B23" s="1" t="s">
        <v>17</v>
      </c>
      <c r="C23" s="1" t="s">
        <v>34</v>
      </c>
      <c r="D23" s="1" t="s">
        <v>45</v>
      </c>
      <c r="E23" s="1">
        <v>15</v>
      </c>
      <c r="F23" s="1">
        <v>11596</v>
      </c>
      <c r="G23" s="1">
        <v>0</v>
      </c>
      <c r="H23" s="2">
        <v>46117</v>
      </c>
      <c r="I23" s="2">
        <v>46121</v>
      </c>
      <c r="J23" s="1" t="s">
        <v>29</v>
      </c>
      <c r="K23" s="1">
        <v>1022</v>
      </c>
    </row>
    <row r="24" spans="1:11" ht="14.4" hidden="1" x14ac:dyDescent="0.3">
      <c r="A24" s="1" t="s">
        <v>40</v>
      </c>
      <c r="B24" s="1" t="s">
        <v>12</v>
      </c>
      <c r="C24" s="1" t="s">
        <v>18</v>
      </c>
      <c r="D24" s="1" t="s">
        <v>44</v>
      </c>
      <c r="E24" s="1">
        <v>15</v>
      </c>
      <c r="F24" s="1">
        <v>3506</v>
      </c>
      <c r="G24" s="1">
        <v>2</v>
      </c>
      <c r="H24" s="2">
        <v>46193</v>
      </c>
      <c r="I24" s="2">
        <v>46194</v>
      </c>
      <c r="J24" s="1" t="s">
        <v>29</v>
      </c>
      <c r="K24" s="1">
        <v>1023</v>
      </c>
    </row>
    <row r="25" spans="1:11" ht="14.4" x14ac:dyDescent="0.3">
      <c r="A25" s="1" t="s">
        <v>32</v>
      </c>
      <c r="B25" s="1" t="s">
        <v>38</v>
      </c>
      <c r="C25" s="1" t="s">
        <v>34</v>
      </c>
      <c r="D25" s="1" t="s">
        <v>41</v>
      </c>
      <c r="E25" s="1">
        <v>12</v>
      </c>
      <c r="F25" s="1">
        <v>1682</v>
      </c>
      <c r="G25" s="1">
        <v>5</v>
      </c>
      <c r="H25" s="2">
        <v>46161</v>
      </c>
      <c r="I25" s="2">
        <v>46165</v>
      </c>
      <c r="J25" s="1" t="s">
        <v>15</v>
      </c>
      <c r="K25" s="1">
        <v>1024</v>
      </c>
    </row>
    <row r="26" spans="1:11" ht="14.4" hidden="1" x14ac:dyDescent="0.3">
      <c r="A26" s="1" t="s">
        <v>21</v>
      </c>
      <c r="B26" s="1" t="s">
        <v>12</v>
      </c>
      <c r="C26" s="1" t="s">
        <v>18</v>
      </c>
      <c r="D26" s="1" t="s">
        <v>19</v>
      </c>
      <c r="E26" s="1">
        <v>18</v>
      </c>
      <c r="F26" s="1">
        <v>7924</v>
      </c>
      <c r="G26" s="1">
        <v>0</v>
      </c>
      <c r="H26" s="2">
        <v>46175</v>
      </c>
      <c r="I26" s="2">
        <v>46181</v>
      </c>
      <c r="J26" s="1" t="s">
        <v>15</v>
      </c>
      <c r="K26" s="1">
        <v>1025</v>
      </c>
    </row>
    <row r="27" spans="1:11" ht="14.4" hidden="1" x14ac:dyDescent="0.3">
      <c r="A27" s="1" t="s">
        <v>49</v>
      </c>
      <c r="B27" s="1" t="s">
        <v>31</v>
      </c>
      <c r="C27" s="1" t="s">
        <v>13</v>
      </c>
      <c r="D27" s="1" t="s">
        <v>50</v>
      </c>
      <c r="E27" s="1">
        <v>17</v>
      </c>
      <c r="F27" s="1">
        <v>323</v>
      </c>
      <c r="G27" s="1">
        <v>10</v>
      </c>
      <c r="H27" s="2">
        <v>46039</v>
      </c>
      <c r="I27" s="2">
        <v>46040</v>
      </c>
      <c r="J27" s="1" t="s">
        <v>29</v>
      </c>
      <c r="K27" s="1">
        <v>1026</v>
      </c>
    </row>
    <row r="28" spans="1:11" ht="14.4" hidden="1" x14ac:dyDescent="0.3">
      <c r="A28" s="1" t="s">
        <v>29</v>
      </c>
      <c r="B28" s="1" t="s">
        <v>43</v>
      </c>
      <c r="C28" s="1" t="s">
        <v>13</v>
      </c>
      <c r="D28" s="1" t="s">
        <v>50</v>
      </c>
      <c r="E28" s="1">
        <v>4</v>
      </c>
      <c r="F28" s="1">
        <v>264</v>
      </c>
      <c r="G28" s="1">
        <v>0</v>
      </c>
      <c r="H28" s="2">
        <v>46155</v>
      </c>
      <c r="I28" s="2">
        <v>46161</v>
      </c>
      <c r="J28" s="1" t="s">
        <v>51</v>
      </c>
      <c r="K28" s="1">
        <v>1027</v>
      </c>
    </row>
    <row r="29" spans="1:11" ht="14.4" hidden="1" x14ac:dyDescent="0.3">
      <c r="A29" s="1" t="s">
        <v>47</v>
      </c>
      <c r="B29" s="1" t="s">
        <v>22</v>
      </c>
      <c r="C29" s="1" t="s">
        <v>13</v>
      </c>
      <c r="D29" s="1" t="s">
        <v>36</v>
      </c>
      <c r="E29" s="1">
        <v>13</v>
      </c>
      <c r="F29" s="1">
        <v>433</v>
      </c>
      <c r="G29" s="1">
        <v>2</v>
      </c>
      <c r="H29" s="2">
        <v>46116</v>
      </c>
      <c r="I29" s="2">
        <v>46121</v>
      </c>
      <c r="J29" s="1" t="s">
        <v>24</v>
      </c>
      <c r="K29" s="1">
        <v>1028</v>
      </c>
    </row>
    <row r="30" spans="1:11" ht="14.4" hidden="1" x14ac:dyDescent="0.3">
      <c r="A30" s="1" t="s">
        <v>30</v>
      </c>
      <c r="B30" s="1" t="s">
        <v>25</v>
      </c>
      <c r="C30" s="1" t="s">
        <v>13</v>
      </c>
      <c r="D30" s="1" t="s">
        <v>36</v>
      </c>
      <c r="E30" s="1">
        <v>18</v>
      </c>
      <c r="F30" s="1">
        <v>443</v>
      </c>
      <c r="G30" s="1">
        <v>5</v>
      </c>
      <c r="H30" s="2">
        <v>46046</v>
      </c>
      <c r="I30" s="2">
        <v>46054</v>
      </c>
      <c r="J30" s="1" t="s">
        <v>24</v>
      </c>
      <c r="K30" s="1">
        <v>1029</v>
      </c>
    </row>
    <row r="31" spans="1:11" ht="14.4" hidden="1" x14ac:dyDescent="0.3">
      <c r="A31" s="1" t="s">
        <v>52</v>
      </c>
      <c r="B31" s="1" t="s">
        <v>12</v>
      </c>
      <c r="C31" s="1" t="s">
        <v>13</v>
      </c>
      <c r="D31" s="1" t="s">
        <v>53</v>
      </c>
      <c r="E31" s="1">
        <v>13</v>
      </c>
      <c r="F31" s="1">
        <v>336</v>
      </c>
      <c r="G31" s="1">
        <v>10</v>
      </c>
      <c r="H31" s="2">
        <v>46098</v>
      </c>
      <c r="I31" s="2">
        <v>46108</v>
      </c>
      <c r="J31" s="1" t="s">
        <v>15</v>
      </c>
      <c r="K31" s="1">
        <v>1030</v>
      </c>
    </row>
    <row r="32" spans="1:11" ht="14.4" hidden="1" x14ac:dyDescent="0.3">
      <c r="A32" s="1" t="s">
        <v>54</v>
      </c>
      <c r="B32" s="1" t="s">
        <v>31</v>
      </c>
      <c r="C32" s="1" t="s">
        <v>13</v>
      </c>
      <c r="D32" s="1" t="s">
        <v>53</v>
      </c>
      <c r="E32" s="1">
        <v>2</v>
      </c>
      <c r="F32" s="1">
        <v>184</v>
      </c>
      <c r="G32" s="1">
        <v>5</v>
      </c>
      <c r="H32" s="2">
        <v>46089</v>
      </c>
      <c r="I32" s="2">
        <v>46093</v>
      </c>
      <c r="J32" s="1" t="s">
        <v>20</v>
      </c>
      <c r="K32" s="1">
        <v>1031</v>
      </c>
    </row>
    <row r="33" spans="1:11" ht="14.4" x14ac:dyDescent="0.3">
      <c r="A33" s="1" t="s">
        <v>54</v>
      </c>
      <c r="B33" s="1" t="s">
        <v>43</v>
      </c>
      <c r="C33" s="1" t="s">
        <v>34</v>
      </c>
      <c r="D33" s="1" t="s">
        <v>39</v>
      </c>
      <c r="E33" s="1">
        <v>20</v>
      </c>
      <c r="F33" s="1">
        <v>11305</v>
      </c>
      <c r="G33" s="1">
        <v>2</v>
      </c>
      <c r="H33" s="2">
        <v>46163</v>
      </c>
      <c r="I33" s="2">
        <v>46165</v>
      </c>
      <c r="J33" s="1" t="s">
        <v>29</v>
      </c>
      <c r="K33" s="1">
        <v>1032</v>
      </c>
    </row>
    <row r="34" spans="1:11" ht="14.4" hidden="1" x14ac:dyDescent="0.3">
      <c r="A34" s="1" t="s">
        <v>11</v>
      </c>
      <c r="B34" s="1" t="s">
        <v>43</v>
      </c>
      <c r="C34" s="1" t="s">
        <v>18</v>
      </c>
      <c r="D34" s="1" t="s">
        <v>19</v>
      </c>
      <c r="E34" s="1">
        <v>9</v>
      </c>
      <c r="F34" s="1">
        <v>4895</v>
      </c>
      <c r="G34" s="1">
        <v>2</v>
      </c>
      <c r="H34" s="2">
        <v>46082</v>
      </c>
      <c r="I34" s="2">
        <v>46084</v>
      </c>
      <c r="J34" s="1" t="s">
        <v>29</v>
      </c>
      <c r="K34" s="1">
        <v>1033</v>
      </c>
    </row>
    <row r="35" spans="1:11" ht="14.4" hidden="1" x14ac:dyDescent="0.3">
      <c r="A35" s="1" t="s">
        <v>55</v>
      </c>
      <c r="B35" s="1" t="s">
        <v>33</v>
      </c>
      <c r="C35" s="1" t="s">
        <v>18</v>
      </c>
      <c r="D35" s="1" t="s">
        <v>28</v>
      </c>
      <c r="E35" s="1">
        <v>17</v>
      </c>
      <c r="F35" s="1">
        <v>5104</v>
      </c>
      <c r="G35" s="1">
        <v>12</v>
      </c>
      <c r="H35" s="2">
        <v>46052</v>
      </c>
      <c r="I35" s="2">
        <v>46061</v>
      </c>
      <c r="J35" s="1" t="s">
        <v>51</v>
      </c>
      <c r="K35" s="1">
        <v>1034</v>
      </c>
    </row>
    <row r="36" spans="1:11" ht="14.4" hidden="1" x14ac:dyDescent="0.3">
      <c r="A36" s="1" t="s">
        <v>49</v>
      </c>
      <c r="B36" s="1" t="s">
        <v>43</v>
      </c>
      <c r="C36" s="1" t="s">
        <v>18</v>
      </c>
      <c r="D36" s="1" t="s">
        <v>56</v>
      </c>
      <c r="E36" s="1">
        <v>3</v>
      </c>
      <c r="F36" s="1">
        <v>9149</v>
      </c>
      <c r="G36" s="1">
        <v>0</v>
      </c>
      <c r="H36" s="2">
        <v>46031</v>
      </c>
      <c r="I36" s="2">
        <v>46034</v>
      </c>
      <c r="J36" s="1" t="s">
        <v>24</v>
      </c>
      <c r="K36" s="1">
        <v>1035</v>
      </c>
    </row>
    <row r="37" spans="1:11" ht="14.4" hidden="1" x14ac:dyDescent="0.3">
      <c r="A37" s="1" t="s">
        <v>11</v>
      </c>
      <c r="B37" s="1" t="s">
        <v>25</v>
      </c>
      <c r="C37" s="1" t="s">
        <v>13</v>
      </c>
      <c r="D37" s="1" t="s">
        <v>36</v>
      </c>
      <c r="E37" s="1">
        <v>20</v>
      </c>
      <c r="F37" s="1">
        <v>161</v>
      </c>
      <c r="G37" s="1">
        <v>7</v>
      </c>
      <c r="H37" s="2">
        <v>46071</v>
      </c>
      <c r="I37" s="2">
        <v>46077</v>
      </c>
      <c r="J37" s="1" t="s">
        <v>24</v>
      </c>
      <c r="K37" s="1">
        <v>1036</v>
      </c>
    </row>
    <row r="38" spans="1:11" ht="14.4" hidden="1" x14ac:dyDescent="0.3">
      <c r="A38" s="1" t="s">
        <v>46</v>
      </c>
      <c r="B38" s="1" t="s">
        <v>43</v>
      </c>
      <c r="C38" s="1" t="s">
        <v>18</v>
      </c>
      <c r="D38" s="1" t="s">
        <v>56</v>
      </c>
      <c r="E38" s="1">
        <v>6</v>
      </c>
      <c r="F38" s="1">
        <v>14385</v>
      </c>
      <c r="G38" s="1">
        <v>12</v>
      </c>
      <c r="H38" s="2">
        <v>46033</v>
      </c>
      <c r="I38" s="2">
        <v>46043</v>
      </c>
      <c r="J38" s="1" t="s">
        <v>24</v>
      </c>
      <c r="K38" s="1">
        <v>1037</v>
      </c>
    </row>
    <row r="39" spans="1:11" ht="14.4" hidden="1" x14ac:dyDescent="0.3">
      <c r="A39" s="1" t="s">
        <v>55</v>
      </c>
      <c r="B39" s="1" t="s">
        <v>17</v>
      </c>
      <c r="C39" s="1" t="s">
        <v>13</v>
      </c>
      <c r="D39" s="1" t="s">
        <v>36</v>
      </c>
      <c r="E39" s="1">
        <v>17</v>
      </c>
      <c r="F39" s="1">
        <v>223</v>
      </c>
      <c r="G39" s="1">
        <v>7</v>
      </c>
      <c r="H39" s="2">
        <v>46030</v>
      </c>
      <c r="I39" s="2">
        <v>46031</v>
      </c>
      <c r="J39" s="1" t="s">
        <v>51</v>
      </c>
      <c r="K39" s="1">
        <v>1038</v>
      </c>
    </row>
    <row r="40" spans="1:11" ht="14.4" x14ac:dyDescent="0.3">
      <c r="A40" s="1" t="s">
        <v>48</v>
      </c>
      <c r="B40" s="1" t="s">
        <v>38</v>
      </c>
      <c r="C40" s="1" t="s">
        <v>34</v>
      </c>
      <c r="D40" s="1" t="s">
        <v>45</v>
      </c>
      <c r="E40" s="1">
        <v>5</v>
      </c>
      <c r="F40" s="1">
        <v>60236</v>
      </c>
      <c r="G40" s="1">
        <v>10</v>
      </c>
      <c r="H40" s="2">
        <v>46107</v>
      </c>
      <c r="I40" s="2">
        <v>46110</v>
      </c>
      <c r="J40" s="1" t="s">
        <v>20</v>
      </c>
      <c r="K40" s="1">
        <v>1039</v>
      </c>
    </row>
    <row r="41" spans="1:11" ht="14.4" hidden="1" x14ac:dyDescent="0.3">
      <c r="A41" s="1" t="s">
        <v>49</v>
      </c>
      <c r="B41" s="1" t="s">
        <v>38</v>
      </c>
      <c r="C41" s="1" t="s">
        <v>18</v>
      </c>
      <c r="D41" s="1" t="s">
        <v>28</v>
      </c>
      <c r="E41" s="1">
        <v>10</v>
      </c>
      <c r="F41" s="1">
        <v>7531</v>
      </c>
      <c r="G41" s="1">
        <v>2</v>
      </c>
      <c r="H41" s="2">
        <v>46171</v>
      </c>
      <c r="I41" s="2">
        <v>46178</v>
      </c>
      <c r="J41" s="1" t="s">
        <v>24</v>
      </c>
      <c r="K41" s="1">
        <v>1040</v>
      </c>
    </row>
    <row r="42" spans="1:11" ht="14.4" hidden="1" x14ac:dyDescent="0.3">
      <c r="A42" s="1" t="s">
        <v>54</v>
      </c>
      <c r="B42" s="1" t="s">
        <v>38</v>
      </c>
      <c r="C42" s="1" t="s">
        <v>13</v>
      </c>
      <c r="D42" s="1" t="s">
        <v>50</v>
      </c>
      <c r="E42" s="1">
        <v>9</v>
      </c>
      <c r="F42" s="1">
        <v>71</v>
      </c>
      <c r="G42" s="1">
        <v>7</v>
      </c>
      <c r="H42" s="2">
        <v>46185</v>
      </c>
      <c r="I42" s="2">
        <v>46188</v>
      </c>
      <c r="J42" s="1" t="s">
        <v>15</v>
      </c>
      <c r="K42" s="1">
        <v>1041</v>
      </c>
    </row>
    <row r="43" spans="1:11" ht="14.4" hidden="1" x14ac:dyDescent="0.3">
      <c r="A43" s="1" t="s">
        <v>46</v>
      </c>
      <c r="B43" s="1" t="s">
        <v>33</v>
      </c>
      <c r="C43" s="1" t="s">
        <v>13</v>
      </c>
      <c r="D43" s="1" t="s">
        <v>53</v>
      </c>
      <c r="E43" s="1">
        <v>16</v>
      </c>
      <c r="F43" s="1">
        <v>232</v>
      </c>
      <c r="G43" s="1">
        <v>0</v>
      </c>
      <c r="H43" s="2">
        <v>46081</v>
      </c>
      <c r="I43" s="2">
        <v>46088</v>
      </c>
      <c r="J43" s="1" t="s">
        <v>29</v>
      </c>
      <c r="K43" s="1">
        <v>1042</v>
      </c>
    </row>
    <row r="44" spans="1:11" ht="14.4" x14ac:dyDescent="0.3">
      <c r="A44" s="1" t="s">
        <v>49</v>
      </c>
      <c r="B44" s="1" t="s">
        <v>38</v>
      </c>
      <c r="C44" s="1" t="s">
        <v>34</v>
      </c>
      <c r="D44" s="1" t="s">
        <v>35</v>
      </c>
      <c r="E44" s="1">
        <v>20</v>
      </c>
      <c r="F44" s="1">
        <v>46093</v>
      </c>
      <c r="G44" s="1">
        <v>5</v>
      </c>
      <c r="H44" s="2">
        <v>46091</v>
      </c>
      <c r="I44" s="2">
        <v>46098</v>
      </c>
      <c r="J44" s="1" t="s">
        <v>29</v>
      </c>
      <c r="K44" s="1">
        <v>1043</v>
      </c>
    </row>
    <row r="45" spans="1:11" ht="14.4" hidden="1" x14ac:dyDescent="0.3">
      <c r="A45" s="1" t="s">
        <v>48</v>
      </c>
      <c r="B45" s="1" t="s">
        <v>38</v>
      </c>
      <c r="C45" s="1" t="s">
        <v>18</v>
      </c>
      <c r="D45" s="1" t="s">
        <v>19</v>
      </c>
      <c r="E45" s="1">
        <v>4</v>
      </c>
      <c r="F45" s="1">
        <v>14731</v>
      </c>
      <c r="G45" s="1">
        <v>2</v>
      </c>
      <c r="H45" s="2">
        <v>46173</v>
      </c>
      <c r="I45" s="2">
        <v>46176</v>
      </c>
      <c r="J45" s="1" t="s">
        <v>20</v>
      </c>
      <c r="K45" s="1">
        <v>1044</v>
      </c>
    </row>
    <row r="46" spans="1:11" ht="14.4" x14ac:dyDescent="0.3">
      <c r="A46" s="1" t="s">
        <v>32</v>
      </c>
      <c r="B46" s="1" t="s">
        <v>38</v>
      </c>
      <c r="C46" s="1" t="s">
        <v>34</v>
      </c>
      <c r="D46" s="1" t="s">
        <v>35</v>
      </c>
      <c r="E46" s="1">
        <v>3</v>
      </c>
      <c r="F46" s="1">
        <v>62762</v>
      </c>
      <c r="G46" s="1">
        <v>7</v>
      </c>
      <c r="H46" s="2">
        <v>46038</v>
      </c>
      <c r="I46" s="2">
        <v>46039</v>
      </c>
      <c r="J46" s="1" t="s">
        <v>29</v>
      </c>
      <c r="K46" s="1">
        <v>1045</v>
      </c>
    </row>
    <row r="47" spans="1:11" ht="14.4" x14ac:dyDescent="0.3">
      <c r="A47" s="1" t="s">
        <v>57</v>
      </c>
      <c r="B47" s="1" t="s">
        <v>38</v>
      </c>
      <c r="C47" s="1" t="s">
        <v>34</v>
      </c>
      <c r="D47" s="1" t="s">
        <v>45</v>
      </c>
      <c r="E47" s="1">
        <v>3</v>
      </c>
      <c r="F47" s="1">
        <v>19443</v>
      </c>
      <c r="G47" s="1">
        <v>10</v>
      </c>
      <c r="H47" s="2">
        <v>46153</v>
      </c>
      <c r="I47" s="2">
        <v>46158</v>
      </c>
      <c r="J47" s="1" t="s">
        <v>29</v>
      </c>
      <c r="K47" s="1">
        <v>1046</v>
      </c>
    </row>
    <row r="48" spans="1:11" ht="14.4" hidden="1" x14ac:dyDescent="0.3">
      <c r="A48" s="1" t="s">
        <v>58</v>
      </c>
      <c r="B48" s="1" t="s">
        <v>38</v>
      </c>
      <c r="C48" s="1" t="s">
        <v>18</v>
      </c>
      <c r="D48" s="1" t="s">
        <v>56</v>
      </c>
      <c r="E48" s="1">
        <v>11</v>
      </c>
      <c r="F48" s="1">
        <v>9976</v>
      </c>
      <c r="G48" s="1">
        <v>12</v>
      </c>
      <c r="H48" s="2">
        <v>46200</v>
      </c>
      <c r="I48" s="2">
        <v>46209</v>
      </c>
      <c r="J48" s="1" t="s">
        <v>15</v>
      </c>
      <c r="K48" s="1">
        <v>1047</v>
      </c>
    </row>
    <row r="49" spans="1:11" ht="14.4" x14ac:dyDescent="0.3">
      <c r="A49" s="1" t="s">
        <v>59</v>
      </c>
      <c r="B49" s="1" t="s">
        <v>25</v>
      </c>
      <c r="C49" s="1" t="s">
        <v>34</v>
      </c>
      <c r="D49" s="1" t="s">
        <v>60</v>
      </c>
      <c r="E49" s="1">
        <v>14</v>
      </c>
      <c r="F49" s="1">
        <v>11762</v>
      </c>
      <c r="G49" s="1">
        <v>7</v>
      </c>
      <c r="H49" s="2">
        <v>46180</v>
      </c>
      <c r="I49" s="2">
        <v>46186</v>
      </c>
      <c r="J49" s="1" t="s">
        <v>24</v>
      </c>
      <c r="K49" s="1">
        <v>1048</v>
      </c>
    </row>
    <row r="50" spans="1:11" ht="14.4" x14ac:dyDescent="0.3">
      <c r="A50" s="1" t="s">
        <v>52</v>
      </c>
      <c r="B50" s="1" t="s">
        <v>25</v>
      </c>
      <c r="C50" s="1" t="s">
        <v>34</v>
      </c>
      <c r="D50" s="1" t="s">
        <v>45</v>
      </c>
      <c r="E50" s="1">
        <v>2</v>
      </c>
      <c r="F50" s="1">
        <v>40789</v>
      </c>
      <c r="G50" s="1">
        <v>0</v>
      </c>
      <c r="H50" s="2">
        <v>46102</v>
      </c>
      <c r="I50" s="2">
        <v>46108</v>
      </c>
      <c r="J50" s="1" t="s">
        <v>24</v>
      </c>
      <c r="K50" s="1">
        <v>1049</v>
      </c>
    </row>
    <row r="51" spans="1:11" ht="14.4" hidden="1" x14ac:dyDescent="0.3">
      <c r="A51" s="1" t="s">
        <v>32</v>
      </c>
      <c r="B51" s="1" t="s">
        <v>25</v>
      </c>
      <c r="C51" s="1" t="s">
        <v>13</v>
      </c>
      <c r="D51" s="1" t="s">
        <v>53</v>
      </c>
      <c r="E51" s="1">
        <v>12</v>
      </c>
      <c r="F51" s="1">
        <v>360</v>
      </c>
      <c r="G51" s="1">
        <v>5</v>
      </c>
      <c r="H51" s="2">
        <v>46127</v>
      </c>
      <c r="I51" s="2">
        <v>46137</v>
      </c>
      <c r="J51" s="1" t="s">
        <v>29</v>
      </c>
      <c r="K51" s="1">
        <v>1050</v>
      </c>
    </row>
    <row r="52" spans="1:11" ht="14.4" hidden="1" x14ac:dyDescent="0.3">
      <c r="A52" s="1" t="s">
        <v>58</v>
      </c>
      <c r="B52" s="1" t="s">
        <v>17</v>
      </c>
      <c r="C52" s="1" t="s">
        <v>13</v>
      </c>
      <c r="D52" s="1" t="s">
        <v>36</v>
      </c>
      <c r="E52" s="1">
        <v>12</v>
      </c>
      <c r="F52" s="1">
        <v>47</v>
      </c>
      <c r="G52" s="1">
        <v>2</v>
      </c>
      <c r="H52" s="2">
        <v>46037</v>
      </c>
      <c r="I52" s="2">
        <v>46045</v>
      </c>
      <c r="J52" s="1" t="s">
        <v>15</v>
      </c>
      <c r="K52" s="1">
        <v>1051</v>
      </c>
    </row>
    <row r="53" spans="1:11" ht="14.4" hidden="1" x14ac:dyDescent="0.3">
      <c r="A53" s="1" t="s">
        <v>55</v>
      </c>
      <c r="B53" s="1" t="s">
        <v>12</v>
      </c>
      <c r="C53" s="1" t="s">
        <v>13</v>
      </c>
      <c r="D53" s="1" t="s">
        <v>14</v>
      </c>
      <c r="E53" s="1">
        <v>17</v>
      </c>
      <c r="F53" s="1">
        <v>172</v>
      </c>
      <c r="G53" s="1">
        <v>10</v>
      </c>
      <c r="H53" s="2">
        <v>46159</v>
      </c>
      <c r="I53" s="2">
        <v>46165</v>
      </c>
      <c r="J53" s="1" t="s">
        <v>20</v>
      </c>
      <c r="K53" s="1">
        <v>1052</v>
      </c>
    </row>
    <row r="54" spans="1:11" ht="14.4" hidden="1" x14ac:dyDescent="0.3">
      <c r="A54" s="1" t="s">
        <v>16</v>
      </c>
      <c r="B54" s="1" t="s">
        <v>33</v>
      </c>
      <c r="C54" s="1" t="s">
        <v>18</v>
      </c>
      <c r="D54" s="1" t="s">
        <v>28</v>
      </c>
      <c r="E54" s="1">
        <v>1</v>
      </c>
      <c r="F54" s="1">
        <v>9749</v>
      </c>
      <c r="G54" s="1">
        <v>15</v>
      </c>
      <c r="H54" s="2">
        <v>46064</v>
      </c>
      <c r="I54" s="2">
        <v>46070</v>
      </c>
      <c r="J54" s="1" t="s">
        <v>24</v>
      </c>
      <c r="K54" s="1">
        <v>1053</v>
      </c>
    </row>
    <row r="55" spans="1:11" ht="14.4" hidden="1" x14ac:dyDescent="0.3">
      <c r="A55" s="1" t="s">
        <v>26</v>
      </c>
      <c r="B55" s="1" t="s">
        <v>25</v>
      </c>
      <c r="C55" s="1" t="s">
        <v>18</v>
      </c>
      <c r="D55" s="1" t="s">
        <v>23</v>
      </c>
      <c r="E55" s="1">
        <v>8</v>
      </c>
      <c r="F55" s="1">
        <v>9798</v>
      </c>
      <c r="G55" s="1">
        <v>12</v>
      </c>
      <c r="H55" s="2">
        <v>46200</v>
      </c>
      <c r="I55" s="2">
        <v>46201</v>
      </c>
      <c r="J55" s="1" t="s">
        <v>51</v>
      </c>
      <c r="K55" s="1">
        <v>1054</v>
      </c>
    </row>
    <row r="56" spans="1:11" ht="14.4" hidden="1" x14ac:dyDescent="0.3">
      <c r="A56" s="1" t="s">
        <v>48</v>
      </c>
      <c r="B56" s="1" t="s">
        <v>12</v>
      </c>
      <c r="C56" s="1" t="s">
        <v>13</v>
      </c>
      <c r="D56" s="1" t="s">
        <v>37</v>
      </c>
      <c r="E56" s="1">
        <v>18</v>
      </c>
      <c r="F56" s="1">
        <v>185</v>
      </c>
      <c r="G56" s="1">
        <v>15</v>
      </c>
      <c r="H56" s="2">
        <v>46077</v>
      </c>
      <c r="I56" s="2">
        <v>46078</v>
      </c>
      <c r="J56" s="1" t="s">
        <v>15</v>
      </c>
      <c r="K56" s="1">
        <v>1055</v>
      </c>
    </row>
    <row r="57" spans="1:11" ht="14.4" hidden="1" x14ac:dyDescent="0.3">
      <c r="A57" s="1" t="s">
        <v>11</v>
      </c>
      <c r="B57" s="1" t="s">
        <v>22</v>
      </c>
      <c r="C57" s="1" t="s">
        <v>18</v>
      </c>
      <c r="D57" s="1" t="s">
        <v>19</v>
      </c>
      <c r="E57" s="1">
        <v>3</v>
      </c>
      <c r="F57" s="1">
        <v>9771</v>
      </c>
      <c r="G57" s="1">
        <v>5</v>
      </c>
      <c r="H57" s="2">
        <v>46133</v>
      </c>
      <c r="I57" s="2">
        <v>46139</v>
      </c>
      <c r="J57" s="1" t="s">
        <v>24</v>
      </c>
      <c r="K57" s="1">
        <v>1056</v>
      </c>
    </row>
    <row r="58" spans="1:11" ht="14.4" hidden="1" x14ac:dyDescent="0.3">
      <c r="A58" s="1" t="s">
        <v>59</v>
      </c>
      <c r="B58" s="1" t="s">
        <v>22</v>
      </c>
      <c r="C58" s="1" t="s">
        <v>18</v>
      </c>
      <c r="D58" s="1" t="s">
        <v>28</v>
      </c>
      <c r="E58" s="1">
        <v>2</v>
      </c>
      <c r="F58" s="1">
        <v>9531</v>
      </c>
      <c r="G58" s="1">
        <v>15</v>
      </c>
      <c r="H58" s="2">
        <v>46067</v>
      </c>
      <c r="I58" s="2">
        <v>46076</v>
      </c>
      <c r="J58" s="1" t="s">
        <v>51</v>
      </c>
      <c r="K58" s="1">
        <v>1057</v>
      </c>
    </row>
    <row r="59" spans="1:11" ht="14.4" hidden="1" x14ac:dyDescent="0.3">
      <c r="A59" s="1" t="s">
        <v>52</v>
      </c>
      <c r="B59" s="1" t="s">
        <v>38</v>
      </c>
      <c r="C59" s="1" t="s">
        <v>18</v>
      </c>
      <c r="D59" s="1" t="s">
        <v>28</v>
      </c>
      <c r="E59" s="1">
        <v>10</v>
      </c>
      <c r="F59" s="1">
        <v>5532</v>
      </c>
      <c r="G59" s="1">
        <v>7</v>
      </c>
      <c r="H59" s="2">
        <v>46074</v>
      </c>
      <c r="I59" s="2">
        <v>46084</v>
      </c>
      <c r="J59" s="1" t="s">
        <v>24</v>
      </c>
      <c r="K59" s="1">
        <v>1058</v>
      </c>
    </row>
    <row r="60" spans="1:11" ht="14.4" hidden="1" x14ac:dyDescent="0.3">
      <c r="A60" s="1" t="s">
        <v>54</v>
      </c>
      <c r="B60" s="1" t="s">
        <v>25</v>
      </c>
      <c r="C60" s="1" t="s">
        <v>13</v>
      </c>
      <c r="D60" s="1" t="s">
        <v>50</v>
      </c>
      <c r="E60" s="1">
        <v>20</v>
      </c>
      <c r="F60" s="1">
        <v>112</v>
      </c>
      <c r="G60" s="1">
        <v>10</v>
      </c>
      <c r="H60" s="2">
        <v>46113</v>
      </c>
      <c r="I60" s="2">
        <v>46122</v>
      </c>
      <c r="J60" s="1" t="s">
        <v>51</v>
      </c>
      <c r="K60" s="1">
        <v>1059</v>
      </c>
    </row>
    <row r="61" spans="1:11" ht="14.4" hidden="1" x14ac:dyDescent="0.3">
      <c r="A61" s="1" t="s">
        <v>49</v>
      </c>
      <c r="B61" s="1" t="s">
        <v>12</v>
      </c>
      <c r="C61" s="1" t="s">
        <v>18</v>
      </c>
      <c r="D61" s="1" t="s">
        <v>44</v>
      </c>
      <c r="E61" s="1">
        <v>9</v>
      </c>
      <c r="F61" s="1">
        <v>9727</v>
      </c>
      <c r="G61" s="1">
        <v>2</v>
      </c>
      <c r="H61" s="2">
        <v>46024</v>
      </c>
      <c r="I61" s="2">
        <v>46030</v>
      </c>
      <c r="J61" s="1" t="s">
        <v>20</v>
      </c>
      <c r="K61" s="1">
        <v>1060</v>
      </c>
    </row>
    <row r="62" spans="1:11" ht="14.4" x14ac:dyDescent="0.3">
      <c r="A62" s="1" t="s">
        <v>57</v>
      </c>
      <c r="B62" s="1" t="s">
        <v>12</v>
      </c>
      <c r="C62" s="1" t="s">
        <v>34</v>
      </c>
      <c r="D62" s="1" t="s">
        <v>41</v>
      </c>
      <c r="E62" s="1">
        <v>16</v>
      </c>
      <c r="F62" s="1">
        <v>59084</v>
      </c>
      <c r="G62" s="1">
        <v>0</v>
      </c>
      <c r="H62" s="2">
        <v>46060</v>
      </c>
      <c r="I62" s="2">
        <v>46069</v>
      </c>
      <c r="J62" s="1" t="s">
        <v>20</v>
      </c>
      <c r="K62" s="1">
        <v>1061</v>
      </c>
    </row>
    <row r="63" spans="1:11" ht="14.4" hidden="1" x14ac:dyDescent="0.3">
      <c r="A63" s="1" t="s">
        <v>40</v>
      </c>
      <c r="B63" s="1" t="s">
        <v>43</v>
      </c>
      <c r="C63" s="1" t="s">
        <v>18</v>
      </c>
      <c r="D63" s="1" t="s">
        <v>23</v>
      </c>
      <c r="E63" s="1">
        <v>8</v>
      </c>
      <c r="F63" s="1">
        <v>8360</v>
      </c>
      <c r="G63" s="1">
        <v>2</v>
      </c>
      <c r="H63" s="2">
        <v>46190</v>
      </c>
      <c r="I63" s="2">
        <v>46200</v>
      </c>
      <c r="J63" s="1" t="s">
        <v>51</v>
      </c>
      <c r="K63" s="1">
        <v>1062</v>
      </c>
    </row>
    <row r="64" spans="1:11" ht="14.4" x14ac:dyDescent="0.3">
      <c r="A64" s="1" t="s">
        <v>54</v>
      </c>
      <c r="B64" s="1" t="s">
        <v>22</v>
      </c>
      <c r="C64" s="1" t="s">
        <v>34</v>
      </c>
      <c r="D64" s="1" t="s">
        <v>45</v>
      </c>
      <c r="E64" s="1">
        <v>7</v>
      </c>
      <c r="F64" s="1">
        <v>66744</v>
      </c>
      <c r="G64" s="1">
        <v>7</v>
      </c>
      <c r="H64" s="2">
        <v>46148</v>
      </c>
      <c r="I64" s="2">
        <v>46155</v>
      </c>
      <c r="J64" s="1" t="s">
        <v>15</v>
      </c>
      <c r="K64" s="1">
        <v>1063</v>
      </c>
    </row>
    <row r="65" spans="1:11" ht="14.4" hidden="1" x14ac:dyDescent="0.3">
      <c r="A65" s="1" t="s">
        <v>26</v>
      </c>
      <c r="B65" s="1" t="s">
        <v>17</v>
      </c>
      <c r="C65" s="1" t="s">
        <v>13</v>
      </c>
      <c r="D65" s="1" t="s">
        <v>50</v>
      </c>
      <c r="E65" s="1">
        <v>20</v>
      </c>
      <c r="F65" s="1">
        <v>191</v>
      </c>
      <c r="G65" s="1">
        <v>7</v>
      </c>
      <c r="H65" s="2">
        <v>46185</v>
      </c>
      <c r="I65" s="2">
        <v>46195</v>
      </c>
      <c r="J65" s="1" t="s">
        <v>29</v>
      </c>
      <c r="K65" s="1">
        <v>1064</v>
      </c>
    </row>
    <row r="66" spans="1:11" ht="14.4" hidden="1" x14ac:dyDescent="0.3">
      <c r="A66" s="1" t="s">
        <v>42</v>
      </c>
      <c r="B66" s="1" t="s">
        <v>43</v>
      </c>
      <c r="C66" s="1" t="s">
        <v>18</v>
      </c>
      <c r="D66" s="1" t="s">
        <v>44</v>
      </c>
      <c r="E66" s="1">
        <v>1</v>
      </c>
      <c r="F66" s="1">
        <v>7730</v>
      </c>
      <c r="G66" s="1">
        <v>5</v>
      </c>
      <c r="H66" s="2">
        <v>46192</v>
      </c>
      <c r="I66" s="2">
        <v>46195</v>
      </c>
      <c r="J66" s="1" t="s">
        <v>51</v>
      </c>
      <c r="K66" s="1">
        <v>1065</v>
      </c>
    </row>
    <row r="67" spans="1:11" ht="14.4" hidden="1" x14ac:dyDescent="0.3">
      <c r="A67" s="1" t="s">
        <v>47</v>
      </c>
      <c r="B67" s="1" t="s">
        <v>25</v>
      </c>
      <c r="C67" s="1" t="s">
        <v>18</v>
      </c>
      <c r="D67" s="1" t="s">
        <v>44</v>
      </c>
      <c r="E67" s="1">
        <v>15</v>
      </c>
      <c r="F67" s="1">
        <v>11987</v>
      </c>
      <c r="G67" s="1">
        <v>5</v>
      </c>
      <c r="H67" s="2">
        <v>46082</v>
      </c>
      <c r="I67" s="2">
        <v>46083</v>
      </c>
      <c r="J67" s="1" t="s">
        <v>15</v>
      </c>
      <c r="K67" s="1">
        <v>1066</v>
      </c>
    </row>
    <row r="68" spans="1:11" ht="14.4" hidden="1" x14ac:dyDescent="0.3">
      <c r="A68" s="1" t="s">
        <v>32</v>
      </c>
      <c r="B68" s="1" t="s">
        <v>43</v>
      </c>
      <c r="C68" s="1" t="s">
        <v>18</v>
      </c>
      <c r="D68" s="1" t="s">
        <v>56</v>
      </c>
      <c r="E68" s="1">
        <v>14</v>
      </c>
      <c r="F68" s="1">
        <v>10869</v>
      </c>
      <c r="G68" s="1">
        <v>0</v>
      </c>
      <c r="H68" s="2">
        <v>46058</v>
      </c>
      <c r="I68" s="2">
        <v>46062</v>
      </c>
      <c r="J68" s="1" t="s">
        <v>29</v>
      </c>
      <c r="K68" s="1">
        <v>1067</v>
      </c>
    </row>
    <row r="69" spans="1:11" ht="14.4" x14ac:dyDescent="0.3">
      <c r="A69" s="1" t="s">
        <v>52</v>
      </c>
      <c r="B69" s="1" t="s">
        <v>43</v>
      </c>
      <c r="C69" s="1" t="s">
        <v>34</v>
      </c>
      <c r="D69" s="1" t="s">
        <v>60</v>
      </c>
      <c r="E69" s="1">
        <v>15</v>
      </c>
      <c r="F69" s="1">
        <v>14534</v>
      </c>
      <c r="G69" s="1">
        <v>5</v>
      </c>
      <c r="H69" s="2">
        <v>46196</v>
      </c>
      <c r="I69" s="2">
        <v>46199</v>
      </c>
      <c r="J69" s="1" t="s">
        <v>29</v>
      </c>
      <c r="K69" s="1">
        <v>1068</v>
      </c>
    </row>
    <row r="70" spans="1:11" ht="14.4" hidden="1" x14ac:dyDescent="0.3">
      <c r="A70" s="1" t="s">
        <v>52</v>
      </c>
      <c r="B70" s="1" t="s">
        <v>31</v>
      </c>
      <c r="C70" s="1" t="s">
        <v>18</v>
      </c>
      <c r="D70" s="1" t="s">
        <v>28</v>
      </c>
      <c r="E70" s="1">
        <v>9</v>
      </c>
      <c r="F70" s="1">
        <v>4415</v>
      </c>
      <c r="G70" s="1">
        <v>5</v>
      </c>
      <c r="H70" s="2">
        <v>46039</v>
      </c>
      <c r="I70" s="2">
        <v>46046</v>
      </c>
      <c r="J70" s="1" t="s">
        <v>15</v>
      </c>
      <c r="K70" s="1">
        <v>1069</v>
      </c>
    </row>
    <row r="71" spans="1:11" ht="14.4" hidden="1" x14ac:dyDescent="0.3">
      <c r="A71" s="1" t="s">
        <v>52</v>
      </c>
      <c r="B71" s="1" t="s">
        <v>43</v>
      </c>
      <c r="C71" s="1" t="s">
        <v>13</v>
      </c>
      <c r="D71" s="1" t="s">
        <v>36</v>
      </c>
      <c r="E71" s="1">
        <v>10</v>
      </c>
      <c r="F71" s="1">
        <v>233</v>
      </c>
      <c r="G71" s="1">
        <v>7</v>
      </c>
      <c r="H71" s="2">
        <v>46076</v>
      </c>
      <c r="I71" s="2">
        <v>46077</v>
      </c>
      <c r="J71" s="1" t="s">
        <v>29</v>
      </c>
      <c r="K71" s="1">
        <v>1070</v>
      </c>
    </row>
    <row r="72" spans="1:11" ht="14.4" x14ac:dyDescent="0.3">
      <c r="A72" s="1" t="s">
        <v>59</v>
      </c>
      <c r="B72" s="1" t="s">
        <v>22</v>
      </c>
      <c r="C72" s="1" t="s">
        <v>34</v>
      </c>
      <c r="D72" s="1" t="s">
        <v>61</v>
      </c>
      <c r="E72" s="1">
        <v>18</v>
      </c>
      <c r="F72" s="1">
        <v>32197</v>
      </c>
      <c r="G72" s="1">
        <v>5</v>
      </c>
      <c r="H72" s="2">
        <v>46129</v>
      </c>
      <c r="I72" s="2">
        <v>46137</v>
      </c>
      <c r="J72" s="1" t="s">
        <v>20</v>
      </c>
      <c r="K72" s="1">
        <v>1071</v>
      </c>
    </row>
    <row r="73" spans="1:11" ht="14.4" x14ac:dyDescent="0.3">
      <c r="A73" s="1" t="s">
        <v>16</v>
      </c>
      <c r="B73" s="1" t="s">
        <v>25</v>
      </c>
      <c r="C73" s="1" t="s">
        <v>34</v>
      </c>
      <c r="D73" s="1" t="s">
        <v>61</v>
      </c>
      <c r="E73" s="1">
        <v>20</v>
      </c>
      <c r="F73" s="1">
        <v>58779</v>
      </c>
      <c r="G73" s="1">
        <v>0</v>
      </c>
      <c r="H73" s="2">
        <v>46035</v>
      </c>
      <c r="I73" s="2">
        <v>46036</v>
      </c>
      <c r="J73" s="1" t="s">
        <v>24</v>
      </c>
      <c r="K73" s="1">
        <v>1072</v>
      </c>
    </row>
    <row r="74" spans="1:11" ht="14.4" hidden="1" x14ac:dyDescent="0.3">
      <c r="A74" s="1" t="s">
        <v>58</v>
      </c>
      <c r="B74" s="1" t="s">
        <v>17</v>
      </c>
      <c r="C74" s="1" t="s">
        <v>18</v>
      </c>
      <c r="D74" s="1" t="s">
        <v>56</v>
      </c>
      <c r="E74" s="1">
        <v>4</v>
      </c>
      <c r="F74" s="1">
        <v>2453</v>
      </c>
      <c r="G74" s="1">
        <v>7</v>
      </c>
      <c r="H74" s="2">
        <v>46126</v>
      </c>
      <c r="I74" s="2">
        <v>46129</v>
      </c>
      <c r="J74" s="1" t="s">
        <v>51</v>
      </c>
      <c r="K74" s="1">
        <v>1073</v>
      </c>
    </row>
    <row r="75" spans="1:11" ht="14.4" hidden="1" x14ac:dyDescent="0.3">
      <c r="A75" s="1" t="s">
        <v>26</v>
      </c>
      <c r="B75" s="1" t="s">
        <v>31</v>
      </c>
      <c r="C75" s="1" t="s">
        <v>13</v>
      </c>
      <c r="D75" s="1" t="s">
        <v>50</v>
      </c>
      <c r="E75" s="1">
        <v>11</v>
      </c>
      <c r="F75" s="1">
        <v>390</v>
      </c>
      <c r="G75" s="1">
        <v>15</v>
      </c>
      <c r="H75" s="2">
        <v>46114</v>
      </c>
      <c r="I75" s="2">
        <v>46123</v>
      </c>
      <c r="J75" s="1" t="s">
        <v>29</v>
      </c>
      <c r="K75" s="1">
        <v>1074</v>
      </c>
    </row>
    <row r="76" spans="1:11" ht="14.4" x14ac:dyDescent="0.3">
      <c r="A76" s="1" t="s">
        <v>42</v>
      </c>
      <c r="B76" s="1" t="s">
        <v>43</v>
      </c>
      <c r="C76" s="1" t="s">
        <v>34</v>
      </c>
      <c r="D76" s="1" t="s">
        <v>61</v>
      </c>
      <c r="E76" s="1">
        <v>4</v>
      </c>
      <c r="F76" s="1">
        <v>64773</v>
      </c>
      <c r="G76" s="1">
        <v>10</v>
      </c>
      <c r="H76" s="2">
        <v>46185</v>
      </c>
      <c r="I76" s="2">
        <v>46186</v>
      </c>
      <c r="J76" s="1" t="s">
        <v>51</v>
      </c>
      <c r="K76" s="1">
        <v>1075</v>
      </c>
    </row>
    <row r="77" spans="1:11" ht="14.4" x14ac:dyDescent="0.3">
      <c r="A77" s="1" t="s">
        <v>29</v>
      </c>
      <c r="B77" s="1" t="s">
        <v>17</v>
      </c>
      <c r="C77" s="1" t="s">
        <v>34</v>
      </c>
      <c r="D77" s="1" t="s">
        <v>35</v>
      </c>
      <c r="E77" s="1">
        <v>19</v>
      </c>
      <c r="F77" s="1">
        <v>26714</v>
      </c>
      <c r="G77" s="1">
        <v>5</v>
      </c>
      <c r="H77" s="2">
        <v>46045</v>
      </c>
      <c r="I77" s="2">
        <v>46055</v>
      </c>
      <c r="J77" s="1" t="s">
        <v>29</v>
      </c>
      <c r="K77" s="1">
        <v>1076</v>
      </c>
    </row>
    <row r="78" spans="1:11" ht="14.4" hidden="1" x14ac:dyDescent="0.3">
      <c r="A78" s="1" t="s">
        <v>55</v>
      </c>
      <c r="B78" s="1" t="s">
        <v>25</v>
      </c>
      <c r="C78" s="1" t="s">
        <v>13</v>
      </c>
      <c r="D78" s="1" t="s">
        <v>14</v>
      </c>
      <c r="E78" s="1">
        <v>1</v>
      </c>
      <c r="F78" s="1">
        <v>123</v>
      </c>
      <c r="G78" s="1">
        <v>10</v>
      </c>
      <c r="H78" s="2">
        <v>46113</v>
      </c>
      <c r="I78" s="2">
        <v>46121</v>
      </c>
      <c r="J78" s="1" t="s">
        <v>51</v>
      </c>
      <c r="K78" s="1">
        <v>1077</v>
      </c>
    </row>
    <row r="79" spans="1:11" ht="14.4" x14ac:dyDescent="0.3">
      <c r="A79" s="1" t="s">
        <v>52</v>
      </c>
      <c r="B79" s="1" t="s">
        <v>17</v>
      </c>
      <c r="C79" s="1" t="s">
        <v>34</v>
      </c>
      <c r="D79" s="1" t="s">
        <v>39</v>
      </c>
      <c r="E79" s="1">
        <v>11</v>
      </c>
      <c r="F79" s="1">
        <v>24278</v>
      </c>
      <c r="G79" s="1">
        <v>12</v>
      </c>
      <c r="H79" s="2">
        <v>46084</v>
      </c>
      <c r="I79" s="2">
        <v>46090</v>
      </c>
      <c r="J79" s="1" t="s">
        <v>29</v>
      </c>
      <c r="K79" s="1">
        <v>1078</v>
      </c>
    </row>
    <row r="80" spans="1:11" ht="14.4" x14ac:dyDescent="0.3">
      <c r="A80" s="1" t="s">
        <v>26</v>
      </c>
      <c r="B80" s="1" t="s">
        <v>38</v>
      </c>
      <c r="C80" s="1" t="s">
        <v>34</v>
      </c>
      <c r="D80" s="1" t="s">
        <v>41</v>
      </c>
      <c r="E80" s="1">
        <v>19</v>
      </c>
      <c r="F80" s="1">
        <v>48956</v>
      </c>
      <c r="G80" s="1">
        <v>12</v>
      </c>
      <c r="H80" s="2">
        <v>46170</v>
      </c>
      <c r="I80" s="2">
        <v>46177</v>
      </c>
      <c r="J80" s="1" t="s">
        <v>51</v>
      </c>
      <c r="K80" s="1">
        <v>1079</v>
      </c>
    </row>
    <row r="81" spans="1:11" ht="14.4" x14ac:dyDescent="0.3">
      <c r="A81" s="1" t="s">
        <v>21</v>
      </c>
      <c r="B81" s="1" t="s">
        <v>22</v>
      </c>
      <c r="C81" s="1" t="s">
        <v>34</v>
      </c>
      <c r="D81" s="1" t="s">
        <v>41</v>
      </c>
      <c r="E81" s="1">
        <v>12</v>
      </c>
      <c r="F81" s="1">
        <v>54161</v>
      </c>
      <c r="G81" s="1">
        <v>15</v>
      </c>
      <c r="H81" s="2">
        <v>46133</v>
      </c>
      <c r="I81" s="2">
        <v>46143</v>
      </c>
      <c r="J81" s="1" t="s">
        <v>24</v>
      </c>
      <c r="K81" s="1">
        <v>1080</v>
      </c>
    </row>
    <row r="82" spans="1:11" ht="14.4" x14ac:dyDescent="0.3">
      <c r="A82" s="1" t="s">
        <v>47</v>
      </c>
      <c r="B82" s="1" t="s">
        <v>12</v>
      </c>
      <c r="C82" s="1" t="s">
        <v>34</v>
      </c>
      <c r="D82" s="1" t="s">
        <v>35</v>
      </c>
      <c r="E82" s="1">
        <v>15</v>
      </c>
      <c r="F82" s="1">
        <v>59912</v>
      </c>
      <c r="G82" s="1">
        <v>7</v>
      </c>
      <c r="H82" s="2">
        <v>46058</v>
      </c>
      <c r="I82" s="2">
        <v>46060</v>
      </c>
      <c r="J82" s="1" t="s">
        <v>51</v>
      </c>
      <c r="K82" s="1">
        <v>1081</v>
      </c>
    </row>
    <row r="83" spans="1:11" ht="14.4" hidden="1" x14ac:dyDescent="0.3">
      <c r="A83" s="1" t="s">
        <v>21</v>
      </c>
      <c r="B83" s="1" t="s">
        <v>12</v>
      </c>
      <c r="C83" s="1" t="s">
        <v>13</v>
      </c>
      <c r="D83" s="1" t="s">
        <v>14</v>
      </c>
      <c r="E83" s="1">
        <v>7</v>
      </c>
      <c r="F83" s="1">
        <v>133</v>
      </c>
      <c r="G83" s="1">
        <v>10</v>
      </c>
      <c r="H83" s="2">
        <v>46075</v>
      </c>
      <c r="I83" s="2">
        <v>46085</v>
      </c>
      <c r="J83" s="1" t="s">
        <v>51</v>
      </c>
      <c r="K83" s="1">
        <v>1082</v>
      </c>
    </row>
    <row r="84" spans="1:11" ht="14.4" hidden="1" x14ac:dyDescent="0.3">
      <c r="A84" s="1" t="s">
        <v>55</v>
      </c>
      <c r="B84" s="1" t="s">
        <v>33</v>
      </c>
      <c r="C84" s="1" t="s">
        <v>13</v>
      </c>
      <c r="D84" s="1" t="s">
        <v>53</v>
      </c>
      <c r="E84" s="1">
        <v>4</v>
      </c>
      <c r="F84" s="1">
        <v>397</v>
      </c>
      <c r="G84" s="1">
        <v>7</v>
      </c>
      <c r="H84" s="2">
        <v>46185</v>
      </c>
      <c r="I84" s="2">
        <v>46193</v>
      </c>
      <c r="J84" s="1" t="s">
        <v>15</v>
      </c>
      <c r="K84" s="1">
        <v>1083</v>
      </c>
    </row>
    <row r="85" spans="1:11" ht="14.4" hidden="1" x14ac:dyDescent="0.3">
      <c r="A85" s="1" t="s">
        <v>49</v>
      </c>
      <c r="B85" s="1" t="s">
        <v>31</v>
      </c>
      <c r="C85" s="1" t="s">
        <v>18</v>
      </c>
      <c r="D85" s="1" t="s">
        <v>28</v>
      </c>
      <c r="E85" s="1">
        <v>4</v>
      </c>
      <c r="F85" s="1">
        <v>6901</v>
      </c>
      <c r="G85" s="1">
        <v>10</v>
      </c>
      <c r="H85" s="2">
        <v>46047</v>
      </c>
      <c r="I85" s="2">
        <v>46057</v>
      </c>
      <c r="J85" s="1" t="s">
        <v>20</v>
      </c>
      <c r="K85" s="1">
        <v>1084</v>
      </c>
    </row>
    <row r="86" spans="1:11" ht="14.4" x14ac:dyDescent="0.3">
      <c r="A86" s="1" t="s">
        <v>32</v>
      </c>
      <c r="B86" s="1" t="s">
        <v>38</v>
      </c>
      <c r="C86" s="1" t="s">
        <v>34</v>
      </c>
      <c r="D86" s="1" t="s">
        <v>60</v>
      </c>
      <c r="E86" s="1">
        <v>19</v>
      </c>
      <c r="F86" s="1">
        <v>45307</v>
      </c>
      <c r="G86" s="1">
        <v>12</v>
      </c>
      <c r="H86" s="2">
        <v>46146</v>
      </c>
      <c r="I86" s="2">
        <v>46150</v>
      </c>
      <c r="J86" s="1" t="s">
        <v>24</v>
      </c>
      <c r="K86" s="1">
        <v>1085</v>
      </c>
    </row>
    <row r="87" spans="1:11" ht="14.4" hidden="1" x14ac:dyDescent="0.3">
      <c r="A87" s="1" t="s">
        <v>32</v>
      </c>
      <c r="B87" s="1" t="s">
        <v>12</v>
      </c>
      <c r="C87" s="1" t="s">
        <v>13</v>
      </c>
      <c r="D87" s="1" t="s">
        <v>53</v>
      </c>
      <c r="E87" s="1">
        <v>15</v>
      </c>
      <c r="F87" s="1">
        <v>40</v>
      </c>
      <c r="G87" s="1">
        <v>10</v>
      </c>
      <c r="H87" s="2">
        <v>46045</v>
      </c>
      <c r="I87" s="2">
        <v>46049</v>
      </c>
      <c r="J87" s="1" t="s">
        <v>24</v>
      </c>
      <c r="K87" s="1">
        <v>1086</v>
      </c>
    </row>
    <row r="88" spans="1:11" ht="14.4" hidden="1" x14ac:dyDescent="0.3">
      <c r="A88" s="1" t="s">
        <v>11</v>
      </c>
      <c r="B88" s="1" t="s">
        <v>31</v>
      </c>
      <c r="C88" s="1" t="s">
        <v>13</v>
      </c>
      <c r="D88" s="1" t="s">
        <v>37</v>
      </c>
      <c r="E88" s="1">
        <v>13</v>
      </c>
      <c r="F88" s="1">
        <v>387</v>
      </c>
      <c r="G88" s="1">
        <v>7</v>
      </c>
      <c r="H88" s="2">
        <v>46171</v>
      </c>
      <c r="I88" s="2">
        <v>46176</v>
      </c>
      <c r="J88" s="1" t="s">
        <v>24</v>
      </c>
      <c r="K88" s="1">
        <v>1087</v>
      </c>
    </row>
    <row r="89" spans="1:11" ht="14.4" x14ac:dyDescent="0.3">
      <c r="A89" s="1" t="s">
        <v>40</v>
      </c>
      <c r="B89" s="1" t="s">
        <v>33</v>
      </c>
      <c r="C89" s="1" t="s">
        <v>34</v>
      </c>
      <c r="D89" s="1" t="s">
        <v>41</v>
      </c>
      <c r="E89" s="1">
        <v>20</v>
      </c>
      <c r="F89" s="1">
        <v>41165</v>
      </c>
      <c r="G89" s="1">
        <v>0</v>
      </c>
      <c r="H89" s="2">
        <v>46068</v>
      </c>
      <c r="I89" s="2">
        <v>46069</v>
      </c>
      <c r="J89" s="1" t="s">
        <v>20</v>
      </c>
      <c r="K89" s="1">
        <v>1088</v>
      </c>
    </row>
    <row r="90" spans="1:11" ht="14.4" x14ac:dyDescent="0.3">
      <c r="A90" s="1" t="s">
        <v>46</v>
      </c>
      <c r="B90" s="1" t="s">
        <v>12</v>
      </c>
      <c r="C90" s="1" t="s">
        <v>34</v>
      </c>
      <c r="D90" s="1" t="s">
        <v>35</v>
      </c>
      <c r="E90" s="1">
        <v>10</v>
      </c>
      <c r="F90" s="1">
        <v>17041</v>
      </c>
      <c r="G90" s="1">
        <v>2</v>
      </c>
      <c r="H90" s="2">
        <v>46066</v>
      </c>
      <c r="I90" s="2">
        <v>46071</v>
      </c>
      <c r="J90" s="1" t="s">
        <v>24</v>
      </c>
      <c r="K90" s="1">
        <v>1089</v>
      </c>
    </row>
    <row r="91" spans="1:11" ht="14.4" x14ac:dyDescent="0.3">
      <c r="A91" s="1" t="s">
        <v>49</v>
      </c>
      <c r="B91" s="1" t="s">
        <v>31</v>
      </c>
      <c r="C91" s="1" t="s">
        <v>34</v>
      </c>
      <c r="D91" s="1" t="s">
        <v>45</v>
      </c>
      <c r="E91" s="1">
        <v>19</v>
      </c>
      <c r="F91" s="1">
        <v>66139</v>
      </c>
      <c r="G91" s="1">
        <v>5</v>
      </c>
      <c r="H91" s="2">
        <v>46088</v>
      </c>
      <c r="I91" s="2">
        <v>46095</v>
      </c>
      <c r="J91" s="1" t="s">
        <v>24</v>
      </c>
      <c r="K91" s="1">
        <v>1090</v>
      </c>
    </row>
    <row r="92" spans="1:11" ht="14.4" hidden="1" x14ac:dyDescent="0.3">
      <c r="A92" s="1" t="s">
        <v>55</v>
      </c>
      <c r="B92" s="1" t="s">
        <v>17</v>
      </c>
      <c r="C92" s="1" t="s">
        <v>13</v>
      </c>
      <c r="D92" s="1" t="s">
        <v>53</v>
      </c>
      <c r="E92" s="1">
        <v>2</v>
      </c>
      <c r="F92" s="1">
        <v>305</v>
      </c>
      <c r="G92" s="1">
        <v>0</v>
      </c>
      <c r="H92" s="2">
        <v>46136</v>
      </c>
      <c r="I92" s="2">
        <v>46144</v>
      </c>
      <c r="J92" s="1" t="s">
        <v>15</v>
      </c>
      <c r="K92" s="1">
        <v>1091</v>
      </c>
    </row>
    <row r="93" spans="1:11" ht="14.4" x14ac:dyDescent="0.3">
      <c r="A93" s="1" t="s">
        <v>21</v>
      </c>
      <c r="B93" s="1" t="s">
        <v>22</v>
      </c>
      <c r="C93" s="1" t="s">
        <v>34</v>
      </c>
      <c r="D93" s="1" t="s">
        <v>41</v>
      </c>
      <c r="E93" s="1">
        <v>9</v>
      </c>
      <c r="F93" s="1">
        <v>23438</v>
      </c>
      <c r="G93" s="1">
        <v>2</v>
      </c>
      <c r="H93" s="2">
        <v>46049</v>
      </c>
      <c r="I93" s="2">
        <v>46055</v>
      </c>
      <c r="J93" s="1" t="s">
        <v>29</v>
      </c>
      <c r="K93" s="1">
        <v>1092</v>
      </c>
    </row>
    <row r="94" spans="1:11" ht="14.4" hidden="1" x14ac:dyDescent="0.3">
      <c r="A94" s="1" t="s">
        <v>47</v>
      </c>
      <c r="B94" s="1" t="s">
        <v>25</v>
      </c>
      <c r="C94" s="1" t="s">
        <v>18</v>
      </c>
      <c r="D94" s="1" t="s">
        <v>23</v>
      </c>
      <c r="E94" s="1">
        <v>6</v>
      </c>
      <c r="F94" s="1">
        <v>8224</v>
      </c>
      <c r="G94" s="1">
        <v>15</v>
      </c>
      <c r="H94" s="2">
        <v>46175</v>
      </c>
      <c r="I94" s="2">
        <v>46185</v>
      </c>
      <c r="J94" s="1" t="s">
        <v>51</v>
      </c>
      <c r="K94" s="1">
        <v>1093</v>
      </c>
    </row>
    <row r="95" spans="1:11" ht="14.4" x14ac:dyDescent="0.3">
      <c r="A95" s="1" t="s">
        <v>47</v>
      </c>
      <c r="B95" s="1" t="s">
        <v>43</v>
      </c>
      <c r="C95" s="1" t="s">
        <v>34</v>
      </c>
      <c r="D95" s="1" t="s">
        <v>61</v>
      </c>
      <c r="E95" s="1">
        <v>4</v>
      </c>
      <c r="F95" s="1">
        <v>7073</v>
      </c>
      <c r="G95" s="1">
        <v>0</v>
      </c>
      <c r="H95" s="2">
        <v>46101</v>
      </c>
      <c r="I95" s="2">
        <v>46105</v>
      </c>
      <c r="J95" s="1" t="s">
        <v>29</v>
      </c>
      <c r="K95" s="1">
        <v>1094</v>
      </c>
    </row>
    <row r="96" spans="1:11" ht="14.4" x14ac:dyDescent="0.3">
      <c r="A96" s="1" t="s">
        <v>47</v>
      </c>
      <c r="B96" s="1" t="s">
        <v>25</v>
      </c>
      <c r="C96" s="1" t="s">
        <v>34</v>
      </c>
      <c r="D96" s="1" t="s">
        <v>41</v>
      </c>
      <c r="E96" s="1">
        <v>18</v>
      </c>
      <c r="F96" s="1">
        <v>587</v>
      </c>
      <c r="G96" s="1">
        <v>2</v>
      </c>
      <c r="H96" s="2">
        <v>46167</v>
      </c>
      <c r="I96" s="2">
        <v>46171</v>
      </c>
      <c r="J96" s="1" t="s">
        <v>20</v>
      </c>
      <c r="K96" s="1">
        <v>1095</v>
      </c>
    </row>
    <row r="97" spans="1:11" ht="14.4" hidden="1" x14ac:dyDescent="0.3">
      <c r="A97" s="1" t="s">
        <v>49</v>
      </c>
      <c r="B97" s="1" t="s">
        <v>17</v>
      </c>
      <c r="C97" s="1" t="s">
        <v>18</v>
      </c>
      <c r="D97" s="1" t="s">
        <v>23</v>
      </c>
      <c r="E97" s="1">
        <v>15</v>
      </c>
      <c r="F97" s="1">
        <v>14724</v>
      </c>
      <c r="G97" s="1">
        <v>15</v>
      </c>
      <c r="H97" s="2">
        <v>46054</v>
      </c>
      <c r="I97" s="2">
        <v>46061</v>
      </c>
      <c r="J97" s="1" t="s">
        <v>20</v>
      </c>
      <c r="K97" s="1">
        <v>1096</v>
      </c>
    </row>
    <row r="98" spans="1:11" ht="14.4" x14ac:dyDescent="0.3">
      <c r="A98" s="1" t="s">
        <v>52</v>
      </c>
      <c r="B98" s="1" t="s">
        <v>22</v>
      </c>
      <c r="C98" s="1" t="s">
        <v>34</v>
      </c>
      <c r="D98" s="1" t="s">
        <v>61</v>
      </c>
      <c r="E98" s="1">
        <v>10</v>
      </c>
      <c r="F98" s="1">
        <v>28980</v>
      </c>
      <c r="G98" s="1">
        <v>10</v>
      </c>
      <c r="H98" s="2">
        <v>46089</v>
      </c>
      <c r="I98" s="2">
        <v>46094</v>
      </c>
      <c r="J98" s="1" t="s">
        <v>24</v>
      </c>
      <c r="K98" s="1">
        <v>1097</v>
      </c>
    </row>
    <row r="99" spans="1:11" ht="14.4" hidden="1" x14ac:dyDescent="0.3">
      <c r="A99" s="1" t="s">
        <v>26</v>
      </c>
      <c r="B99" s="1" t="s">
        <v>25</v>
      </c>
      <c r="C99" s="1" t="s">
        <v>13</v>
      </c>
      <c r="D99" s="1" t="s">
        <v>53</v>
      </c>
      <c r="E99" s="1">
        <v>17</v>
      </c>
      <c r="F99" s="1">
        <v>345</v>
      </c>
      <c r="G99" s="1">
        <v>2</v>
      </c>
      <c r="H99" s="2">
        <v>46126</v>
      </c>
      <c r="I99" s="2">
        <v>46127</v>
      </c>
      <c r="J99" s="1" t="s">
        <v>51</v>
      </c>
      <c r="K99" s="1">
        <v>1098</v>
      </c>
    </row>
    <row r="100" spans="1:11" ht="14.4" hidden="1" x14ac:dyDescent="0.3">
      <c r="A100" s="1" t="s">
        <v>26</v>
      </c>
      <c r="B100" s="1" t="s">
        <v>31</v>
      </c>
      <c r="C100" s="1" t="s">
        <v>18</v>
      </c>
      <c r="D100" s="1" t="s">
        <v>19</v>
      </c>
      <c r="E100" s="1">
        <v>1</v>
      </c>
      <c r="F100" s="1">
        <v>5165</v>
      </c>
      <c r="G100" s="1">
        <v>2</v>
      </c>
      <c r="H100" s="2">
        <v>46058</v>
      </c>
      <c r="I100" s="2">
        <v>46060</v>
      </c>
      <c r="J100" s="1" t="s">
        <v>15</v>
      </c>
      <c r="K100" s="1">
        <v>1099</v>
      </c>
    </row>
    <row r="101" spans="1:11" ht="14.4" hidden="1" x14ac:dyDescent="0.3">
      <c r="A101" s="1" t="s">
        <v>11</v>
      </c>
      <c r="B101" s="1" t="s">
        <v>31</v>
      </c>
      <c r="C101" s="1" t="s">
        <v>13</v>
      </c>
      <c r="D101" s="1" t="s">
        <v>14</v>
      </c>
      <c r="E101" s="1">
        <v>11</v>
      </c>
      <c r="F101" s="1">
        <v>296</v>
      </c>
      <c r="G101" s="1">
        <v>10</v>
      </c>
      <c r="H101" s="2">
        <v>46027</v>
      </c>
      <c r="I101" s="2">
        <v>46031</v>
      </c>
      <c r="J101" s="1" t="s">
        <v>51</v>
      </c>
      <c r="K101" s="1">
        <v>1100</v>
      </c>
    </row>
    <row r="102" spans="1:11" ht="14.4" x14ac:dyDescent="0.3">
      <c r="A102" s="1" t="s">
        <v>27</v>
      </c>
      <c r="B102" s="1" t="s">
        <v>22</v>
      </c>
      <c r="C102" s="1" t="s">
        <v>34</v>
      </c>
      <c r="D102" s="1" t="s">
        <v>61</v>
      </c>
      <c r="E102" s="1">
        <v>9</v>
      </c>
      <c r="F102" s="1">
        <v>37361</v>
      </c>
      <c r="G102" s="1">
        <v>10</v>
      </c>
      <c r="H102" s="2">
        <v>46141</v>
      </c>
      <c r="I102" s="2">
        <v>46142</v>
      </c>
      <c r="J102" s="1" t="s">
        <v>24</v>
      </c>
      <c r="K102" s="1">
        <v>1101</v>
      </c>
    </row>
    <row r="103" spans="1:11" ht="14.4" x14ac:dyDescent="0.3">
      <c r="A103" s="1" t="s">
        <v>54</v>
      </c>
      <c r="B103" s="1" t="s">
        <v>25</v>
      </c>
      <c r="C103" s="1" t="s">
        <v>34</v>
      </c>
      <c r="D103" s="1" t="s">
        <v>45</v>
      </c>
      <c r="E103" s="1">
        <v>12</v>
      </c>
      <c r="F103" s="1">
        <v>63402</v>
      </c>
      <c r="G103" s="1">
        <v>7</v>
      </c>
      <c r="H103" s="2">
        <v>46106</v>
      </c>
      <c r="I103" s="2">
        <v>46113</v>
      </c>
      <c r="J103" s="1" t="s">
        <v>51</v>
      </c>
      <c r="K103" s="1">
        <v>1102</v>
      </c>
    </row>
    <row r="104" spans="1:11" ht="14.4" hidden="1" x14ac:dyDescent="0.3">
      <c r="A104" s="1" t="s">
        <v>16</v>
      </c>
      <c r="B104" s="1" t="s">
        <v>12</v>
      </c>
      <c r="C104" s="1" t="s">
        <v>18</v>
      </c>
      <c r="D104" s="1" t="s">
        <v>23</v>
      </c>
      <c r="E104" s="1">
        <v>7</v>
      </c>
      <c r="F104" s="1">
        <v>11925</v>
      </c>
      <c r="G104" s="1">
        <v>5</v>
      </c>
      <c r="H104" s="2">
        <v>46040</v>
      </c>
      <c r="I104" s="2">
        <v>46041</v>
      </c>
      <c r="J104" s="1" t="s">
        <v>29</v>
      </c>
      <c r="K104" s="1">
        <v>1103</v>
      </c>
    </row>
    <row r="105" spans="1:11" ht="14.4" hidden="1" x14ac:dyDescent="0.3">
      <c r="A105" s="1" t="s">
        <v>16</v>
      </c>
      <c r="B105" s="1" t="s">
        <v>43</v>
      </c>
      <c r="C105" s="1" t="s">
        <v>18</v>
      </c>
      <c r="D105" s="1" t="s">
        <v>19</v>
      </c>
      <c r="E105" s="1">
        <v>10</v>
      </c>
      <c r="F105" s="1">
        <v>12848</v>
      </c>
      <c r="G105" s="1">
        <v>15</v>
      </c>
      <c r="H105" s="2">
        <v>46060</v>
      </c>
      <c r="I105" s="2">
        <v>46064</v>
      </c>
      <c r="J105" s="1" t="s">
        <v>29</v>
      </c>
      <c r="K105" s="1">
        <v>1104</v>
      </c>
    </row>
    <row r="106" spans="1:11" ht="14.4" hidden="1" x14ac:dyDescent="0.3">
      <c r="A106" s="1" t="s">
        <v>59</v>
      </c>
      <c r="B106" s="1" t="s">
        <v>25</v>
      </c>
      <c r="C106" s="1" t="s">
        <v>13</v>
      </c>
      <c r="D106" s="1" t="s">
        <v>50</v>
      </c>
      <c r="E106" s="1">
        <v>2</v>
      </c>
      <c r="F106" s="1">
        <v>493</v>
      </c>
      <c r="G106" s="1">
        <v>12</v>
      </c>
      <c r="H106" s="2">
        <v>46057</v>
      </c>
      <c r="I106" s="2">
        <v>46066</v>
      </c>
      <c r="J106" s="1" t="s">
        <v>51</v>
      </c>
      <c r="K106" s="1">
        <v>1105</v>
      </c>
    </row>
    <row r="107" spans="1:11" ht="14.4" hidden="1" x14ac:dyDescent="0.3">
      <c r="A107" s="1" t="s">
        <v>27</v>
      </c>
      <c r="B107" s="1" t="s">
        <v>43</v>
      </c>
      <c r="C107" s="1" t="s">
        <v>18</v>
      </c>
      <c r="D107" s="1" t="s">
        <v>23</v>
      </c>
      <c r="E107" s="1">
        <v>20</v>
      </c>
      <c r="F107" s="1">
        <v>2141</v>
      </c>
      <c r="G107" s="1">
        <v>2</v>
      </c>
      <c r="H107" s="2">
        <v>46091</v>
      </c>
      <c r="I107" s="2">
        <v>46097</v>
      </c>
      <c r="J107" s="1" t="s">
        <v>29</v>
      </c>
      <c r="K107" s="1">
        <v>1106</v>
      </c>
    </row>
    <row r="108" spans="1:11" ht="14.4" x14ac:dyDescent="0.3">
      <c r="A108" s="1" t="s">
        <v>52</v>
      </c>
      <c r="B108" s="1" t="s">
        <v>17</v>
      </c>
      <c r="C108" s="1" t="s">
        <v>34</v>
      </c>
      <c r="D108" s="1" t="s">
        <v>60</v>
      </c>
      <c r="E108" s="1">
        <v>4</v>
      </c>
      <c r="F108" s="1">
        <v>14291</v>
      </c>
      <c r="G108" s="1">
        <v>2</v>
      </c>
      <c r="H108" s="2">
        <v>46076</v>
      </c>
      <c r="I108" s="2">
        <v>46078</v>
      </c>
      <c r="J108" s="1" t="s">
        <v>15</v>
      </c>
      <c r="K108" s="1">
        <v>1107</v>
      </c>
    </row>
    <row r="109" spans="1:11" ht="14.4" hidden="1" x14ac:dyDescent="0.3">
      <c r="A109" s="1" t="s">
        <v>42</v>
      </c>
      <c r="B109" s="1" t="s">
        <v>33</v>
      </c>
      <c r="C109" s="1" t="s">
        <v>18</v>
      </c>
      <c r="D109" s="1" t="s">
        <v>28</v>
      </c>
      <c r="E109" s="1">
        <v>15</v>
      </c>
      <c r="F109" s="1">
        <v>13843</v>
      </c>
      <c r="G109" s="1">
        <v>7</v>
      </c>
      <c r="H109" s="2">
        <v>46119</v>
      </c>
      <c r="I109" s="2">
        <v>46127</v>
      </c>
      <c r="J109" s="1" t="s">
        <v>20</v>
      </c>
      <c r="K109" s="1">
        <v>1108</v>
      </c>
    </row>
    <row r="110" spans="1:11" ht="14.4" hidden="1" x14ac:dyDescent="0.3">
      <c r="A110" s="1" t="s">
        <v>21</v>
      </c>
      <c r="B110" s="1" t="s">
        <v>31</v>
      </c>
      <c r="C110" s="1" t="s">
        <v>18</v>
      </c>
      <c r="D110" s="1" t="s">
        <v>44</v>
      </c>
      <c r="E110" s="1">
        <v>19</v>
      </c>
      <c r="F110" s="1">
        <v>6512</v>
      </c>
      <c r="G110" s="1">
        <v>10</v>
      </c>
      <c r="H110" s="2">
        <v>46033</v>
      </c>
      <c r="I110" s="2">
        <v>46037</v>
      </c>
      <c r="J110" s="1" t="s">
        <v>20</v>
      </c>
      <c r="K110" s="1">
        <v>1109</v>
      </c>
    </row>
    <row r="111" spans="1:11" ht="14.4" hidden="1" x14ac:dyDescent="0.3">
      <c r="A111" s="1" t="s">
        <v>49</v>
      </c>
      <c r="B111" s="1" t="s">
        <v>38</v>
      </c>
      <c r="C111" s="1" t="s">
        <v>18</v>
      </c>
      <c r="D111" s="1" t="s">
        <v>23</v>
      </c>
      <c r="E111" s="1">
        <v>14</v>
      </c>
      <c r="F111" s="1">
        <v>6793</v>
      </c>
      <c r="G111" s="1">
        <v>7</v>
      </c>
      <c r="H111" s="2">
        <v>46077</v>
      </c>
      <c r="I111" s="2">
        <v>46082</v>
      </c>
      <c r="J111" s="1" t="s">
        <v>29</v>
      </c>
      <c r="K111" s="1">
        <v>1110</v>
      </c>
    </row>
    <row r="112" spans="1:11" ht="14.4" x14ac:dyDescent="0.3">
      <c r="A112" s="1" t="s">
        <v>47</v>
      </c>
      <c r="B112" s="1" t="s">
        <v>17</v>
      </c>
      <c r="C112" s="1" t="s">
        <v>34</v>
      </c>
      <c r="D112" s="1" t="s">
        <v>35</v>
      </c>
      <c r="E112" s="1">
        <v>5</v>
      </c>
      <c r="F112" s="1">
        <v>49945</v>
      </c>
      <c r="G112" s="1">
        <v>12</v>
      </c>
      <c r="H112" s="2">
        <v>46133</v>
      </c>
      <c r="I112" s="2">
        <v>46141</v>
      </c>
      <c r="J112" s="1" t="s">
        <v>29</v>
      </c>
      <c r="K112" s="1">
        <v>1111</v>
      </c>
    </row>
    <row r="113" spans="1:11" ht="14.4" hidden="1" x14ac:dyDescent="0.3">
      <c r="A113" s="1" t="s">
        <v>21</v>
      </c>
      <c r="B113" s="1" t="s">
        <v>43</v>
      </c>
      <c r="C113" s="1" t="s">
        <v>18</v>
      </c>
      <c r="D113" s="1" t="s">
        <v>44</v>
      </c>
      <c r="E113" s="1">
        <v>7</v>
      </c>
      <c r="F113" s="1">
        <v>1959</v>
      </c>
      <c r="G113" s="1">
        <v>15</v>
      </c>
      <c r="H113" s="2">
        <v>46090</v>
      </c>
      <c r="I113" s="2">
        <v>46100</v>
      </c>
      <c r="J113" s="1" t="s">
        <v>15</v>
      </c>
      <c r="K113" s="1">
        <v>1112</v>
      </c>
    </row>
    <row r="114" spans="1:11" ht="14.4" hidden="1" x14ac:dyDescent="0.3">
      <c r="A114" s="1" t="s">
        <v>26</v>
      </c>
      <c r="B114" s="1" t="s">
        <v>43</v>
      </c>
      <c r="C114" s="1" t="s">
        <v>18</v>
      </c>
      <c r="D114" s="1" t="s">
        <v>56</v>
      </c>
      <c r="E114" s="1">
        <v>13</v>
      </c>
      <c r="F114" s="1">
        <v>6719</v>
      </c>
      <c r="G114" s="1">
        <v>15</v>
      </c>
      <c r="H114" s="2">
        <v>46076</v>
      </c>
      <c r="I114" s="2">
        <v>46081</v>
      </c>
      <c r="J114" s="1" t="s">
        <v>24</v>
      </c>
      <c r="K114" s="1">
        <v>1113</v>
      </c>
    </row>
    <row r="115" spans="1:11" ht="14.4" hidden="1" x14ac:dyDescent="0.3">
      <c r="A115" s="1" t="s">
        <v>16</v>
      </c>
      <c r="B115" s="1" t="s">
        <v>25</v>
      </c>
      <c r="C115" s="1" t="s">
        <v>13</v>
      </c>
      <c r="D115" s="1" t="s">
        <v>50</v>
      </c>
      <c r="E115" s="1">
        <v>13</v>
      </c>
      <c r="F115" s="1">
        <v>32</v>
      </c>
      <c r="G115" s="1">
        <v>15</v>
      </c>
      <c r="H115" s="2">
        <v>46066</v>
      </c>
      <c r="I115" s="2">
        <v>46069</v>
      </c>
      <c r="J115" s="1" t="s">
        <v>15</v>
      </c>
      <c r="K115" s="1">
        <v>1114</v>
      </c>
    </row>
    <row r="116" spans="1:11" ht="14.4" hidden="1" x14ac:dyDescent="0.3">
      <c r="A116" s="1" t="s">
        <v>59</v>
      </c>
      <c r="B116" s="1" t="s">
        <v>43</v>
      </c>
      <c r="C116" s="1" t="s">
        <v>13</v>
      </c>
      <c r="D116" s="1" t="s">
        <v>50</v>
      </c>
      <c r="E116" s="1">
        <v>9</v>
      </c>
      <c r="F116" s="1">
        <v>303</v>
      </c>
      <c r="G116" s="1">
        <v>10</v>
      </c>
      <c r="H116" s="2">
        <v>46149</v>
      </c>
      <c r="I116" s="2">
        <v>46157</v>
      </c>
      <c r="J116" s="1" t="s">
        <v>29</v>
      </c>
      <c r="K116" s="1">
        <v>1115</v>
      </c>
    </row>
    <row r="117" spans="1:11" ht="14.4" hidden="1" x14ac:dyDescent="0.3">
      <c r="A117" s="1" t="s">
        <v>16</v>
      </c>
      <c r="B117" s="1" t="s">
        <v>25</v>
      </c>
      <c r="C117" s="1" t="s">
        <v>18</v>
      </c>
      <c r="D117" s="1" t="s">
        <v>56</v>
      </c>
      <c r="E117" s="1">
        <v>2</v>
      </c>
      <c r="F117" s="1">
        <v>12692</v>
      </c>
      <c r="G117" s="1">
        <v>15</v>
      </c>
      <c r="H117" s="2">
        <v>46049</v>
      </c>
      <c r="I117" s="2">
        <v>46051</v>
      </c>
      <c r="J117" s="1" t="s">
        <v>15</v>
      </c>
      <c r="K117" s="1">
        <v>1116</v>
      </c>
    </row>
    <row r="118" spans="1:11" ht="14.4" x14ac:dyDescent="0.3">
      <c r="A118" s="1" t="s">
        <v>55</v>
      </c>
      <c r="B118" s="1" t="s">
        <v>43</v>
      </c>
      <c r="C118" s="1" t="s">
        <v>34</v>
      </c>
      <c r="D118" s="1" t="s">
        <v>39</v>
      </c>
      <c r="E118" s="1">
        <v>16</v>
      </c>
      <c r="F118" s="1">
        <v>33162</v>
      </c>
      <c r="G118" s="1">
        <v>7</v>
      </c>
      <c r="H118" s="2">
        <v>46147</v>
      </c>
      <c r="I118" s="2">
        <v>46155</v>
      </c>
      <c r="J118" s="1" t="s">
        <v>29</v>
      </c>
      <c r="K118" s="1">
        <v>1117</v>
      </c>
    </row>
    <row r="119" spans="1:11" ht="14.4" hidden="1" x14ac:dyDescent="0.3">
      <c r="A119" s="1" t="s">
        <v>21</v>
      </c>
      <c r="B119" s="1" t="s">
        <v>22</v>
      </c>
      <c r="C119" s="1" t="s">
        <v>18</v>
      </c>
      <c r="D119" s="1" t="s">
        <v>23</v>
      </c>
      <c r="E119" s="1">
        <v>18</v>
      </c>
      <c r="F119" s="1">
        <v>9118</v>
      </c>
      <c r="G119" s="1">
        <v>5</v>
      </c>
      <c r="H119" s="2">
        <v>46178</v>
      </c>
      <c r="I119" s="2">
        <v>46187</v>
      </c>
      <c r="J119" s="1" t="s">
        <v>29</v>
      </c>
      <c r="K119" s="1">
        <v>1118</v>
      </c>
    </row>
    <row r="120" spans="1:11" ht="14.4" hidden="1" x14ac:dyDescent="0.3">
      <c r="A120" s="1" t="s">
        <v>30</v>
      </c>
      <c r="B120" s="1" t="s">
        <v>43</v>
      </c>
      <c r="C120" s="1" t="s">
        <v>18</v>
      </c>
      <c r="D120" s="1" t="s">
        <v>28</v>
      </c>
      <c r="E120" s="1">
        <v>2</v>
      </c>
      <c r="F120" s="1">
        <v>3706</v>
      </c>
      <c r="G120" s="1">
        <v>5</v>
      </c>
      <c r="H120" s="2">
        <v>46184</v>
      </c>
      <c r="I120" s="2">
        <v>46192</v>
      </c>
      <c r="J120" s="1" t="s">
        <v>51</v>
      </c>
      <c r="K120" s="1">
        <v>1119</v>
      </c>
    </row>
    <row r="121" spans="1:11" ht="14.4" hidden="1" x14ac:dyDescent="0.3">
      <c r="A121" s="1" t="s">
        <v>32</v>
      </c>
      <c r="B121" s="1" t="s">
        <v>38</v>
      </c>
      <c r="C121" s="1" t="s">
        <v>13</v>
      </c>
      <c r="D121" s="1" t="s">
        <v>36</v>
      </c>
      <c r="E121" s="1">
        <v>10</v>
      </c>
      <c r="F121" s="1">
        <v>438</v>
      </c>
      <c r="G121" s="1">
        <v>10</v>
      </c>
      <c r="H121" s="2">
        <v>46061</v>
      </c>
      <c r="I121" s="2">
        <v>46065</v>
      </c>
      <c r="J121" s="1" t="s">
        <v>51</v>
      </c>
      <c r="K121" s="1">
        <v>1120</v>
      </c>
    </row>
    <row r="122" spans="1:11" ht="14.4" x14ac:dyDescent="0.3">
      <c r="A122" s="1" t="s">
        <v>29</v>
      </c>
      <c r="B122" s="1" t="s">
        <v>12</v>
      </c>
      <c r="C122" s="1" t="s">
        <v>34</v>
      </c>
      <c r="D122" s="1" t="s">
        <v>39</v>
      </c>
      <c r="E122" s="1">
        <v>4</v>
      </c>
      <c r="F122" s="1">
        <v>55809</v>
      </c>
      <c r="G122" s="1">
        <v>2</v>
      </c>
      <c r="H122" s="2">
        <v>46103</v>
      </c>
      <c r="I122" s="2">
        <v>46108</v>
      </c>
      <c r="J122" s="1" t="s">
        <v>29</v>
      </c>
      <c r="K122" s="1">
        <v>1121</v>
      </c>
    </row>
    <row r="123" spans="1:11" ht="14.4" x14ac:dyDescent="0.3">
      <c r="A123" s="1" t="s">
        <v>40</v>
      </c>
      <c r="B123" s="1" t="s">
        <v>22</v>
      </c>
      <c r="C123" s="1" t="s">
        <v>34</v>
      </c>
      <c r="D123" s="1" t="s">
        <v>39</v>
      </c>
      <c r="E123" s="1">
        <v>14</v>
      </c>
      <c r="F123" s="1">
        <v>49990</v>
      </c>
      <c r="G123" s="1">
        <v>10</v>
      </c>
      <c r="H123" s="2">
        <v>46132</v>
      </c>
      <c r="I123" s="2">
        <v>46135</v>
      </c>
      <c r="J123" s="1" t="s">
        <v>29</v>
      </c>
      <c r="K123" s="1">
        <v>1122</v>
      </c>
    </row>
    <row r="124" spans="1:11" ht="14.4" x14ac:dyDescent="0.3">
      <c r="A124" s="1" t="s">
        <v>32</v>
      </c>
      <c r="B124" s="1" t="s">
        <v>31</v>
      </c>
      <c r="C124" s="1" t="s">
        <v>34</v>
      </c>
      <c r="D124" s="1" t="s">
        <v>45</v>
      </c>
      <c r="E124" s="1">
        <v>16</v>
      </c>
      <c r="F124" s="1">
        <v>1332</v>
      </c>
      <c r="G124" s="1">
        <v>7</v>
      </c>
      <c r="H124" s="2">
        <v>46107</v>
      </c>
      <c r="I124" s="2">
        <v>46109</v>
      </c>
      <c r="J124" s="1" t="s">
        <v>29</v>
      </c>
      <c r="K124" s="1">
        <v>1123</v>
      </c>
    </row>
    <row r="125" spans="1:11" ht="14.4" hidden="1" x14ac:dyDescent="0.3">
      <c r="A125" s="1" t="s">
        <v>27</v>
      </c>
      <c r="B125" s="1" t="s">
        <v>38</v>
      </c>
      <c r="C125" s="1" t="s">
        <v>18</v>
      </c>
      <c r="D125" s="1" t="s">
        <v>56</v>
      </c>
      <c r="E125" s="1">
        <v>4</v>
      </c>
      <c r="F125" s="1">
        <v>14195</v>
      </c>
      <c r="G125" s="1">
        <v>15</v>
      </c>
      <c r="H125" s="2">
        <v>46182</v>
      </c>
      <c r="I125" s="2">
        <v>46189</v>
      </c>
      <c r="J125" s="1" t="s">
        <v>51</v>
      </c>
      <c r="K125" s="1">
        <v>1124</v>
      </c>
    </row>
    <row r="126" spans="1:11" ht="14.4" hidden="1" x14ac:dyDescent="0.3">
      <c r="A126" s="1" t="s">
        <v>49</v>
      </c>
      <c r="B126" s="1" t="s">
        <v>33</v>
      </c>
      <c r="C126" s="1" t="s">
        <v>13</v>
      </c>
      <c r="D126" s="1" t="s">
        <v>14</v>
      </c>
      <c r="E126" s="1">
        <v>6</v>
      </c>
      <c r="F126" s="1">
        <v>30</v>
      </c>
      <c r="G126" s="1">
        <v>2</v>
      </c>
      <c r="H126" s="2">
        <v>46133</v>
      </c>
      <c r="I126" s="2">
        <v>46138</v>
      </c>
      <c r="J126" s="1" t="s">
        <v>24</v>
      </c>
      <c r="K126" s="1">
        <v>1125</v>
      </c>
    </row>
    <row r="127" spans="1:11" ht="14.4" x14ac:dyDescent="0.3">
      <c r="A127" s="1" t="s">
        <v>46</v>
      </c>
      <c r="B127" s="1" t="s">
        <v>22</v>
      </c>
      <c r="C127" s="1" t="s">
        <v>34</v>
      </c>
      <c r="D127" s="1" t="s">
        <v>39</v>
      </c>
      <c r="E127" s="1">
        <v>17</v>
      </c>
      <c r="F127" s="1">
        <v>19390</v>
      </c>
      <c r="G127" s="1">
        <v>12</v>
      </c>
      <c r="H127" s="2">
        <v>46201</v>
      </c>
      <c r="I127" s="2">
        <v>46206</v>
      </c>
      <c r="J127" s="1" t="s">
        <v>29</v>
      </c>
      <c r="K127" s="1">
        <v>1126</v>
      </c>
    </row>
    <row r="128" spans="1:11" ht="14.4" hidden="1" x14ac:dyDescent="0.3">
      <c r="A128" s="1" t="s">
        <v>26</v>
      </c>
      <c r="B128" s="1" t="s">
        <v>33</v>
      </c>
      <c r="C128" s="1" t="s">
        <v>18</v>
      </c>
      <c r="D128" s="1" t="s">
        <v>28</v>
      </c>
      <c r="E128" s="1">
        <v>15</v>
      </c>
      <c r="F128" s="1">
        <v>11694</v>
      </c>
      <c r="G128" s="1">
        <v>12</v>
      </c>
      <c r="H128" s="2">
        <v>46170</v>
      </c>
      <c r="I128" s="2">
        <v>46179</v>
      </c>
      <c r="J128" s="1" t="s">
        <v>29</v>
      </c>
      <c r="K128" s="1">
        <v>1127</v>
      </c>
    </row>
    <row r="129" spans="1:11" ht="14.4" x14ac:dyDescent="0.3">
      <c r="A129" s="1" t="s">
        <v>30</v>
      </c>
      <c r="B129" s="1" t="s">
        <v>22</v>
      </c>
      <c r="C129" s="1" t="s">
        <v>34</v>
      </c>
      <c r="D129" s="1" t="s">
        <v>61</v>
      </c>
      <c r="E129" s="1">
        <v>6</v>
      </c>
      <c r="F129" s="1">
        <v>5001</v>
      </c>
      <c r="G129" s="1">
        <v>7</v>
      </c>
      <c r="H129" s="2">
        <v>46044</v>
      </c>
      <c r="I129" s="2">
        <v>46050</v>
      </c>
      <c r="J129" s="1" t="s">
        <v>29</v>
      </c>
      <c r="K129" s="1">
        <v>1128</v>
      </c>
    </row>
    <row r="130" spans="1:11" ht="14.4" hidden="1" x14ac:dyDescent="0.3">
      <c r="A130" s="1" t="s">
        <v>58</v>
      </c>
      <c r="B130" s="1" t="s">
        <v>17</v>
      </c>
      <c r="C130" s="1" t="s">
        <v>13</v>
      </c>
      <c r="D130" s="1" t="s">
        <v>50</v>
      </c>
      <c r="E130" s="1">
        <v>15</v>
      </c>
      <c r="F130" s="1">
        <v>75</v>
      </c>
      <c r="G130" s="1">
        <v>7</v>
      </c>
      <c r="H130" s="2">
        <v>46160</v>
      </c>
      <c r="I130" s="2">
        <v>46164</v>
      </c>
      <c r="J130" s="1" t="s">
        <v>29</v>
      </c>
      <c r="K130" s="1">
        <v>1129</v>
      </c>
    </row>
    <row r="131" spans="1:11" ht="14.4" hidden="1" x14ac:dyDescent="0.3">
      <c r="A131" s="1" t="s">
        <v>48</v>
      </c>
      <c r="B131" s="1" t="s">
        <v>33</v>
      </c>
      <c r="C131" s="1" t="s">
        <v>13</v>
      </c>
      <c r="D131" s="1" t="s">
        <v>14</v>
      </c>
      <c r="E131" s="1">
        <v>12</v>
      </c>
      <c r="F131" s="1">
        <v>50</v>
      </c>
      <c r="G131" s="1">
        <v>2</v>
      </c>
      <c r="H131" s="2">
        <v>46125</v>
      </c>
      <c r="I131" s="2">
        <v>46131</v>
      </c>
      <c r="J131" s="1" t="s">
        <v>24</v>
      </c>
      <c r="K131" s="1">
        <v>1130</v>
      </c>
    </row>
    <row r="132" spans="1:11" ht="14.4" hidden="1" x14ac:dyDescent="0.3">
      <c r="A132" s="1" t="s">
        <v>21</v>
      </c>
      <c r="B132" s="1" t="s">
        <v>31</v>
      </c>
      <c r="C132" s="1" t="s">
        <v>18</v>
      </c>
      <c r="D132" s="1" t="s">
        <v>23</v>
      </c>
      <c r="E132" s="1">
        <v>13</v>
      </c>
      <c r="F132" s="1">
        <v>3083</v>
      </c>
      <c r="G132" s="1">
        <v>7</v>
      </c>
      <c r="H132" s="2">
        <v>46168</v>
      </c>
      <c r="I132" s="2">
        <v>46173</v>
      </c>
      <c r="J132" s="1" t="s">
        <v>51</v>
      </c>
      <c r="K132" s="1">
        <v>1131</v>
      </c>
    </row>
    <row r="133" spans="1:11" ht="14.4" hidden="1" x14ac:dyDescent="0.3">
      <c r="A133" s="1" t="s">
        <v>11</v>
      </c>
      <c r="B133" s="1" t="s">
        <v>31</v>
      </c>
      <c r="C133" s="1" t="s">
        <v>13</v>
      </c>
      <c r="D133" s="1" t="s">
        <v>50</v>
      </c>
      <c r="E133" s="1">
        <v>10</v>
      </c>
      <c r="F133" s="1">
        <v>270</v>
      </c>
      <c r="G133" s="1">
        <v>7</v>
      </c>
      <c r="H133" s="2">
        <v>46024</v>
      </c>
      <c r="I133" s="2">
        <v>46034</v>
      </c>
      <c r="J133" s="1" t="s">
        <v>24</v>
      </c>
      <c r="K133" s="1">
        <v>1132</v>
      </c>
    </row>
    <row r="134" spans="1:11" ht="14.4" hidden="1" x14ac:dyDescent="0.3">
      <c r="A134" s="1" t="s">
        <v>11</v>
      </c>
      <c r="B134" s="1" t="s">
        <v>12</v>
      </c>
      <c r="C134" s="1" t="s">
        <v>18</v>
      </c>
      <c r="D134" s="1" t="s">
        <v>56</v>
      </c>
      <c r="E134" s="1">
        <v>6</v>
      </c>
      <c r="F134" s="1">
        <v>9037</v>
      </c>
      <c r="G134" s="1">
        <v>2</v>
      </c>
      <c r="H134" s="2">
        <v>46112</v>
      </c>
      <c r="I134" s="2">
        <v>46121</v>
      </c>
      <c r="J134" s="1" t="s">
        <v>51</v>
      </c>
      <c r="K134" s="1">
        <v>1133</v>
      </c>
    </row>
    <row r="135" spans="1:11" ht="14.4" x14ac:dyDescent="0.3">
      <c r="A135" s="1" t="s">
        <v>57</v>
      </c>
      <c r="B135" s="1" t="s">
        <v>31</v>
      </c>
      <c r="C135" s="1" t="s">
        <v>34</v>
      </c>
      <c r="D135" s="1" t="s">
        <v>61</v>
      </c>
      <c r="E135" s="1">
        <v>10</v>
      </c>
      <c r="F135" s="1">
        <v>29217</v>
      </c>
      <c r="G135" s="1">
        <v>15</v>
      </c>
      <c r="H135" s="2">
        <v>46148</v>
      </c>
      <c r="I135" s="2">
        <v>46150</v>
      </c>
      <c r="J135" s="1" t="s">
        <v>24</v>
      </c>
      <c r="K135" s="1">
        <v>1134</v>
      </c>
    </row>
    <row r="136" spans="1:11" ht="14.4" x14ac:dyDescent="0.3">
      <c r="A136" s="1" t="s">
        <v>49</v>
      </c>
      <c r="B136" s="1" t="s">
        <v>43</v>
      </c>
      <c r="C136" s="1" t="s">
        <v>34</v>
      </c>
      <c r="D136" s="1" t="s">
        <v>39</v>
      </c>
      <c r="E136" s="1">
        <v>14</v>
      </c>
      <c r="F136" s="1">
        <v>68534</v>
      </c>
      <c r="G136" s="1">
        <v>0</v>
      </c>
      <c r="H136" s="2">
        <v>46041</v>
      </c>
      <c r="I136" s="2">
        <v>46042</v>
      </c>
      <c r="J136" s="1" t="s">
        <v>15</v>
      </c>
      <c r="K136" s="1">
        <v>1135</v>
      </c>
    </row>
    <row r="137" spans="1:11" ht="14.4" hidden="1" x14ac:dyDescent="0.3">
      <c r="A137" s="1" t="s">
        <v>27</v>
      </c>
      <c r="B137" s="1" t="s">
        <v>43</v>
      </c>
      <c r="C137" s="1" t="s">
        <v>18</v>
      </c>
      <c r="D137" s="1" t="s">
        <v>56</v>
      </c>
      <c r="E137" s="1">
        <v>19</v>
      </c>
      <c r="F137" s="1">
        <v>14528</v>
      </c>
      <c r="G137" s="1">
        <v>12</v>
      </c>
      <c r="H137" s="2">
        <v>46056</v>
      </c>
      <c r="I137" s="2">
        <v>46062</v>
      </c>
      <c r="J137" s="1" t="s">
        <v>24</v>
      </c>
      <c r="K137" s="1">
        <v>1136</v>
      </c>
    </row>
    <row r="138" spans="1:11" ht="14.4" hidden="1" x14ac:dyDescent="0.3">
      <c r="A138" s="1" t="s">
        <v>52</v>
      </c>
      <c r="B138" s="1" t="s">
        <v>12</v>
      </c>
      <c r="C138" s="1" t="s">
        <v>13</v>
      </c>
      <c r="D138" s="1" t="s">
        <v>37</v>
      </c>
      <c r="E138" s="1">
        <v>16</v>
      </c>
      <c r="F138" s="1">
        <v>270</v>
      </c>
      <c r="G138" s="1">
        <v>10</v>
      </c>
      <c r="H138" s="2">
        <v>46184</v>
      </c>
      <c r="I138" s="2">
        <v>46190</v>
      </c>
      <c r="J138" s="1" t="s">
        <v>29</v>
      </c>
      <c r="K138" s="1">
        <v>1137</v>
      </c>
    </row>
    <row r="139" spans="1:11" ht="14.4" hidden="1" x14ac:dyDescent="0.3">
      <c r="A139" s="1" t="s">
        <v>55</v>
      </c>
      <c r="B139" s="1" t="s">
        <v>43</v>
      </c>
      <c r="C139" s="1" t="s">
        <v>18</v>
      </c>
      <c r="D139" s="1" t="s">
        <v>19</v>
      </c>
      <c r="E139" s="1">
        <v>5</v>
      </c>
      <c r="F139" s="1">
        <v>14466</v>
      </c>
      <c r="G139" s="1">
        <v>2</v>
      </c>
      <c r="H139" s="2">
        <v>46084</v>
      </c>
      <c r="I139" s="2">
        <v>46092</v>
      </c>
      <c r="J139" s="1" t="s">
        <v>51</v>
      </c>
      <c r="K139" s="1">
        <v>1138</v>
      </c>
    </row>
    <row r="140" spans="1:11" ht="14.4" x14ac:dyDescent="0.3">
      <c r="A140" s="1" t="s">
        <v>55</v>
      </c>
      <c r="B140" s="1" t="s">
        <v>33</v>
      </c>
      <c r="C140" s="1" t="s">
        <v>34</v>
      </c>
      <c r="D140" s="1" t="s">
        <v>61</v>
      </c>
      <c r="E140" s="1">
        <v>17</v>
      </c>
      <c r="F140" s="1">
        <v>28839</v>
      </c>
      <c r="G140" s="1">
        <v>10</v>
      </c>
      <c r="H140" s="2">
        <v>46093</v>
      </c>
      <c r="I140" s="2">
        <v>46099</v>
      </c>
      <c r="J140" s="1" t="s">
        <v>15</v>
      </c>
      <c r="K140" s="1">
        <v>1139</v>
      </c>
    </row>
    <row r="141" spans="1:11" ht="14.4" x14ac:dyDescent="0.3">
      <c r="A141" s="1" t="s">
        <v>57</v>
      </c>
      <c r="B141" s="1" t="s">
        <v>38</v>
      </c>
      <c r="C141" s="1" t="s">
        <v>34</v>
      </c>
      <c r="D141" s="1" t="s">
        <v>41</v>
      </c>
      <c r="E141" s="1">
        <v>5</v>
      </c>
      <c r="F141" s="1">
        <v>68012</v>
      </c>
      <c r="G141" s="1">
        <v>5</v>
      </c>
      <c r="H141" s="2">
        <v>46061</v>
      </c>
      <c r="I141" s="2">
        <v>46065</v>
      </c>
      <c r="J141" s="1" t="s">
        <v>15</v>
      </c>
      <c r="K141" s="1">
        <v>1140</v>
      </c>
    </row>
    <row r="142" spans="1:11" ht="14.4" hidden="1" x14ac:dyDescent="0.3">
      <c r="A142" s="1" t="s">
        <v>11</v>
      </c>
      <c r="B142" s="1" t="s">
        <v>17</v>
      </c>
      <c r="C142" s="1" t="s">
        <v>18</v>
      </c>
      <c r="D142" s="1" t="s">
        <v>44</v>
      </c>
      <c r="E142" s="1">
        <v>20</v>
      </c>
      <c r="F142" s="1">
        <v>6835</v>
      </c>
      <c r="G142" s="1">
        <v>2</v>
      </c>
      <c r="H142" s="2">
        <v>46043</v>
      </c>
      <c r="I142" s="2">
        <v>46053</v>
      </c>
      <c r="J142" s="1" t="s">
        <v>15</v>
      </c>
      <c r="K142" s="1">
        <v>1141</v>
      </c>
    </row>
    <row r="143" spans="1:11" ht="14.4" x14ac:dyDescent="0.3">
      <c r="A143" s="1" t="s">
        <v>40</v>
      </c>
      <c r="B143" s="1" t="s">
        <v>25</v>
      </c>
      <c r="C143" s="1" t="s">
        <v>34</v>
      </c>
      <c r="D143" s="1" t="s">
        <v>60</v>
      </c>
      <c r="E143" s="1">
        <v>9</v>
      </c>
      <c r="F143" s="1">
        <v>59788</v>
      </c>
      <c r="G143" s="1">
        <v>7</v>
      </c>
      <c r="H143" s="2">
        <v>46064</v>
      </c>
      <c r="I143" s="2">
        <v>46071</v>
      </c>
      <c r="J143" s="1" t="s">
        <v>29</v>
      </c>
      <c r="K143" s="1">
        <v>1142</v>
      </c>
    </row>
    <row r="144" spans="1:11" ht="14.4" hidden="1" x14ac:dyDescent="0.3">
      <c r="A144" s="1" t="s">
        <v>29</v>
      </c>
      <c r="B144" s="1" t="s">
        <v>17</v>
      </c>
      <c r="C144" s="1" t="s">
        <v>13</v>
      </c>
      <c r="D144" s="1" t="s">
        <v>37</v>
      </c>
      <c r="E144" s="1">
        <v>13</v>
      </c>
      <c r="F144" s="1">
        <v>456</v>
      </c>
      <c r="G144" s="1">
        <v>2</v>
      </c>
      <c r="H144" s="2">
        <v>46160</v>
      </c>
      <c r="I144" s="2">
        <v>46167</v>
      </c>
      <c r="J144" s="1" t="s">
        <v>24</v>
      </c>
      <c r="K144" s="1">
        <v>1143</v>
      </c>
    </row>
    <row r="145" spans="1:11" ht="14.4" hidden="1" x14ac:dyDescent="0.3">
      <c r="A145" s="1" t="s">
        <v>42</v>
      </c>
      <c r="B145" s="1" t="s">
        <v>25</v>
      </c>
      <c r="C145" s="1" t="s">
        <v>13</v>
      </c>
      <c r="D145" s="1" t="s">
        <v>14</v>
      </c>
      <c r="E145" s="1">
        <v>16</v>
      </c>
      <c r="F145" s="1">
        <v>219</v>
      </c>
      <c r="G145" s="1">
        <v>7</v>
      </c>
      <c r="H145" s="2">
        <v>46138</v>
      </c>
      <c r="I145" s="2">
        <v>46140</v>
      </c>
      <c r="J145" s="1" t="s">
        <v>20</v>
      </c>
      <c r="K145" s="1">
        <v>1144</v>
      </c>
    </row>
    <row r="146" spans="1:11" ht="14.4" x14ac:dyDescent="0.3">
      <c r="A146" s="1" t="s">
        <v>42</v>
      </c>
      <c r="B146" s="1" t="s">
        <v>33</v>
      </c>
      <c r="C146" s="1" t="s">
        <v>34</v>
      </c>
      <c r="D146" s="1" t="s">
        <v>39</v>
      </c>
      <c r="E146" s="1">
        <v>2</v>
      </c>
      <c r="F146" s="1">
        <v>34429</v>
      </c>
      <c r="G146" s="1">
        <v>12</v>
      </c>
      <c r="H146" s="2">
        <v>46102</v>
      </c>
      <c r="I146" s="2">
        <v>46112</v>
      </c>
      <c r="J146" s="1" t="s">
        <v>24</v>
      </c>
      <c r="K146" s="1">
        <v>1145</v>
      </c>
    </row>
    <row r="147" spans="1:11" ht="14.4" x14ac:dyDescent="0.3">
      <c r="A147" s="1" t="s">
        <v>16</v>
      </c>
      <c r="B147" s="1" t="s">
        <v>43</v>
      </c>
      <c r="C147" s="1" t="s">
        <v>34</v>
      </c>
      <c r="D147" s="1" t="s">
        <v>45</v>
      </c>
      <c r="E147" s="1">
        <v>7</v>
      </c>
      <c r="F147" s="1">
        <v>68217</v>
      </c>
      <c r="G147" s="1">
        <v>0</v>
      </c>
      <c r="H147" s="2">
        <v>46190</v>
      </c>
      <c r="I147" s="2">
        <v>46197</v>
      </c>
      <c r="J147" s="1" t="s">
        <v>29</v>
      </c>
      <c r="K147" s="1">
        <v>1146</v>
      </c>
    </row>
    <row r="148" spans="1:11" ht="14.4" hidden="1" x14ac:dyDescent="0.3">
      <c r="A148" s="1" t="s">
        <v>11</v>
      </c>
      <c r="B148" s="1" t="s">
        <v>22</v>
      </c>
      <c r="C148" s="1" t="s">
        <v>18</v>
      </c>
      <c r="D148" s="1" t="s">
        <v>28</v>
      </c>
      <c r="E148" s="1">
        <v>7</v>
      </c>
      <c r="F148" s="1">
        <v>9581</v>
      </c>
      <c r="G148" s="1">
        <v>5</v>
      </c>
      <c r="H148" s="2">
        <v>46154</v>
      </c>
      <c r="I148" s="2">
        <v>46155</v>
      </c>
      <c r="J148" s="1" t="s">
        <v>20</v>
      </c>
      <c r="K148" s="1">
        <v>1147</v>
      </c>
    </row>
    <row r="149" spans="1:11" ht="14.4" hidden="1" x14ac:dyDescent="0.3">
      <c r="A149" s="1" t="s">
        <v>59</v>
      </c>
      <c r="B149" s="1" t="s">
        <v>33</v>
      </c>
      <c r="C149" s="1" t="s">
        <v>18</v>
      </c>
      <c r="D149" s="1" t="s">
        <v>28</v>
      </c>
      <c r="E149" s="1">
        <v>11</v>
      </c>
      <c r="F149" s="1">
        <v>3023</v>
      </c>
      <c r="G149" s="1">
        <v>7</v>
      </c>
      <c r="H149" s="2">
        <v>46030</v>
      </c>
      <c r="I149" s="2">
        <v>46032</v>
      </c>
      <c r="J149" s="1" t="s">
        <v>24</v>
      </c>
      <c r="K149" s="1">
        <v>1148</v>
      </c>
    </row>
    <row r="150" spans="1:11" ht="14.4" x14ac:dyDescent="0.3">
      <c r="A150" s="1" t="s">
        <v>26</v>
      </c>
      <c r="B150" s="1" t="s">
        <v>38</v>
      </c>
      <c r="C150" s="1" t="s">
        <v>34</v>
      </c>
      <c r="D150" s="1" t="s">
        <v>35</v>
      </c>
      <c r="E150" s="1">
        <v>10</v>
      </c>
      <c r="F150" s="1">
        <v>22853</v>
      </c>
      <c r="G150" s="1">
        <v>7</v>
      </c>
      <c r="H150" s="2">
        <v>46053</v>
      </c>
      <c r="I150" s="2">
        <v>46054</v>
      </c>
      <c r="J150" s="1" t="s">
        <v>29</v>
      </c>
      <c r="K150" s="1">
        <v>1149</v>
      </c>
    </row>
    <row r="151" spans="1:11" ht="14.4" hidden="1" x14ac:dyDescent="0.3">
      <c r="A151" s="1" t="s">
        <v>42</v>
      </c>
      <c r="B151" s="1" t="s">
        <v>12</v>
      </c>
      <c r="C151" s="1" t="s">
        <v>18</v>
      </c>
      <c r="D151" s="1" t="s">
        <v>56</v>
      </c>
      <c r="E151" s="1">
        <v>10</v>
      </c>
      <c r="F151" s="1">
        <v>5323</v>
      </c>
      <c r="G151" s="1">
        <v>7</v>
      </c>
      <c r="H151" s="2">
        <v>46143</v>
      </c>
      <c r="I151" s="2">
        <v>46153</v>
      </c>
      <c r="J151" s="1" t="s">
        <v>24</v>
      </c>
      <c r="K151" s="1">
        <v>1150</v>
      </c>
    </row>
    <row r="152" spans="1:11" ht="14.4" hidden="1" x14ac:dyDescent="0.3">
      <c r="A152" s="1" t="s">
        <v>46</v>
      </c>
      <c r="B152" s="1" t="s">
        <v>43</v>
      </c>
      <c r="C152" s="1" t="s">
        <v>13</v>
      </c>
      <c r="D152" s="1" t="s">
        <v>50</v>
      </c>
      <c r="E152" s="1">
        <v>20</v>
      </c>
      <c r="F152" s="1">
        <v>272</v>
      </c>
      <c r="G152" s="1">
        <v>15</v>
      </c>
      <c r="H152" s="2">
        <v>46024</v>
      </c>
      <c r="I152" s="2">
        <v>46029</v>
      </c>
      <c r="J152" s="1" t="s">
        <v>51</v>
      </c>
      <c r="K152" s="1">
        <v>1151</v>
      </c>
    </row>
    <row r="153" spans="1:11" ht="14.4" x14ac:dyDescent="0.3">
      <c r="A153" s="1" t="s">
        <v>27</v>
      </c>
      <c r="B153" s="1" t="s">
        <v>31</v>
      </c>
      <c r="C153" s="1" t="s">
        <v>34</v>
      </c>
      <c r="D153" s="1" t="s">
        <v>61</v>
      </c>
      <c r="E153" s="1">
        <v>14</v>
      </c>
      <c r="F153" s="1">
        <v>8150</v>
      </c>
      <c r="G153" s="1">
        <v>10</v>
      </c>
      <c r="H153" s="2">
        <v>46062</v>
      </c>
      <c r="I153" s="2">
        <v>46070</v>
      </c>
      <c r="J153" s="1" t="s">
        <v>15</v>
      </c>
      <c r="K153" s="1">
        <v>1152</v>
      </c>
    </row>
    <row r="154" spans="1:11" ht="14.4" hidden="1" x14ac:dyDescent="0.3">
      <c r="A154" s="1" t="s">
        <v>42</v>
      </c>
      <c r="B154" s="1" t="s">
        <v>25</v>
      </c>
      <c r="C154" s="1" t="s">
        <v>18</v>
      </c>
      <c r="D154" s="1" t="s">
        <v>23</v>
      </c>
      <c r="E154" s="1">
        <v>19</v>
      </c>
      <c r="F154" s="1">
        <v>10273</v>
      </c>
      <c r="G154" s="1">
        <v>12</v>
      </c>
      <c r="H154" s="2">
        <v>46069</v>
      </c>
      <c r="I154" s="2">
        <v>46072</v>
      </c>
      <c r="J154" s="1" t="s">
        <v>29</v>
      </c>
      <c r="K154" s="1">
        <v>1153</v>
      </c>
    </row>
    <row r="155" spans="1:11" ht="14.4" hidden="1" x14ac:dyDescent="0.3">
      <c r="A155" s="1" t="s">
        <v>32</v>
      </c>
      <c r="B155" s="1" t="s">
        <v>17</v>
      </c>
      <c r="C155" s="1" t="s">
        <v>18</v>
      </c>
      <c r="D155" s="1" t="s">
        <v>56</v>
      </c>
      <c r="E155" s="1">
        <v>15</v>
      </c>
      <c r="F155" s="1">
        <v>6101</v>
      </c>
      <c r="G155" s="1">
        <v>0</v>
      </c>
      <c r="H155" s="2">
        <v>46178</v>
      </c>
      <c r="I155" s="2">
        <v>46183</v>
      </c>
      <c r="J155" s="1" t="s">
        <v>51</v>
      </c>
      <c r="K155" s="1">
        <v>1154</v>
      </c>
    </row>
    <row r="156" spans="1:11" ht="14.4" hidden="1" x14ac:dyDescent="0.3">
      <c r="A156" s="1" t="s">
        <v>11</v>
      </c>
      <c r="B156" s="1" t="s">
        <v>31</v>
      </c>
      <c r="C156" s="1" t="s">
        <v>18</v>
      </c>
      <c r="D156" s="1" t="s">
        <v>28</v>
      </c>
      <c r="E156" s="1">
        <v>13</v>
      </c>
      <c r="F156" s="1">
        <v>4341</v>
      </c>
      <c r="G156" s="1">
        <v>15</v>
      </c>
      <c r="H156" s="2">
        <v>46093</v>
      </c>
      <c r="I156" s="2">
        <v>46096</v>
      </c>
      <c r="J156" s="1" t="s">
        <v>24</v>
      </c>
      <c r="K156" s="1">
        <v>1155</v>
      </c>
    </row>
    <row r="157" spans="1:11" ht="14.4" hidden="1" x14ac:dyDescent="0.3">
      <c r="A157" s="1" t="s">
        <v>54</v>
      </c>
      <c r="B157" s="1" t="s">
        <v>38</v>
      </c>
      <c r="C157" s="1" t="s">
        <v>13</v>
      </c>
      <c r="D157" s="1" t="s">
        <v>36</v>
      </c>
      <c r="E157" s="1">
        <v>5</v>
      </c>
      <c r="F157" s="1">
        <v>466</v>
      </c>
      <c r="G157" s="1">
        <v>15</v>
      </c>
      <c r="H157" s="2">
        <v>46025</v>
      </c>
      <c r="I157" s="2">
        <v>46029</v>
      </c>
      <c r="J157" s="1" t="s">
        <v>15</v>
      </c>
      <c r="K157" s="1">
        <v>1156</v>
      </c>
    </row>
    <row r="158" spans="1:11" ht="14.4" hidden="1" x14ac:dyDescent="0.3">
      <c r="A158" s="1" t="s">
        <v>52</v>
      </c>
      <c r="B158" s="1" t="s">
        <v>33</v>
      </c>
      <c r="C158" s="1" t="s">
        <v>13</v>
      </c>
      <c r="D158" s="1" t="s">
        <v>50</v>
      </c>
      <c r="E158" s="1">
        <v>3</v>
      </c>
      <c r="F158" s="1">
        <v>203</v>
      </c>
      <c r="G158" s="1">
        <v>15</v>
      </c>
      <c r="H158" s="2">
        <v>46076</v>
      </c>
      <c r="I158" s="2">
        <v>46080</v>
      </c>
      <c r="J158" s="1" t="s">
        <v>29</v>
      </c>
      <c r="K158" s="1">
        <v>1157</v>
      </c>
    </row>
    <row r="159" spans="1:11" ht="14.4" x14ac:dyDescent="0.3">
      <c r="A159" s="1" t="s">
        <v>26</v>
      </c>
      <c r="B159" s="1" t="s">
        <v>38</v>
      </c>
      <c r="C159" s="1" t="s">
        <v>34</v>
      </c>
      <c r="D159" s="1" t="s">
        <v>41</v>
      </c>
      <c r="E159" s="1">
        <v>13</v>
      </c>
      <c r="F159" s="1">
        <v>12518</v>
      </c>
      <c r="G159" s="1">
        <v>2</v>
      </c>
      <c r="H159" s="2">
        <v>46079</v>
      </c>
      <c r="I159" s="2">
        <v>46082</v>
      </c>
      <c r="J159" s="1" t="s">
        <v>51</v>
      </c>
      <c r="K159" s="1">
        <v>1158</v>
      </c>
    </row>
    <row r="160" spans="1:11" ht="14.4" hidden="1" x14ac:dyDescent="0.3">
      <c r="A160" s="1" t="s">
        <v>32</v>
      </c>
      <c r="B160" s="1" t="s">
        <v>43</v>
      </c>
      <c r="C160" s="1" t="s">
        <v>18</v>
      </c>
      <c r="D160" s="1" t="s">
        <v>28</v>
      </c>
      <c r="E160" s="1">
        <v>20</v>
      </c>
      <c r="F160" s="1">
        <v>14000</v>
      </c>
      <c r="G160" s="1">
        <v>15</v>
      </c>
      <c r="H160" s="2">
        <v>46184</v>
      </c>
      <c r="I160" s="2">
        <v>46187</v>
      </c>
      <c r="J160" s="1" t="s">
        <v>15</v>
      </c>
      <c r="K160" s="1">
        <v>1159</v>
      </c>
    </row>
    <row r="161" spans="1:11" ht="14.4" x14ac:dyDescent="0.3">
      <c r="A161" s="1" t="s">
        <v>59</v>
      </c>
      <c r="B161" s="1" t="s">
        <v>22</v>
      </c>
      <c r="C161" s="1" t="s">
        <v>34</v>
      </c>
      <c r="D161" s="1" t="s">
        <v>39</v>
      </c>
      <c r="E161" s="1">
        <v>7</v>
      </c>
      <c r="F161" s="1">
        <v>53986</v>
      </c>
      <c r="G161" s="1">
        <v>10</v>
      </c>
      <c r="H161" s="2">
        <v>46142</v>
      </c>
      <c r="I161" s="2">
        <v>46147</v>
      </c>
      <c r="J161" s="1" t="s">
        <v>51</v>
      </c>
      <c r="K161" s="1">
        <v>1160</v>
      </c>
    </row>
    <row r="162" spans="1:11" ht="14.4" x14ac:dyDescent="0.3">
      <c r="A162" s="1" t="s">
        <v>27</v>
      </c>
      <c r="B162" s="1" t="s">
        <v>25</v>
      </c>
      <c r="C162" s="1" t="s">
        <v>34</v>
      </c>
      <c r="D162" s="1" t="s">
        <v>39</v>
      </c>
      <c r="E162" s="1">
        <v>4</v>
      </c>
      <c r="F162" s="1">
        <v>54659</v>
      </c>
      <c r="G162" s="1">
        <v>7</v>
      </c>
      <c r="H162" s="2">
        <v>46105</v>
      </c>
      <c r="I162" s="2">
        <v>46109</v>
      </c>
      <c r="J162" s="1" t="s">
        <v>20</v>
      </c>
      <c r="K162" s="1">
        <v>1161</v>
      </c>
    </row>
    <row r="163" spans="1:11" ht="14.4" x14ac:dyDescent="0.3">
      <c r="A163" s="1" t="s">
        <v>57</v>
      </c>
      <c r="B163" s="1" t="s">
        <v>31</v>
      </c>
      <c r="C163" s="1" t="s">
        <v>34</v>
      </c>
      <c r="D163" s="1" t="s">
        <v>45</v>
      </c>
      <c r="E163" s="1">
        <v>2</v>
      </c>
      <c r="F163" s="1">
        <v>28176</v>
      </c>
      <c r="G163" s="1">
        <v>10</v>
      </c>
      <c r="H163" s="2">
        <v>46100</v>
      </c>
      <c r="I163" s="2">
        <v>46101</v>
      </c>
      <c r="J163" s="1" t="s">
        <v>20</v>
      </c>
      <c r="K163" s="1">
        <v>1162</v>
      </c>
    </row>
    <row r="164" spans="1:11" ht="14.4" x14ac:dyDescent="0.3">
      <c r="A164" s="1" t="s">
        <v>29</v>
      </c>
      <c r="B164" s="1" t="s">
        <v>38</v>
      </c>
      <c r="C164" s="1" t="s">
        <v>34</v>
      </c>
      <c r="D164" s="1" t="s">
        <v>39</v>
      </c>
      <c r="E164" s="1">
        <v>9</v>
      </c>
      <c r="F164" s="1">
        <v>62440</v>
      </c>
      <c r="G164" s="1">
        <v>2</v>
      </c>
      <c r="H164" s="2">
        <v>46081</v>
      </c>
      <c r="I164" s="2">
        <v>46086</v>
      </c>
      <c r="J164" s="1" t="s">
        <v>29</v>
      </c>
      <c r="K164" s="1">
        <v>1163</v>
      </c>
    </row>
    <row r="165" spans="1:11" ht="14.4" x14ac:dyDescent="0.3">
      <c r="A165" s="1" t="s">
        <v>40</v>
      </c>
      <c r="B165" s="1" t="s">
        <v>43</v>
      </c>
      <c r="C165" s="1" t="s">
        <v>34</v>
      </c>
      <c r="D165" s="1" t="s">
        <v>61</v>
      </c>
      <c r="E165" s="1">
        <v>7</v>
      </c>
      <c r="F165" s="1">
        <v>24615</v>
      </c>
      <c r="G165" s="1">
        <v>12</v>
      </c>
      <c r="H165" s="2">
        <v>46196</v>
      </c>
      <c r="I165" s="2">
        <v>46203</v>
      </c>
      <c r="J165" s="1" t="s">
        <v>51</v>
      </c>
      <c r="K165" s="1">
        <v>1164</v>
      </c>
    </row>
    <row r="166" spans="1:11" ht="14.4" hidden="1" x14ac:dyDescent="0.3">
      <c r="A166" s="1" t="s">
        <v>48</v>
      </c>
      <c r="B166" s="1" t="s">
        <v>25</v>
      </c>
      <c r="C166" s="1" t="s">
        <v>13</v>
      </c>
      <c r="D166" s="1" t="s">
        <v>37</v>
      </c>
      <c r="E166" s="1">
        <v>1</v>
      </c>
      <c r="F166" s="1">
        <v>427</v>
      </c>
      <c r="G166" s="1">
        <v>0</v>
      </c>
      <c r="H166" s="2">
        <v>46042</v>
      </c>
      <c r="I166" s="2">
        <v>46050</v>
      </c>
      <c r="J166" s="1" t="s">
        <v>51</v>
      </c>
      <c r="K166" s="1">
        <v>1165</v>
      </c>
    </row>
    <row r="167" spans="1:11" ht="14.4" hidden="1" x14ac:dyDescent="0.3">
      <c r="A167" s="1" t="s">
        <v>32</v>
      </c>
      <c r="B167" s="1" t="s">
        <v>31</v>
      </c>
      <c r="C167" s="1" t="s">
        <v>13</v>
      </c>
      <c r="D167" s="1" t="s">
        <v>37</v>
      </c>
      <c r="E167" s="1">
        <v>1</v>
      </c>
      <c r="F167" s="1">
        <v>396</v>
      </c>
      <c r="G167" s="1">
        <v>5</v>
      </c>
      <c r="H167" s="2">
        <v>46092</v>
      </c>
      <c r="I167" s="2">
        <v>46093</v>
      </c>
      <c r="J167" s="1" t="s">
        <v>20</v>
      </c>
      <c r="K167" s="1">
        <v>1166</v>
      </c>
    </row>
    <row r="168" spans="1:11" ht="14.4" hidden="1" x14ac:dyDescent="0.3">
      <c r="A168" s="1" t="s">
        <v>48</v>
      </c>
      <c r="B168" s="1" t="s">
        <v>17</v>
      </c>
      <c r="C168" s="1" t="s">
        <v>13</v>
      </c>
      <c r="D168" s="1" t="s">
        <v>37</v>
      </c>
      <c r="E168" s="1">
        <v>20</v>
      </c>
      <c r="F168" s="1">
        <v>251</v>
      </c>
      <c r="G168" s="1">
        <v>5</v>
      </c>
      <c r="H168" s="2">
        <v>46160</v>
      </c>
      <c r="I168" s="2">
        <v>46170</v>
      </c>
      <c r="J168" s="1" t="s">
        <v>29</v>
      </c>
      <c r="K168" s="1">
        <v>1167</v>
      </c>
    </row>
    <row r="169" spans="1:11" ht="14.4" hidden="1" x14ac:dyDescent="0.3">
      <c r="A169" s="1" t="s">
        <v>54</v>
      </c>
      <c r="B169" s="1" t="s">
        <v>12</v>
      </c>
      <c r="C169" s="1" t="s">
        <v>13</v>
      </c>
      <c r="D169" s="1" t="s">
        <v>37</v>
      </c>
      <c r="E169" s="1">
        <v>18</v>
      </c>
      <c r="F169" s="1">
        <v>335</v>
      </c>
      <c r="G169" s="1">
        <v>15</v>
      </c>
      <c r="H169" s="2">
        <v>46130</v>
      </c>
      <c r="I169" s="2">
        <v>46140</v>
      </c>
      <c r="J169" s="1" t="s">
        <v>29</v>
      </c>
      <c r="K169" s="1">
        <v>1168</v>
      </c>
    </row>
    <row r="170" spans="1:11" ht="14.4" hidden="1" x14ac:dyDescent="0.3">
      <c r="A170" s="1" t="s">
        <v>47</v>
      </c>
      <c r="B170" s="1" t="s">
        <v>12</v>
      </c>
      <c r="C170" s="1" t="s">
        <v>18</v>
      </c>
      <c r="D170" s="1" t="s">
        <v>56</v>
      </c>
      <c r="E170" s="1">
        <v>12</v>
      </c>
      <c r="F170" s="1">
        <v>12104</v>
      </c>
      <c r="G170" s="1">
        <v>7</v>
      </c>
      <c r="H170" s="2">
        <v>46121</v>
      </c>
      <c r="I170" s="2">
        <v>46130</v>
      </c>
      <c r="J170" s="1" t="s">
        <v>24</v>
      </c>
      <c r="K170" s="1">
        <v>1169</v>
      </c>
    </row>
    <row r="171" spans="1:11" ht="14.4" hidden="1" x14ac:dyDescent="0.3">
      <c r="A171" s="1" t="s">
        <v>49</v>
      </c>
      <c r="B171" s="1" t="s">
        <v>38</v>
      </c>
      <c r="C171" s="1" t="s">
        <v>13</v>
      </c>
      <c r="D171" s="1" t="s">
        <v>14</v>
      </c>
      <c r="E171" s="1">
        <v>6</v>
      </c>
      <c r="F171" s="1">
        <v>339</v>
      </c>
      <c r="G171" s="1">
        <v>12</v>
      </c>
      <c r="H171" s="2">
        <v>46105</v>
      </c>
      <c r="I171" s="2">
        <v>46106</v>
      </c>
      <c r="J171" s="1" t="s">
        <v>24</v>
      </c>
      <c r="K171" s="1">
        <v>1170</v>
      </c>
    </row>
    <row r="172" spans="1:11" ht="14.4" hidden="1" x14ac:dyDescent="0.3">
      <c r="A172" s="1" t="s">
        <v>57</v>
      </c>
      <c r="B172" s="1" t="s">
        <v>25</v>
      </c>
      <c r="C172" s="1" t="s">
        <v>13</v>
      </c>
      <c r="D172" s="1" t="s">
        <v>50</v>
      </c>
      <c r="E172" s="1">
        <v>17</v>
      </c>
      <c r="F172" s="1">
        <v>147</v>
      </c>
      <c r="G172" s="1">
        <v>12</v>
      </c>
      <c r="H172" s="2">
        <v>46155</v>
      </c>
      <c r="I172" s="2">
        <v>46160</v>
      </c>
      <c r="J172" s="1" t="s">
        <v>20</v>
      </c>
      <c r="K172" s="1">
        <v>1171</v>
      </c>
    </row>
    <row r="173" spans="1:11" ht="14.4" x14ac:dyDescent="0.3">
      <c r="A173" s="1" t="s">
        <v>16</v>
      </c>
      <c r="B173" s="1" t="s">
        <v>12</v>
      </c>
      <c r="C173" s="1" t="s">
        <v>34</v>
      </c>
      <c r="D173" s="1" t="s">
        <v>45</v>
      </c>
      <c r="E173" s="1">
        <v>13</v>
      </c>
      <c r="F173" s="1">
        <v>43163</v>
      </c>
      <c r="G173" s="1">
        <v>12</v>
      </c>
      <c r="H173" s="2">
        <v>46120</v>
      </c>
      <c r="I173" s="2">
        <v>46129</v>
      </c>
      <c r="J173" s="1" t="s">
        <v>24</v>
      </c>
      <c r="K173" s="1">
        <v>1172</v>
      </c>
    </row>
    <row r="174" spans="1:11" ht="14.4" hidden="1" x14ac:dyDescent="0.3">
      <c r="A174" s="1" t="s">
        <v>40</v>
      </c>
      <c r="B174" s="1" t="s">
        <v>17</v>
      </c>
      <c r="C174" s="1" t="s">
        <v>13</v>
      </c>
      <c r="D174" s="1" t="s">
        <v>37</v>
      </c>
      <c r="E174" s="1">
        <v>15</v>
      </c>
      <c r="F174" s="1">
        <v>214</v>
      </c>
      <c r="G174" s="1">
        <v>10</v>
      </c>
      <c r="H174" s="2">
        <v>46050</v>
      </c>
      <c r="I174" s="2">
        <v>46060</v>
      </c>
      <c r="J174" s="1" t="s">
        <v>51</v>
      </c>
      <c r="K174" s="1">
        <v>1173</v>
      </c>
    </row>
    <row r="175" spans="1:11" ht="14.4" hidden="1" x14ac:dyDescent="0.3">
      <c r="A175" s="1" t="s">
        <v>58</v>
      </c>
      <c r="B175" s="1" t="s">
        <v>38</v>
      </c>
      <c r="C175" s="1" t="s">
        <v>13</v>
      </c>
      <c r="D175" s="1" t="s">
        <v>14</v>
      </c>
      <c r="E175" s="1">
        <v>13</v>
      </c>
      <c r="F175" s="1">
        <v>155</v>
      </c>
      <c r="G175" s="1">
        <v>2</v>
      </c>
      <c r="H175" s="2">
        <v>46066</v>
      </c>
      <c r="I175" s="2">
        <v>46069</v>
      </c>
      <c r="J175" s="1" t="s">
        <v>24</v>
      </c>
      <c r="K175" s="1">
        <v>1174</v>
      </c>
    </row>
    <row r="176" spans="1:11" ht="14.4" x14ac:dyDescent="0.3">
      <c r="A176" s="1" t="s">
        <v>26</v>
      </c>
      <c r="B176" s="1" t="s">
        <v>17</v>
      </c>
      <c r="C176" s="1" t="s">
        <v>34</v>
      </c>
      <c r="D176" s="1" t="s">
        <v>41</v>
      </c>
      <c r="E176" s="1">
        <v>10</v>
      </c>
      <c r="F176" s="1">
        <v>20339</v>
      </c>
      <c r="G176" s="1">
        <v>2</v>
      </c>
      <c r="H176" s="2">
        <v>46088</v>
      </c>
      <c r="I176" s="2">
        <v>46094</v>
      </c>
      <c r="J176" s="1" t="s">
        <v>20</v>
      </c>
      <c r="K176" s="1">
        <v>1175</v>
      </c>
    </row>
    <row r="177" spans="1:11" ht="14.4" x14ac:dyDescent="0.3">
      <c r="A177" s="1" t="s">
        <v>58</v>
      </c>
      <c r="B177" s="1" t="s">
        <v>38</v>
      </c>
      <c r="C177" s="1" t="s">
        <v>34</v>
      </c>
      <c r="D177" s="1" t="s">
        <v>41</v>
      </c>
      <c r="E177" s="1">
        <v>17</v>
      </c>
      <c r="F177" s="1">
        <v>46937</v>
      </c>
      <c r="G177" s="1">
        <v>12</v>
      </c>
      <c r="H177" s="2">
        <v>46048</v>
      </c>
      <c r="I177" s="2">
        <v>46056</v>
      </c>
      <c r="J177" s="1" t="s">
        <v>29</v>
      </c>
      <c r="K177" s="1">
        <v>1176</v>
      </c>
    </row>
    <row r="178" spans="1:11" ht="14.4" hidden="1" x14ac:dyDescent="0.3">
      <c r="A178" s="1" t="s">
        <v>29</v>
      </c>
      <c r="B178" s="1" t="s">
        <v>22</v>
      </c>
      <c r="C178" s="1" t="s">
        <v>18</v>
      </c>
      <c r="D178" s="1" t="s">
        <v>19</v>
      </c>
      <c r="E178" s="1">
        <v>14</v>
      </c>
      <c r="F178" s="1">
        <v>7501</v>
      </c>
      <c r="G178" s="1">
        <v>7</v>
      </c>
      <c r="H178" s="2">
        <v>46169</v>
      </c>
      <c r="I178" s="2">
        <v>46179</v>
      </c>
      <c r="J178" s="1" t="s">
        <v>20</v>
      </c>
      <c r="K178" s="1">
        <v>1177</v>
      </c>
    </row>
    <row r="179" spans="1:11" ht="14.4" hidden="1" x14ac:dyDescent="0.3">
      <c r="A179" s="1" t="s">
        <v>57</v>
      </c>
      <c r="B179" s="1" t="s">
        <v>17</v>
      </c>
      <c r="C179" s="1" t="s">
        <v>13</v>
      </c>
      <c r="D179" s="1" t="s">
        <v>50</v>
      </c>
      <c r="E179" s="1">
        <v>5</v>
      </c>
      <c r="F179" s="1">
        <v>50</v>
      </c>
      <c r="G179" s="1">
        <v>0</v>
      </c>
      <c r="H179" s="2">
        <v>46111</v>
      </c>
      <c r="I179" s="2">
        <v>46117</v>
      </c>
      <c r="J179" s="1" t="s">
        <v>20</v>
      </c>
      <c r="K179" s="1">
        <v>1178</v>
      </c>
    </row>
    <row r="180" spans="1:11" ht="14.4" x14ac:dyDescent="0.3">
      <c r="A180" s="1" t="s">
        <v>47</v>
      </c>
      <c r="B180" s="1" t="s">
        <v>17</v>
      </c>
      <c r="C180" s="1" t="s">
        <v>34</v>
      </c>
      <c r="D180" s="1" t="s">
        <v>39</v>
      </c>
      <c r="E180" s="1">
        <v>6</v>
      </c>
      <c r="F180" s="1">
        <v>10400</v>
      </c>
      <c r="G180" s="1">
        <v>2</v>
      </c>
      <c r="H180" s="2">
        <v>46155</v>
      </c>
      <c r="I180" s="2">
        <v>46158</v>
      </c>
      <c r="J180" s="1" t="s">
        <v>15</v>
      </c>
      <c r="K180" s="1">
        <v>1179</v>
      </c>
    </row>
    <row r="181" spans="1:11" ht="14.4" hidden="1" x14ac:dyDescent="0.3">
      <c r="A181" s="1" t="s">
        <v>40</v>
      </c>
      <c r="B181" s="1" t="s">
        <v>31</v>
      </c>
      <c r="C181" s="1" t="s">
        <v>18</v>
      </c>
      <c r="D181" s="1" t="s">
        <v>28</v>
      </c>
      <c r="E181" s="1">
        <v>2</v>
      </c>
      <c r="F181" s="1">
        <v>2076</v>
      </c>
      <c r="G181" s="1">
        <v>2</v>
      </c>
      <c r="H181" s="2">
        <v>46111</v>
      </c>
      <c r="I181" s="2">
        <v>46121</v>
      </c>
      <c r="J181" s="1" t="s">
        <v>29</v>
      </c>
      <c r="K181" s="1">
        <v>1180</v>
      </c>
    </row>
    <row r="182" spans="1:11" ht="14.4" hidden="1" x14ac:dyDescent="0.3">
      <c r="A182" s="1" t="s">
        <v>58</v>
      </c>
      <c r="B182" s="1" t="s">
        <v>33</v>
      </c>
      <c r="C182" s="1" t="s">
        <v>13</v>
      </c>
      <c r="D182" s="1" t="s">
        <v>36</v>
      </c>
      <c r="E182" s="1">
        <v>4</v>
      </c>
      <c r="F182" s="1">
        <v>357</v>
      </c>
      <c r="G182" s="1">
        <v>2</v>
      </c>
      <c r="H182" s="2">
        <v>46033</v>
      </c>
      <c r="I182" s="2">
        <v>46035</v>
      </c>
      <c r="J182" s="1" t="s">
        <v>15</v>
      </c>
      <c r="K182" s="1">
        <v>1181</v>
      </c>
    </row>
    <row r="183" spans="1:11" ht="14.4" x14ac:dyDescent="0.3">
      <c r="A183" s="1" t="s">
        <v>42</v>
      </c>
      <c r="B183" s="1" t="s">
        <v>12</v>
      </c>
      <c r="C183" s="1" t="s">
        <v>34</v>
      </c>
      <c r="D183" s="1" t="s">
        <v>39</v>
      </c>
      <c r="E183" s="1">
        <v>8</v>
      </c>
      <c r="F183" s="1">
        <v>66022</v>
      </c>
      <c r="G183" s="1">
        <v>12</v>
      </c>
      <c r="H183" s="2">
        <v>46108</v>
      </c>
      <c r="I183" s="2">
        <v>46114</v>
      </c>
      <c r="J183" s="1" t="s">
        <v>24</v>
      </c>
      <c r="K183" s="1">
        <v>1182</v>
      </c>
    </row>
    <row r="184" spans="1:11" ht="14.4" hidden="1" x14ac:dyDescent="0.3">
      <c r="A184" s="1" t="s">
        <v>52</v>
      </c>
      <c r="B184" s="1" t="s">
        <v>43</v>
      </c>
      <c r="C184" s="1" t="s">
        <v>13</v>
      </c>
      <c r="D184" s="1" t="s">
        <v>14</v>
      </c>
      <c r="E184" s="1">
        <v>2</v>
      </c>
      <c r="F184" s="1">
        <v>309</v>
      </c>
      <c r="G184" s="1">
        <v>2</v>
      </c>
      <c r="H184" s="2">
        <v>46109</v>
      </c>
      <c r="I184" s="2">
        <v>46111</v>
      </c>
      <c r="J184" s="1" t="s">
        <v>20</v>
      </c>
      <c r="K184" s="1">
        <v>1183</v>
      </c>
    </row>
    <row r="185" spans="1:11" ht="14.4" x14ac:dyDescent="0.3">
      <c r="A185" s="1" t="s">
        <v>40</v>
      </c>
      <c r="B185" s="1" t="s">
        <v>31</v>
      </c>
      <c r="C185" s="1" t="s">
        <v>34</v>
      </c>
      <c r="D185" s="1" t="s">
        <v>39</v>
      </c>
      <c r="E185" s="1">
        <v>12</v>
      </c>
      <c r="F185" s="1">
        <v>50517</v>
      </c>
      <c r="G185" s="1">
        <v>15</v>
      </c>
      <c r="H185" s="2">
        <v>46145</v>
      </c>
      <c r="I185" s="2">
        <v>46153</v>
      </c>
      <c r="J185" s="1" t="s">
        <v>29</v>
      </c>
      <c r="K185" s="1">
        <v>1184</v>
      </c>
    </row>
    <row r="186" spans="1:11" ht="14.4" x14ac:dyDescent="0.3">
      <c r="A186" s="1" t="s">
        <v>58</v>
      </c>
      <c r="B186" s="1" t="s">
        <v>22</v>
      </c>
      <c r="C186" s="1" t="s">
        <v>34</v>
      </c>
      <c r="D186" s="1" t="s">
        <v>60</v>
      </c>
      <c r="E186" s="1">
        <v>16</v>
      </c>
      <c r="F186" s="1">
        <v>15536</v>
      </c>
      <c r="G186" s="1">
        <v>2</v>
      </c>
      <c r="H186" s="2">
        <v>46153</v>
      </c>
      <c r="I186" s="2">
        <v>46156</v>
      </c>
      <c r="J186" s="1" t="s">
        <v>15</v>
      </c>
      <c r="K186" s="1">
        <v>1185</v>
      </c>
    </row>
    <row r="187" spans="1:11" ht="14.4" hidden="1" x14ac:dyDescent="0.3">
      <c r="A187" s="1" t="s">
        <v>16</v>
      </c>
      <c r="B187" s="1" t="s">
        <v>25</v>
      </c>
      <c r="C187" s="1" t="s">
        <v>18</v>
      </c>
      <c r="D187" s="1" t="s">
        <v>44</v>
      </c>
      <c r="E187" s="1">
        <v>10</v>
      </c>
      <c r="F187" s="1">
        <v>14951</v>
      </c>
      <c r="G187" s="1">
        <v>2</v>
      </c>
      <c r="H187" s="2">
        <v>46188</v>
      </c>
      <c r="I187" s="2">
        <v>46196</v>
      </c>
      <c r="J187" s="1" t="s">
        <v>24</v>
      </c>
      <c r="K187" s="1">
        <v>1186</v>
      </c>
    </row>
    <row r="188" spans="1:11" ht="14.4" x14ac:dyDescent="0.3">
      <c r="A188" s="1" t="s">
        <v>54</v>
      </c>
      <c r="B188" s="1" t="s">
        <v>22</v>
      </c>
      <c r="C188" s="1" t="s">
        <v>34</v>
      </c>
      <c r="D188" s="1" t="s">
        <v>45</v>
      </c>
      <c r="E188" s="1">
        <v>18</v>
      </c>
      <c r="F188" s="1">
        <v>68527</v>
      </c>
      <c r="G188" s="1">
        <v>12</v>
      </c>
      <c r="H188" s="2">
        <v>46178</v>
      </c>
      <c r="I188" s="2">
        <v>46184</v>
      </c>
      <c r="J188" s="1" t="s">
        <v>51</v>
      </c>
      <c r="K188" s="1">
        <v>1187</v>
      </c>
    </row>
    <row r="189" spans="1:11" ht="14.4" hidden="1" x14ac:dyDescent="0.3">
      <c r="A189" s="1" t="s">
        <v>29</v>
      </c>
      <c r="B189" s="1" t="s">
        <v>22</v>
      </c>
      <c r="C189" s="1" t="s">
        <v>18</v>
      </c>
      <c r="D189" s="1" t="s">
        <v>56</v>
      </c>
      <c r="E189" s="1">
        <v>6</v>
      </c>
      <c r="F189" s="1">
        <v>10368</v>
      </c>
      <c r="G189" s="1">
        <v>7</v>
      </c>
      <c r="H189" s="2">
        <v>46137</v>
      </c>
      <c r="I189" s="2">
        <v>46142</v>
      </c>
      <c r="J189" s="1" t="s">
        <v>15</v>
      </c>
      <c r="K189" s="1">
        <v>1188</v>
      </c>
    </row>
    <row r="190" spans="1:11" ht="14.4" hidden="1" x14ac:dyDescent="0.3">
      <c r="A190" s="1" t="s">
        <v>49</v>
      </c>
      <c r="B190" s="1" t="s">
        <v>31</v>
      </c>
      <c r="C190" s="1" t="s">
        <v>18</v>
      </c>
      <c r="D190" s="1" t="s">
        <v>56</v>
      </c>
      <c r="E190" s="1">
        <v>12</v>
      </c>
      <c r="F190" s="1">
        <v>8327</v>
      </c>
      <c r="G190" s="1">
        <v>10</v>
      </c>
      <c r="H190" s="2">
        <v>46184</v>
      </c>
      <c r="I190" s="2">
        <v>46185</v>
      </c>
      <c r="J190" s="1" t="s">
        <v>29</v>
      </c>
      <c r="K190" s="1">
        <v>1189</v>
      </c>
    </row>
    <row r="191" spans="1:11" ht="14.4" hidden="1" x14ac:dyDescent="0.3">
      <c r="A191" s="1" t="s">
        <v>57</v>
      </c>
      <c r="B191" s="1" t="s">
        <v>17</v>
      </c>
      <c r="C191" s="1" t="s">
        <v>18</v>
      </c>
      <c r="D191" s="1" t="s">
        <v>28</v>
      </c>
      <c r="E191" s="1">
        <v>4</v>
      </c>
      <c r="F191" s="1">
        <v>10154</v>
      </c>
      <c r="G191" s="1">
        <v>7</v>
      </c>
      <c r="H191" s="2">
        <v>46052</v>
      </c>
      <c r="I191" s="2">
        <v>46062</v>
      </c>
      <c r="J191" s="1" t="s">
        <v>20</v>
      </c>
      <c r="K191" s="1">
        <v>1190</v>
      </c>
    </row>
    <row r="192" spans="1:11" ht="14.4" hidden="1" x14ac:dyDescent="0.3">
      <c r="A192" s="1" t="s">
        <v>52</v>
      </c>
      <c r="B192" s="1" t="s">
        <v>33</v>
      </c>
      <c r="C192" s="1" t="s">
        <v>18</v>
      </c>
      <c r="D192" s="1" t="s">
        <v>56</v>
      </c>
      <c r="E192" s="1">
        <v>9</v>
      </c>
      <c r="F192" s="1">
        <v>8631</v>
      </c>
      <c r="G192" s="1">
        <v>10</v>
      </c>
      <c r="H192" s="2">
        <v>46149</v>
      </c>
      <c r="I192" s="2">
        <v>46156</v>
      </c>
      <c r="J192" s="1" t="s">
        <v>20</v>
      </c>
      <c r="K192" s="1">
        <v>1191</v>
      </c>
    </row>
    <row r="193" spans="1:11" ht="14.4" hidden="1" x14ac:dyDescent="0.3">
      <c r="A193" s="1" t="s">
        <v>21</v>
      </c>
      <c r="B193" s="1" t="s">
        <v>33</v>
      </c>
      <c r="C193" s="1" t="s">
        <v>13</v>
      </c>
      <c r="D193" s="1" t="s">
        <v>53</v>
      </c>
      <c r="E193" s="1">
        <v>18</v>
      </c>
      <c r="F193" s="1">
        <v>49</v>
      </c>
      <c r="G193" s="1">
        <v>12</v>
      </c>
      <c r="H193" s="2">
        <v>46089</v>
      </c>
      <c r="I193" s="2">
        <v>46095</v>
      </c>
      <c r="J193" s="1" t="s">
        <v>24</v>
      </c>
      <c r="K193" s="1">
        <v>1192</v>
      </c>
    </row>
    <row r="194" spans="1:11" ht="14.4" hidden="1" x14ac:dyDescent="0.3">
      <c r="A194" s="1" t="s">
        <v>57</v>
      </c>
      <c r="B194" s="1" t="s">
        <v>12</v>
      </c>
      <c r="C194" s="1" t="s">
        <v>18</v>
      </c>
      <c r="D194" s="1" t="s">
        <v>23</v>
      </c>
      <c r="E194" s="1">
        <v>19</v>
      </c>
      <c r="F194" s="1">
        <v>2699</v>
      </c>
      <c r="G194" s="1">
        <v>7</v>
      </c>
      <c r="H194" s="2">
        <v>46110</v>
      </c>
      <c r="I194" s="2">
        <v>46112</v>
      </c>
      <c r="J194" s="1" t="s">
        <v>29</v>
      </c>
      <c r="K194" s="1">
        <v>1193</v>
      </c>
    </row>
    <row r="195" spans="1:11" ht="14.4" hidden="1" x14ac:dyDescent="0.3">
      <c r="A195" s="1" t="s">
        <v>57</v>
      </c>
      <c r="B195" s="1" t="s">
        <v>43</v>
      </c>
      <c r="C195" s="1" t="s">
        <v>18</v>
      </c>
      <c r="D195" s="1" t="s">
        <v>28</v>
      </c>
      <c r="E195" s="1">
        <v>13</v>
      </c>
      <c r="F195" s="1">
        <v>12856</v>
      </c>
      <c r="G195" s="1">
        <v>15</v>
      </c>
      <c r="H195" s="2">
        <v>46129</v>
      </c>
      <c r="I195" s="2">
        <v>46133</v>
      </c>
      <c r="J195" s="1" t="s">
        <v>51</v>
      </c>
      <c r="K195" s="1">
        <v>1194</v>
      </c>
    </row>
    <row r="196" spans="1:11" ht="14.4" hidden="1" x14ac:dyDescent="0.3">
      <c r="A196" s="1" t="s">
        <v>59</v>
      </c>
      <c r="B196" s="1" t="s">
        <v>17</v>
      </c>
      <c r="C196" s="1" t="s">
        <v>13</v>
      </c>
      <c r="D196" s="1" t="s">
        <v>50</v>
      </c>
      <c r="E196" s="1">
        <v>19</v>
      </c>
      <c r="F196" s="1">
        <v>313</v>
      </c>
      <c r="G196" s="1">
        <v>2</v>
      </c>
      <c r="H196" s="2">
        <v>46198</v>
      </c>
      <c r="I196" s="2">
        <v>46206</v>
      </c>
      <c r="J196" s="1" t="s">
        <v>51</v>
      </c>
      <c r="K196" s="1">
        <v>1195</v>
      </c>
    </row>
    <row r="197" spans="1:11" ht="14.4" x14ac:dyDescent="0.3">
      <c r="A197" s="1" t="s">
        <v>48</v>
      </c>
      <c r="B197" s="1" t="s">
        <v>22</v>
      </c>
      <c r="C197" s="1" t="s">
        <v>34</v>
      </c>
      <c r="D197" s="1" t="s">
        <v>35</v>
      </c>
      <c r="E197" s="1">
        <v>20</v>
      </c>
      <c r="F197" s="1">
        <v>3172</v>
      </c>
      <c r="G197" s="1">
        <v>5</v>
      </c>
      <c r="H197" s="2">
        <v>46155</v>
      </c>
      <c r="I197" s="2">
        <v>46159</v>
      </c>
      <c r="J197" s="1" t="s">
        <v>20</v>
      </c>
      <c r="K197" s="1">
        <v>1196</v>
      </c>
    </row>
    <row r="198" spans="1:11" ht="14.4" x14ac:dyDescent="0.3">
      <c r="A198" s="1" t="s">
        <v>52</v>
      </c>
      <c r="B198" s="1" t="s">
        <v>31</v>
      </c>
      <c r="C198" s="1" t="s">
        <v>34</v>
      </c>
      <c r="D198" s="1" t="s">
        <v>35</v>
      </c>
      <c r="E198" s="1">
        <v>5</v>
      </c>
      <c r="F198" s="1">
        <v>45352</v>
      </c>
      <c r="G198" s="1">
        <v>12</v>
      </c>
      <c r="H198" s="2">
        <v>46045</v>
      </c>
      <c r="I198" s="2">
        <v>46048</v>
      </c>
      <c r="J198" s="1" t="s">
        <v>15</v>
      </c>
      <c r="K198" s="1">
        <v>1197</v>
      </c>
    </row>
    <row r="199" spans="1:11" ht="14.4" hidden="1" x14ac:dyDescent="0.3">
      <c r="A199" s="1" t="s">
        <v>58</v>
      </c>
      <c r="B199" s="1" t="s">
        <v>12</v>
      </c>
      <c r="C199" s="1" t="s">
        <v>13</v>
      </c>
      <c r="D199" s="1" t="s">
        <v>14</v>
      </c>
      <c r="E199" s="1">
        <v>12</v>
      </c>
      <c r="F199" s="1">
        <v>491</v>
      </c>
      <c r="G199" s="1">
        <v>2</v>
      </c>
      <c r="H199" s="2">
        <v>46106</v>
      </c>
      <c r="I199" s="2">
        <v>46109</v>
      </c>
      <c r="J199" s="1" t="s">
        <v>51</v>
      </c>
      <c r="K199" s="1">
        <v>1198</v>
      </c>
    </row>
    <row r="200" spans="1:11" ht="14.4" x14ac:dyDescent="0.3">
      <c r="A200" s="1" t="s">
        <v>11</v>
      </c>
      <c r="B200" s="1" t="s">
        <v>25</v>
      </c>
      <c r="C200" s="1" t="s">
        <v>34</v>
      </c>
      <c r="D200" s="1" t="s">
        <v>45</v>
      </c>
      <c r="E200" s="1">
        <v>2</v>
      </c>
      <c r="F200" s="1">
        <v>4375</v>
      </c>
      <c r="G200" s="1">
        <v>7</v>
      </c>
      <c r="H200" s="2">
        <v>46178</v>
      </c>
      <c r="I200" s="2">
        <v>46180</v>
      </c>
      <c r="J200" s="1" t="s">
        <v>24</v>
      </c>
      <c r="K200" s="1">
        <v>1199</v>
      </c>
    </row>
    <row r="201" spans="1:11" ht="14.4" x14ac:dyDescent="0.3">
      <c r="A201" s="1" t="s">
        <v>29</v>
      </c>
      <c r="B201" s="1" t="s">
        <v>31</v>
      </c>
      <c r="C201" s="1" t="s">
        <v>34</v>
      </c>
      <c r="D201" s="1" t="s">
        <v>45</v>
      </c>
      <c r="E201" s="1">
        <v>13</v>
      </c>
      <c r="F201" s="1">
        <v>69422</v>
      </c>
      <c r="G201" s="1">
        <v>0</v>
      </c>
      <c r="H201" s="2">
        <v>46134</v>
      </c>
      <c r="I201" s="2">
        <v>46143</v>
      </c>
      <c r="J201" s="1" t="s">
        <v>29</v>
      </c>
      <c r="K201" s="1">
        <v>1200</v>
      </c>
    </row>
    <row r="202" spans="1:11" ht="14.4" hidden="1" x14ac:dyDescent="0.3">
      <c r="A202" s="1" t="s">
        <v>54</v>
      </c>
      <c r="B202" s="1" t="s">
        <v>31</v>
      </c>
      <c r="C202" s="1" t="s">
        <v>13</v>
      </c>
      <c r="D202" s="1" t="s">
        <v>53</v>
      </c>
      <c r="E202" s="1">
        <v>18</v>
      </c>
      <c r="F202" s="1">
        <v>139</v>
      </c>
      <c r="G202" s="1">
        <v>12</v>
      </c>
      <c r="H202" s="2">
        <v>46075</v>
      </c>
      <c r="I202" s="2">
        <v>46076</v>
      </c>
      <c r="J202" s="1" t="s">
        <v>20</v>
      </c>
      <c r="K202" s="1">
        <v>1201</v>
      </c>
    </row>
    <row r="203" spans="1:11" ht="14.4" x14ac:dyDescent="0.3">
      <c r="A203" s="1" t="s">
        <v>57</v>
      </c>
      <c r="B203" s="1" t="s">
        <v>22</v>
      </c>
      <c r="C203" s="1" t="s">
        <v>34</v>
      </c>
      <c r="D203" s="1" t="s">
        <v>35</v>
      </c>
      <c r="E203" s="1">
        <v>2</v>
      </c>
      <c r="F203" s="1">
        <v>20312</v>
      </c>
      <c r="G203" s="1">
        <v>12</v>
      </c>
      <c r="H203" s="2">
        <v>46082</v>
      </c>
      <c r="I203" s="2">
        <v>46091</v>
      </c>
      <c r="J203" s="1" t="s">
        <v>15</v>
      </c>
      <c r="K203" s="1">
        <v>1202</v>
      </c>
    </row>
    <row r="204" spans="1:11" ht="14.4" hidden="1" x14ac:dyDescent="0.3">
      <c r="A204" s="1" t="s">
        <v>40</v>
      </c>
      <c r="B204" s="1" t="s">
        <v>22</v>
      </c>
      <c r="C204" s="1" t="s">
        <v>18</v>
      </c>
      <c r="D204" s="1" t="s">
        <v>23</v>
      </c>
      <c r="E204" s="1">
        <v>17</v>
      </c>
      <c r="F204" s="1">
        <v>6695</v>
      </c>
      <c r="G204" s="1">
        <v>2</v>
      </c>
      <c r="H204" s="2">
        <v>46119</v>
      </c>
      <c r="I204" s="2">
        <v>46122</v>
      </c>
      <c r="J204" s="1" t="s">
        <v>51</v>
      </c>
      <c r="K204" s="1">
        <v>1203</v>
      </c>
    </row>
    <row r="205" spans="1:11" ht="14.4" hidden="1" x14ac:dyDescent="0.3">
      <c r="A205" s="1" t="s">
        <v>16</v>
      </c>
      <c r="B205" s="1" t="s">
        <v>31</v>
      </c>
      <c r="C205" s="1" t="s">
        <v>13</v>
      </c>
      <c r="D205" s="1" t="s">
        <v>37</v>
      </c>
      <c r="E205" s="1">
        <v>13</v>
      </c>
      <c r="F205" s="1">
        <v>416</v>
      </c>
      <c r="G205" s="1">
        <v>10</v>
      </c>
      <c r="H205" s="2">
        <v>46123</v>
      </c>
      <c r="I205" s="2">
        <v>46132</v>
      </c>
      <c r="J205" s="1" t="s">
        <v>20</v>
      </c>
      <c r="K205" s="1">
        <v>1204</v>
      </c>
    </row>
    <row r="206" spans="1:11" ht="14.4" hidden="1" x14ac:dyDescent="0.3">
      <c r="A206" s="1" t="s">
        <v>21</v>
      </c>
      <c r="B206" s="1" t="s">
        <v>38</v>
      </c>
      <c r="C206" s="1" t="s">
        <v>13</v>
      </c>
      <c r="D206" s="1" t="s">
        <v>36</v>
      </c>
      <c r="E206" s="1">
        <v>1</v>
      </c>
      <c r="F206" s="1">
        <v>112</v>
      </c>
      <c r="G206" s="1">
        <v>7</v>
      </c>
      <c r="H206" s="2">
        <v>46033</v>
      </c>
      <c r="I206" s="2">
        <v>46040</v>
      </c>
      <c r="J206" s="1" t="s">
        <v>51</v>
      </c>
      <c r="K206" s="1">
        <v>1205</v>
      </c>
    </row>
    <row r="207" spans="1:11" ht="14.4" hidden="1" x14ac:dyDescent="0.3">
      <c r="A207" s="1" t="s">
        <v>55</v>
      </c>
      <c r="B207" s="1" t="s">
        <v>33</v>
      </c>
      <c r="C207" s="1" t="s">
        <v>13</v>
      </c>
      <c r="D207" s="1" t="s">
        <v>14</v>
      </c>
      <c r="E207" s="1">
        <v>9</v>
      </c>
      <c r="F207" s="1">
        <v>60</v>
      </c>
      <c r="G207" s="1">
        <v>0</v>
      </c>
      <c r="H207" s="2">
        <v>46166</v>
      </c>
      <c r="I207" s="2">
        <v>46174</v>
      </c>
      <c r="J207" s="1" t="s">
        <v>15</v>
      </c>
      <c r="K207" s="1">
        <v>1206</v>
      </c>
    </row>
    <row r="208" spans="1:11" ht="14.4" hidden="1" x14ac:dyDescent="0.3">
      <c r="A208" s="1" t="s">
        <v>55</v>
      </c>
      <c r="B208" s="1" t="s">
        <v>25</v>
      </c>
      <c r="C208" s="1" t="s">
        <v>13</v>
      </c>
      <c r="D208" s="1" t="s">
        <v>53</v>
      </c>
      <c r="E208" s="1">
        <v>7</v>
      </c>
      <c r="F208" s="1">
        <v>244</v>
      </c>
      <c r="G208" s="1">
        <v>2</v>
      </c>
      <c r="H208" s="2">
        <v>46164</v>
      </c>
      <c r="I208" s="2">
        <v>46173</v>
      </c>
      <c r="J208" s="1" t="s">
        <v>24</v>
      </c>
      <c r="K208" s="1">
        <v>1207</v>
      </c>
    </row>
    <row r="209" spans="1:11" ht="14.4" hidden="1" x14ac:dyDescent="0.3">
      <c r="A209" s="1" t="s">
        <v>54</v>
      </c>
      <c r="B209" s="1" t="s">
        <v>43</v>
      </c>
      <c r="C209" s="1" t="s">
        <v>18</v>
      </c>
      <c r="D209" s="1" t="s">
        <v>44</v>
      </c>
      <c r="E209" s="1">
        <v>6</v>
      </c>
      <c r="F209" s="1">
        <v>7627</v>
      </c>
      <c r="G209" s="1">
        <v>10</v>
      </c>
      <c r="H209" s="2">
        <v>46042</v>
      </c>
      <c r="I209" s="2">
        <v>46047</v>
      </c>
      <c r="J209" s="1" t="s">
        <v>20</v>
      </c>
      <c r="K209" s="1">
        <v>1208</v>
      </c>
    </row>
    <row r="210" spans="1:11" ht="14.4" x14ac:dyDescent="0.3">
      <c r="A210" s="1" t="s">
        <v>48</v>
      </c>
      <c r="B210" s="1" t="s">
        <v>38</v>
      </c>
      <c r="C210" s="1" t="s">
        <v>34</v>
      </c>
      <c r="D210" s="1" t="s">
        <v>35</v>
      </c>
      <c r="E210" s="1">
        <v>19</v>
      </c>
      <c r="F210" s="1">
        <v>20284</v>
      </c>
      <c r="G210" s="1">
        <v>10</v>
      </c>
      <c r="H210" s="2">
        <v>46103</v>
      </c>
      <c r="I210" s="2">
        <v>46110</v>
      </c>
      <c r="J210" s="1" t="s">
        <v>20</v>
      </c>
      <c r="K210" s="1">
        <v>1209</v>
      </c>
    </row>
    <row r="211" spans="1:11" ht="14.4" hidden="1" x14ac:dyDescent="0.3">
      <c r="A211" s="1" t="s">
        <v>30</v>
      </c>
      <c r="B211" s="1" t="s">
        <v>31</v>
      </c>
      <c r="C211" s="1" t="s">
        <v>13</v>
      </c>
      <c r="D211" s="1" t="s">
        <v>53</v>
      </c>
      <c r="E211" s="1">
        <v>10</v>
      </c>
      <c r="F211" s="1">
        <v>349</v>
      </c>
      <c r="G211" s="1">
        <v>0</v>
      </c>
      <c r="H211" s="2">
        <v>46052</v>
      </c>
      <c r="I211" s="2">
        <v>46060</v>
      </c>
      <c r="J211" s="1" t="s">
        <v>29</v>
      </c>
      <c r="K211" s="1">
        <v>1210</v>
      </c>
    </row>
    <row r="212" spans="1:11" ht="14.4" x14ac:dyDescent="0.3">
      <c r="A212" s="1" t="s">
        <v>48</v>
      </c>
      <c r="B212" s="1" t="s">
        <v>17</v>
      </c>
      <c r="C212" s="1" t="s">
        <v>34</v>
      </c>
      <c r="D212" s="1" t="s">
        <v>35</v>
      </c>
      <c r="E212" s="1">
        <v>3</v>
      </c>
      <c r="F212" s="1">
        <v>5962</v>
      </c>
      <c r="G212" s="1">
        <v>7</v>
      </c>
      <c r="H212" s="2">
        <v>46175</v>
      </c>
      <c r="I212" s="2">
        <v>46183</v>
      </c>
      <c r="J212" s="1" t="s">
        <v>15</v>
      </c>
      <c r="K212" s="1">
        <v>1211</v>
      </c>
    </row>
    <row r="213" spans="1:11" ht="14.4" x14ac:dyDescent="0.3">
      <c r="A213" s="1" t="s">
        <v>59</v>
      </c>
      <c r="B213" s="1" t="s">
        <v>25</v>
      </c>
      <c r="C213" s="1" t="s">
        <v>34</v>
      </c>
      <c r="D213" s="1" t="s">
        <v>60</v>
      </c>
      <c r="E213" s="1">
        <v>10</v>
      </c>
      <c r="F213" s="1">
        <v>34380</v>
      </c>
      <c r="G213" s="1">
        <v>7</v>
      </c>
      <c r="H213" s="2">
        <v>46194</v>
      </c>
      <c r="I213" s="2">
        <v>46195</v>
      </c>
      <c r="J213" s="1" t="s">
        <v>29</v>
      </c>
      <c r="K213" s="1">
        <v>1212</v>
      </c>
    </row>
    <row r="214" spans="1:11" ht="14.4" x14ac:dyDescent="0.3">
      <c r="A214" s="1" t="s">
        <v>32</v>
      </c>
      <c r="B214" s="1" t="s">
        <v>38</v>
      </c>
      <c r="C214" s="1" t="s">
        <v>34</v>
      </c>
      <c r="D214" s="1" t="s">
        <v>45</v>
      </c>
      <c r="E214" s="1">
        <v>16</v>
      </c>
      <c r="F214" s="1">
        <v>27741</v>
      </c>
      <c r="G214" s="1">
        <v>12</v>
      </c>
      <c r="H214" s="2">
        <v>46116</v>
      </c>
      <c r="I214" s="2">
        <v>46119</v>
      </c>
      <c r="J214" s="1" t="s">
        <v>15</v>
      </c>
      <c r="K214" s="1">
        <v>1213</v>
      </c>
    </row>
    <row r="215" spans="1:11" ht="14.4" hidden="1" x14ac:dyDescent="0.3">
      <c r="A215" s="1" t="s">
        <v>42</v>
      </c>
      <c r="B215" s="1" t="s">
        <v>25</v>
      </c>
      <c r="C215" s="1" t="s">
        <v>18</v>
      </c>
      <c r="D215" s="1" t="s">
        <v>28</v>
      </c>
      <c r="E215" s="1">
        <v>19</v>
      </c>
      <c r="F215" s="1">
        <v>13832</v>
      </c>
      <c r="G215" s="1">
        <v>0</v>
      </c>
      <c r="H215" s="2">
        <v>46140</v>
      </c>
      <c r="I215" s="2">
        <v>46145</v>
      </c>
      <c r="J215" s="1" t="s">
        <v>51</v>
      </c>
      <c r="K215" s="1">
        <v>1214</v>
      </c>
    </row>
    <row r="216" spans="1:11" ht="14.4" hidden="1" x14ac:dyDescent="0.3">
      <c r="A216" s="1" t="s">
        <v>27</v>
      </c>
      <c r="B216" s="1" t="s">
        <v>12</v>
      </c>
      <c r="C216" s="1" t="s">
        <v>18</v>
      </c>
      <c r="D216" s="1" t="s">
        <v>28</v>
      </c>
      <c r="E216" s="1">
        <v>6</v>
      </c>
      <c r="F216" s="1">
        <v>1254</v>
      </c>
      <c r="G216" s="1">
        <v>0</v>
      </c>
      <c r="H216" s="2">
        <v>46131</v>
      </c>
      <c r="I216" s="2">
        <v>46136</v>
      </c>
      <c r="J216" s="1" t="s">
        <v>29</v>
      </c>
      <c r="K216" s="1">
        <v>1215</v>
      </c>
    </row>
    <row r="217" spans="1:11" ht="14.4" x14ac:dyDescent="0.3">
      <c r="A217" s="1" t="s">
        <v>40</v>
      </c>
      <c r="B217" s="1" t="s">
        <v>22</v>
      </c>
      <c r="C217" s="1" t="s">
        <v>34</v>
      </c>
      <c r="D217" s="1" t="s">
        <v>45</v>
      </c>
      <c r="E217" s="1">
        <v>10</v>
      </c>
      <c r="F217" s="1">
        <v>56709</v>
      </c>
      <c r="G217" s="1">
        <v>15</v>
      </c>
      <c r="H217" s="2">
        <v>46135</v>
      </c>
      <c r="I217" s="2">
        <v>46139</v>
      </c>
      <c r="J217" s="1" t="s">
        <v>29</v>
      </c>
      <c r="K217" s="1">
        <v>1216</v>
      </c>
    </row>
    <row r="218" spans="1:11" ht="14.4" hidden="1" x14ac:dyDescent="0.3">
      <c r="A218" s="1" t="s">
        <v>30</v>
      </c>
      <c r="B218" s="1" t="s">
        <v>22</v>
      </c>
      <c r="C218" s="1" t="s">
        <v>13</v>
      </c>
      <c r="D218" s="1" t="s">
        <v>50</v>
      </c>
      <c r="E218" s="1">
        <v>18</v>
      </c>
      <c r="F218" s="1">
        <v>60</v>
      </c>
      <c r="G218" s="1">
        <v>0</v>
      </c>
      <c r="H218" s="2">
        <v>46171</v>
      </c>
      <c r="I218" s="2">
        <v>46172</v>
      </c>
      <c r="J218" s="1" t="s">
        <v>29</v>
      </c>
      <c r="K218" s="1">
        <v>1217</v>
      </c>
    </row>
    <row r="219" spans="1:11" ht="14.4" hidden="1" x14ac:dyDescent="0.3">
      <c r="A219" s="1" t="s">
        <v>55</v>
      </c>
      <c r="B219" s="1" t="s">
        <v>38</v>
      </c>
      <c r="C219" s="1" t="s">
        <v>13</v>
      </c>
      <c r="D219" s="1" t="s">
        <v>14</v>
      </c>
      <c r="E219" s="1">
        <v>1</v>
      </c>
      <c r="F219" s="1">
        <v>134</v>
      </c>
      <c r="G219" s="1">
        <v>10</v>
      </c>
      <c r="H219" s="2">
        <v>46143</v>
      </c>
      <c r="I219" s="2">
        <v>46151</v>
      </c>
      <c r="J219" s="1" t="s">
        <v>51</v>
      </c>
      <c r="K219" s="1">
        <v>1218</v>
      </c>
    </row>
    <row r="220" spans="1:11" ht="14.4" hidden="1" x14ac:dyDescent="0.3">
      <c r="A220" s="1" t="s">
        <v>46</v>
      </c>
      <c r="B220" s="1" t="s">
        <v>22</v>
      </c>
      <c r="C220" s="1" t="s">
        <v>13</v>
      </c>
      <c r="D220" s="1" t="s">
        <v>14</v>
      </c>
      <c r="E220" s="1">
        <v>4</v>
      </c>
      <c r="F220" s="1">
        <v>117</v>
      </c>
      <c r="G220" s="1">
        <v>15</v>
      </c>
      <c r="H220" s="2">
        <v>46202</v>
      </c>
      <c r="I220" s="2">
        <v>46206</v>
      </c>
      <c r="J220" s="1" t="s">
        <v>29</v>
      </c>
      <c r="K220" s="1">
        <v>1219</v>
      </c>
    </row>
    <row r="221" spans="1:11" ht="14.4" hidden="1" x14ac:dyDescent="0.3">
      <c r="A221" s="1" t="s">
        <v>11</v>
      </c>
      <c r="B221" s="1" t="s">
        <v>25</v>
      </c>
      <c r="C221" s="1" t="s">
        <v>18</v>
      </c>
      <c r="D221" s="1" t="s">
        <v>56</v>
      </c>
      <c r="E221" s="1">
        <v>2</v>
      </c>
      <c r="F221" s="1">
        <v>8861</v>
      </c>
      <c r="G221" s="1">
        <v>2</v>
      </c>
      <c r="H221" s="2">
        <v>46170</v>
      </c>
      <c r="I221" s="2">
        <v>46174</v>
      </c>
      <c r="J221" s="1" t="s">
        <v>24</v>
      </c>
      <c r="K221" s="1">
        <v>1220</v>
      </c>
    </row>
    <row r="222" spans="1:11" ht="14.4" hidden="1" x14ac:dyDescent="0.3">
      <c r="A222" s="1" t="s">
        <v>11</v>
      </c>
      <c r="B222" s="1" t="s">
        <v>31</v>
      </c>
      <c r="C222" s="1" t="s">
        <v>18</v>
      </c>
      <c r="D222" s="1" t="s">
        <v>56</v>
      </c>
      <c r="E222" s="1">
        <v>18</v>
      </c>
      <c r="F222" s="1">
        <v>2681</v>
      </c>
      <c r="G222" s="1">
        <v>10</v>
      </c>
      <c r="H222" s="2">
        <v>46122</v>
      </c>
      <c r="I222" s="2">
        <v>46125</v>
      </c>
      <c r="J222" s="1" t="s">
        <v>51</v>
      </c>
      <c r="K222" s="1">
        <v>1221</v>
      </c>
    </row>
    <row r="223" spans="1:11" ht="14.4" hidden="1" x14ac:dyDescent="0.3">
      <c r="A223" s="1" t="s">
        <v>30</v>
      </c>
      <c r="B223" s="1" t="s">
        <v>33</v>
      </c>
      <c r="C223" s="1" t="s">
        <v>18</v>
      </c>
      <c r="D223" s="1" t="s">
        <v>23</v>
      </c>
      <c r="E223" s="1">
        <v>9</v>
      </c>
      <c r="F223" s="1">
        <v>2712</v>
      </c>
      <c r="G223" s="1">
        <v>12</v>
      </c>
      <c r="H223" s="2">
        <v>46154</v>
      </c>
      <c r="I223" s="2">
        <v>46163</v>
      </c>
      <c r="J223" s="1" t="s">
        <v>15</v>
      </c>
      <c r="K223" s="1">
        <v>1222</v>
      </c>
    </row>
    <row r="224" spans="1:11" ht="14.4" hidden="1" x14ac:dyDescent="0.3">
      <c r="A224" s="1" t="s">
        <v>59</v>
      </c>
      <c r="B224" s="1" t="s">
        <v>17</v>
      </c>
      <c r="C224" s="1" t="s">
        <v>18</v>
      </c>
      <c r="D224" s="1" t="s">
        <v>23</v>
      </c>
      <c r="E224" s="1">
        <v>4</v>
      </c>
      <c r="F224" s="1">
        <v>2249</v>
      </c>
      <c r="G224" s="1">
        <v>7</v>
      </c>
      <c r="H224" s="2">
        <v>46077</v>
      </c>
      <c r="I224" s="2">
        <v>46084</v>
      </c>
      <c r="J224" s="1" t="s">
        <v>15</v>
      </c>
      <c r="K224" s="1">
        <v>1223</v>
      </c>
    </row>
    <row r="225" spans="1:11" ht="14.4" x14ac:dyDescent="0.3">
      <c r="A225" s="1" t="s">
        <v>30</v>
      </c>
      <c r="B225" s="1" t="s">
        <v>38</v>
      </c>
      <c r="C225" s="1" t="s">
        <v>34</v>
      </c>
      <c r="D225" s="1" t="s">
        <v>45</v>
      </c>
      <c r="E225" s="1">
        <v>16</v>
      </c>
      <c r="F225" s="1">
        <v>18378</v>
      </c>
      <c r="G225" s="1">
        <v>10</v>
      </c>
      <c r="H225" s="2">
        <v>46045</v>
      </c>
      <c r="I225" s="2">
        <v>46052</v>
      </c>
      <c r="J225" s="1" t="s">
        <v>24</v>
      </c>
      <c r="K225" s="1">
        <v>1224</v>
      </c>
    </row>
    <row r="226" spans="1:11" ht="14.4" x14ac:dyDescent="0.3">
      <c r="A226" s="1" t="s">
        <v>42</v>
      </c>
      <c r="B226" s="1" t="s">
        <v>31</v>
      </c>
      <c r="C226" s="1" t="s">
        <v>34</v>
      </c>
      <c r="D226" s="1" t="s">
        <v>35</v>
      </c>
      <c r="E226" s="1">
        <v>16</v>
      </c>
      <c r="F226" s="1">
        <v>32262</v>
      </c>
      <c r="G226" s="1">
        <v>12</v>
      </c>
      <c r="H226" s="2">
        <v>46125</v>
      </c>
      <c r="I226" s="2">
        <v>46126</v>
      </c>
      <c r="J226" s="1" t="s">
        <v>20</v>
      </c>
      <c r="K226" s="1">
        <v>1225</v>
      </c>
    </row>
    <row r="227" spans="1:11" ht="14.4" x14ac:dyDescent="0.3">
      <c r="A227" s="1" t="s">
        <v>29</v>
      </c>
      <c r="B227" s="1" t="s">
        <v>31</v>
      </c>
      <c r="C227" s="1" t="s">
        <v>34</v>
      </c>
      <c r="D227" s="1" t="s">
        <v>41</v>
      </c>
      <c r="E227" s="1">
        <v>13</v>
      </c>
      <c r="F227" s="1">
        <v>21332</v>
      </c>
      <c r="G227" s="1">
        <v>0</v>
      </c>
      <c r="H227" s="2">
        <v>46044</v>
      </c>
      <c r="I227" s="2">
        <v>46048</v>
      </c>
      <c r="J227" s="1" t="s">
        <v>29</v>
      </c>
      <c r="K227" s="1">
        <v>1226</v>
      </c>
    </row>
    <row r="228" spans="1:11" ht="14.4" x14ac:dyDescent="0.3">
      <c r="A228" s="1" t="s">
        <v>58</v>
      </c>
      <c r="B228" s="1" t="s">
        <v>22</v>
      </c>
      <c r="C228" s="1" t="s">
        <v>34</v>
      </c>
      <c r="D228" s="1" t="s">
        <v>45</v>
      </c>
      <c r="E228" s="1">
        <v>16</v>
      </c>
      <c r="F228" s="1">
        <v>1321</v>
      </c>
      <c r="G228" s="1">
        <v>12</v>
      </c>
      <c r="H228" s="2">
        <v>46113</v>
      </c>
      <c r="I228" s="2">
        <v>46116</v>
      </c>
      <c r="J228" s="1" t="s">
        <v>15</v>
      </c>
      <c r="K228" s="1">
        <v>1227</v>
      </c>
    </row>
    <row r="229" spans="1:11" ht="14.4" x14ac:dyDescent="0.3">
      <c r="A229" s="1" t="s">
        <v>29</v>
      </c>
      <c r="B229" s="1" t="s">
        <v>25</v>
      </c>
      <c r="C229" s="1" t="s">
        <v>34</v>
      </c>
      <c r="D229" s="1" t="s">
        <v>45</v>
      </c>
      <c r="E229" s="1">
        <v>16</v>
      </c>
      <c r="F229" s="1">
        <v>17477</v>
      </c>
      <c r="G229" s="1">
        <v>10</v>
      </c>
      <c r="H229" s="2">
        <v>46041</v>
      </c>
      <c r="I229" s="2">
        <v>46043</v>
      </c>
      <c r="J229" s="1" t="s">
        <v>24</v>
      </c>
      <c r="K229" s="1">
        <v>1228</v>
      </c>
    </row>
    <row r="230" spans="1:11" ht="14.4" hidden="1" x14ac:dyDescent="0.3">
      <c r="A230" s="1" t="s">
        <v>57</v>
      </c>
      <c r="B230" s="1" t="s">
        <v>12</v>
      </c>
      <c r="C230" s="1" t="s">
        <v>18</v>
      </c>
      <c r="D230" s="1" t="s">
        <v>56</v>
      </c>
      <c r="E230" s="1">
        <v>14</v>
      </c>
      <c r="F230" s="1">
        <v>5859</v>
      </c>
      <c r="G230" s="1">
        <v>12</v>
      </c>
      <c r="H230" s="2">
        <v>46027</v>
      </c>
      <c r="I230" s="2">
        <v>46036</v>
      </c>
      <c r="J230" s="1" t="s">
        <v>20</v>
      </c>
      <c r="K230" s="1">
        <v>1229</v>
      </c>
    </row>
    <row r="231" spans="1:11" ht="14.4" x14ac:dyDescent="0.3">
      <c r="A231" s="1" t="s">
        <v>59</v>
      </c>
      <c r="B231" s="1" t="s">
        <v>33</v>
      </c>
      <c r="C231" s="1" t="s">
        <v>34</v>
      </c>
      <c r="D231" s="1" t="s">
        <v>60</v>
      </c>
      <c r="E231" s="1">
        <v>7</v>
      </c>
      <c r="F231" s="1">
        <v>2932</v>
      </c>
      <c r="G231" s="1">
        <v>7</v>
      </c>
      <c r="H231" s="2">
        <v>46050</v>
      </c>
      <c r="I231" s="2">
        <v>46059</v>
      </c>
      <c r="J231" s="1" t="s">
        <v>24</v>
      </c>
      <c r="K231" s="1">
        <v>1230</v>
      </c>
    </row>
    <row r="232" spans="1:11" ht="14.4" hidden="1" x14ac:dyDescent="0.3">
      <c r="A232" s="1" t="s">
        <v>48</v>
      </c>
      <c r="B232" s="1" t="s">
        <v>38</v>
      </c>
      <c r="C232" s="1" t="s">
        <v>18</v>
      </c>
      <c r="D232" s="1" t="s">
        <v>19</v>
      </c>
      <c r="E232" s="1">
        <v>13</v>
      </c>
      <c r="F232" s="1">
        <v>10297</v>
      </c>
      <c r="G232" s="1">
        <v>12</v>
      </c>
      <c r="H232" s="2">
        <v>46178</v>
      </c>
      <c r="I232" s="2">
        <v>46186</v>
      </c>
      <c r="J232" s="1" t="s">
        <v>20</v>
      </c>
      <c r="K232" s="1">
        <v>1231</v>
      </c>
    </row>
    <row r="233" spans="1:11" ht="14.4" x14ac:dyDescent="0.3">
      <c r="A233" s="1" t="s">
        <v>21</v>
      </c>
      <c r="B233" s="1" t="s">
        <v>12</v>
      </c>
      <c r="C233" s="1" t="s">
        <v>34</v>
      </c>
      <c r="D233" s="1" t="s">
        <v>60</v>
      </c>
      <c r="E233" s="1">
        <v>3</v>
      </c>
      <c r="F233" s="1">
        <v>13272</v>
      </c>
      <c r="G233" s="1">
        <v>2</v>
      </c>
      <c r="H233" s="2">
        <v>46060</v>
      </c>
      <c r="I233" s="2">
        <v>46065</v>
      </c>
      <c r="J233" s="1" t="s">
        <v>15</v>
      </c>
      <c r="K233" s="1">
        <v>1232</v>
      </c>
    </row>
    <row r="234" spans="1:11" ht="14.4" hidden="1" x14ac:dyDescent="0.3">
      <c r="A234" s="1" t="s">
        <v>58</v>
      </c>
      <c r="B234" s="1" t="s">
        <v>22</v>
      </c>
      <c r="C234" s="1" t="s">
        <v>18</v>
      </c>
      <c r="D234" s="1" t="s">
        <v>19</v>
      </c>
      <c r="E234" s="1">
        <v>20</v>
      </c>
      <c r="F234" s="1">
        <v>13941</v>
      </c>
      <c r="G234" s="1">
        <v>15</v>
      </c>
      <c r="H234" s="2">
        <v>46198</v>
      </c>
      <c r="I234" s="2">
        <v>46202</v>
      </c>
      <c r="J234" s="1" t="s">
        <v>24</v>
      </c>
      <c r="K234" s="1">
        <v>1233</v>
      </c>
    </row>
    <row r="235" spans="1:11" ht="14.4" hidden="1" x14ac:dyDescent="0.3">
      <c r="A235" s="1" t="s">
        <v>11</v>
      </c>
      <c r="B235" s="1" t="s">
        <v>25</v>
      </c>
      <c r="C235" s="1" t="s">
        <v>18</v>
      </c>
      <c r="D235" s="1" t="s">
        <v>28</v>
      </c>
      <c r="E235" s="1">
        <v>1</v>
      </c>
      <c r="F235" s="1">
        <v>14320</v>
      </c>
      <c r="G235" s="1">
        <v>12</v>
      </c>
      <c r="H235" s="2">
        <v>46114</v>
      </c>
      <c r="I235" s="2">
        <v>46121</v>
      </c>
      <c r="J235" s="1" t="s">
        <v>51</v>
      </c>
      <c r="K235" s="1">
        <v>1234</v>
      </c>
    </row>
    <row r="236" spans="1:11" ht="14.4" hidden="1" x14ac:dyDescent="0.3">
      <c r="A236" s="1" t="s">
        <v>57</v>
      </c>
      <c r="B236" s="1" t="s">
        <v>25</v>
      </c>
      <c r="C236" s="1" t="s">
        <v>13</v>
      </c>
      <c r="D236" s="1" t="s">
        <v>50</v>
      </c>
      <c r="E236" s="1">
        <v>15</v>
      </c>
      <c r="F236" s="1">
        <v>267</v>
      </c>
      <c r="G236" s="1">
        <v>15</v>
      </c>
      <c r="H236" s="2">
        <v>46172</v>
      </c>
      <c r="I236" s="2">
        <v>46177</v>
      </c>
      <c r="J236" s="1" t="s">
        <v>29</v>
      </c>
      <c r="K236" s="1">
        <v>1235</v>
      </c>
    </row>
    <row r="237" spans="1:11" ht="14.4" hidden="1" x14ac:dyDescent="0.3">
      <c r="A237" s="1" t="s">
        <v>54</v>
      </c>
      <c r="B237" s="1" t="s">
        <v>43</v>
      </c>
      <c r="C237" s="1" t="s">
        <v>13</v>
      </c>
      <c r="D237" s="1" t="s">
        <v>37</v>
      </c>
      <c r="E237" s="1">
        <v>12</v>
      </c>
      <c r="F237" s="1">
        <v>189</v>
      </c>
      <c r="G237" s="1">
        <v>7</v>
      </c>
      <c r="H237" s="2">
        <v>46164</v>
      </c>
      <c r="I237" s="2">
        <v>46169</v>
      </c>
      <c r="J237" s="1" t="s">
        <v>29</v>
      </c>
      <c r="K237" s="1">
        <v>1236</v>
      </c>
    </row>
    <row r="238" spans="1:11" ht="14.4" hidden="1" x14ac:dyDescent="0.3">
      <c r="A238" s="1" t="s">
        <v>46</v>
      </c>
      <c r="B238" s="1" t="s">
        <v>38</v>
      </c>
      <c r="C238" s="1" t="s">
        <v>18</v>
      </c>
      <c r="D238" s="1" t="s">
        <v>56</v>
      </c>
      <c r="E238" s="1">
        <v>8</v>
      </c>
      <c r="F238" s="1">
        <v>12123</v>
      </c>
      <c r="G238" s="1">
        <v>2</v>
      </c>
      <c r="H238" s="2">
        <v>46137</v>
      </c>
      <c r="I238" s="2">
        <v>46145</v>
      </c>
      <c r="J238" s="1" t="s">
        <v>15</v>
      </c>
      <c r="K238" s="1">
        <v>1237</v>
      </c>
    </row>
    <row r="239" spans="1:11" ht="14.4" hidden="1" x14ac:dyDescent="0.3">
      <c r="A239" s="1" t="s">
        <v>30</v>
      </c>
      <c r="B239" s="1" t="s">
        <v>31</v>
      </c>
      <c r="C239" s="1" t="s">
        <v>13</v>
      </c>
      <c r="D239" s="1" t="s">
        <v>14</v>
      </c>
      <c r="E239" s="1">
        <v>6</v>
      </c>
      <c r="F239" s="1">
        <v>180</v>
      </c>
      <c r="G239" s="1">
        <v>12</v>
      </c>
      <c r="H239" s="2">
        <v>46096</v>
      </c>
      <c r="I239" s="2">
        <v>46097</v>
      </c>
      <c r="J239" s="1" t="s">
        <v>51</v>
      </c>
      <c r="K239" s="1">
        <v>1238</v>
      </c>
    </row>
    <row r="240" spans="1:11" ht="14.4" hidden="1" x14ac:dyDescent="0.3">
      <c r="A240" s="1" t="s">
        <v>48</v>
      </c>
      <c r="B240" s="1" t="s">
        <v>17</v>
      </c>
      <c r="C240" s="1" t="s">
        <v>18</v>
      </c>
      <c r="D240" s="1" t="s">
        <v>56</v>
      </c>
      <c r="E240" s="1">
        <v>2</v>
      </c>
      <c r="F240" s="1">
        <v>12330</v>
      </c>
      <c r="G240" s="1">
        <v>12</v>
      </c>
      <c r="H240" s="2">
        <v>46122</v>
      </c>
      <c r="I240" s="2">
        <v>46125</v>
      </c>
      <c r="J240" s="1" t="s">
        <v>15</v>
      </c>
      <c r="K240" s="1">
        <v>1239</v>
      </c>
    </row>
    <row r="241" spans="1:11" ht="14.4" hidden="1" x14ac:dyDescent="0.3">
      <c r="A241" s="1" t="s">
        <v>55</v>
      </c>
      <c r="B241" s="1" t="s">
        <v>33</v>
      </c>
      <c r="C241" s="1" t="s">
        <v>18</v>
      </c>
      <c r="D241" s="1" t="s">
        <v>23</v>
      </c>
      <c r="E241" s="1">
        <v>2</v>
      </c>
      <c r="F241" s="1">
        <v>5475</v>
      </c>
      <c r="G241" s="1">
        <v>2</v>
      </c>
      <c r="H241" s="2">
        <v>46142</v>
      </c>
      <c r="I241" s="2">
        <v>46146</v>
      </c>
      <c r="J241" s="1" t="s">
        <v>29</v>
      </c>
      <c r="K241" s="1">
        <v>1240</v>
      </c>
    </row>
    <row r="242" spans="1:11" ht="14.4" hidden="1" x14ac:dyDescent="0.3">
      <c r="A242" s="1" t="s">
        <v>46</v>
      </c>
      <c r="B242" s="1" t="s">
        <v>31</v>
      </c>
      <c r="C242" s="1" t="s">
        <v>18</v>
      </c>
      <c r="D242" s="1" t="s">
        <v>44</v>
      </c>
      <c r="E242" s="1">
        <v>1</v>
      </c>
      <c r="F242" s="1">
        <v>12537</v>
      </c>
      <c r="G242" s="1">
        <v>0</v>
      </c>
      <c r="H242" s="2">
        <v>46119</v>
      </c>
      <c r="I242" s="2">
        <v>46122</v>
      </c>
      <c r="J242" s="1" t="s">
        <v>15</v>
      </c>
      <c r="K242" s="1">
        <v>1241</v>
      </c>
    </row>
    <row r="243" spans="1:11" ht="14.4" hidden="1" x14ac:dyDescent="0.3">
      <c r="A243" s="1" t="s">
        <v>54</v>
      </c>
      <c r="B243" s="1" t="s">
        <v>38</v>
      </c>
      <c r="C243" s="1" t="s">
        <v>13</v>
      </c>
      <c r="D243" s="1" t="s">
        <v>50</v>
      </c>
      <c r="E243" s="1">
        <v>7</v>
      </c>
      <c r="F243" s="1">
        <v>168</v>
      </c>
      <c r="G243" s="1">
        <v>10</v>
      </c>
      <c r="H243" s="2">
        <v>46191</v>
      </c>
      <c r="I243" s="2">
        <v>46196</v>
      </c>
      <c r="J243" s="1" t="s">
        <v>51</v>
      </c>
      <c r="K243" s="1">
        <v>1242</v>
      </c>
    </row>
    <row r="244" spans="1:11" ht="14.4" x14ac:dyDescent="0.3">
      <c r="A244" s="1" t="s">
        <v>30</v>
      </c>
      <c r="B244" s="1" t="s">
        <v>31</v>
      </c>
      <c r="C244" s="1" t="s">
        <v>34</v>
      </c>
      <c r="D244" s="1" t="s">
        <v>41</v>
      </c>
      <c r="E244" s="1">
        <v>5</v>
      </c>
      <c r="F244" s="1">
        <v>11570</v>
      </c>
      <c r="G244" s="1">
        <v>15</v>
      </c>
      <c r="H244" s="2">
        <v>46069</v>
      </c>
      <c r="I244" s="2">
        <v>46077</v>
      </c>
      <c r="J244" s="1" t="s">
        <v>24</v>
      </c>
      <c r="K244" s="1">
        <v>1243</v>
      </c>
    </row>
    <row r="245" spans="1:11" ht="14.4" hidden="1" x14ac:dyDescent="0.3">
      <c r="A245" s="1" t="s">
        <v>57</v>
      </c>
      <c r="B245" s="1" t="s">
        <v>38</v>
      </c>
      <c r="C245" s="1" t="s">
        <v>18</v>
      </c>
      <c r="D245" s="1" t="s">
        <v>28</v>
      </c>
      <c r="E245" s="1">
        <v>10</v>
      </c>
      <c r="F245" s="1">
        <v>6339</v>
      </c>
      <c r="G245" s="1">
        <v>12</v>
      </c>
      <c r="H245" s="2">
        <v>46200</v>
      </c>
      <c r="I245" s="2">
        <v>46205</v>
      </c>
      <c r="J245" s="1" t="s">
        <v>15</v>
      </c>
      <c r="K245" s="1">
        <v>1244</v>
      </c>
    </row>
    <row r="246" spans="1:11" ht="14.4" x14ac:dyDescent="0.3">
      <c r="A246" s="1" t="s">
        <v>55</v>
      </c>
      <c r="B246" s="1" t="s">
        <v>43</v>
      </c>
      <c r="C246" s="1" t="s">
        <v>34</v>
      </c>
      <c r="D246" s="1" t="s">
        <v>41</v>
      </c>
      <c r="E246" s="1">
        <v>19</v>
      </c>
      <c r="F246" s="1">
        <v>69029</v>
      </c>
      <c r="G246" s="1">
        <v>7</v>
      </c>
      <c r="H246" s="2">
        <v>46176</v>
      </c>
      <c r="I246" s="2">
        <v>46179</v>
      </c>
      <c r="J246" s="1" t="s">
        <v>29</v>
      </c>
      <c r="K246" s="1">
        <v>1245</v>
      </c>
    </row>
    <row r="247" spans="1:11" ht="14.4" x14ac:dyDescent="0.3">
      <c r="A247" s="1" t="s">
        <v>55</v>
      </c>
      <c r="B247" s="1" t="s">
        <v>22</v>
      </c>
      <c r="C247" s="1" t="s">
        <v>34</v>
      </c>
      <c r="D247" s="1" t="s">
        <v>35</v>
      </c>
      <c r="E247" s="1">
        <v>13</v>
      </c>
      <c r="F247" s="1">
        <v>1825</v>
      </c>
      <c r="G247" s="1">
        <v>2</v>
      </c>
      <c r="H247" s="2">
        <v>46039</v>
      </c>
      <c r="I247" s="2">
        <v>46045</v>
      </c>
      <c r="J247" s="1" t="s">
        <v>51</v>
      </c>
      <c r="K247" s="1">
        <v>1246</v>
      </c>
    </row>
    <row r="248" spans="1:11" ht="14.4" hidden="1" x14ac:dyDescent="0.3">
      <c r="A248" s="1" t="s">
        <v>26</v>
      </c>
      <c r="B248" s="1" t="s">
        <v>12</v>
      </c>
      <c r="C248" s="1" t="s">
        <v>13</v>
      </c>
      <c r="D248" s="1" t="s">
        <v>50</v>
      </c>
      <c r="E248" s="1">
        <v>10</v>
      </c>
      <c r="F248" s="1">
        <v>336</v>
      </c>
      <c r="G248" s="1">
        <v>7</v>
      </c>
      <c r="H248" s="2">
        <v>46173</v>
      </c>
      <c r="I248" s="2">
        <v>46175</v>
      </c>
      <c r="J248" s="1" t="s">
        <v>20</v>
      </c>
      <c r="K248" s="1">
        <v>1247</v>
      </c>
    </row>
    <row r="249" spans="1:11" ht="14.4" hidden="1" x14ac:dyDescent="0.3">
      <c r="A249" s="1" t="s">
        <v>27</v>
      </c>
      <c r="B249" s="1" t="s">
        <v>43</v>
      </c>
      <c r="C249" s="1" t="s">
        <v>13</v>
      </c>
      <c r="D249" s="1" t="s">
        <v>37</v>
      </c>
      <c r="E249" s="1">
        <v>5</v>
      </c>
      <c r="F249" s="1">
        <v>398</v>
      </c>
      <c r="G249" s="1">
        <v>7</v>
      </c>
      <c r="H249" s="2">
        <v>46161</v>
      </c>
      <c r="I249" s="2">
        <v>46171</v>
      </c>
      <c r="J249" s="1" t="s">
        <v>29</v>
      </c>
      <c r="K249" s="1">
        <v>1248</v>
      </c>
    </row>
    <row r="250" spans="1:11" ht="14.4" x14ac:dyDescent="0.3">
      <c r="A250" s="1" t="s">
        <v>16</v>
      </c>
      <c r="B250" s="1" t="s">
        <v>25</v>
      </c>
      <c r="C250" s="1" t="s">
        <v>34</v>
      </c>
      <c r="D250" s="1" t="s">
        <v>41</v>
      </c>
      <c r="E250" s="1">
        <v>18</v>
      </c>
      <c r="F250" s="1">
        <v>6360</v>
      </c>
      <c r="G250" s="1">
        <v>12</v>
      </c>
      <c r="H250" s="2">
        <v>46163</v>
      </c>
      <c r="I250" s="2">
        <v>46165</v>
      </c>
      <c r="J250" s="1" t="s">
        <v>20</v>
      </c>
      <c r="K250" s="1">
        <v>1249</v>
      </c>
    </row>
    <row r="251" spans="1:11" ht="14.4" x14ac:dyDescent="0.3">
      <c r="A251" s="1" t="s">
        <v>11</v>
      </c>
      <c r="B251" s="1" t="s">
        <v>17</v>
      </c>
      <c r="C251" s="1" t="s">
        <v>34</v>
      </c>
      <c r="D251" s="1" t="s">
        <v>45</v>
      </c>
      <c r="E251" s="1">
        <v>2</v>
      </c>
      <c r="F251" s="1">
        <v>65953</v>
      </c>
      <c r="G251" s="1">
        <v>7</v>
      </c>
      <c r="H251" s="2">
        <v>46051</v>
      </c>
      <c r="I251" s="2">
        <v>46053</v>
      </c>
      <c r="J251" s="1" t="s">
        <v>29</v>
      </c>
      <c r="K251" s="1">
        <v>1250</v>
      </c>
    </row>
    <row r="252" spans="1:11" ht="14.4" x14ac:dyDescent="0.3">
      <c r="A252" s="1" t="s">
        <v>55</v>
      </c>
      <c r="B252" s="1" t="s">
        <v>38</v>
      </c>
      <c r="C252" s="1" t="s">
        <v>34</v>
      </c>
      <c r="D252" s="1" t="s">
        <v>61</v>
      </c>
      <c r="E252" s="1">
        <v>19</v>
      </c>
      <c r="F252" s="1">
        <v>48548</v>
      </c>
      <c r="G252" s="1">
        <v>0</v>
      </c>
      <c r="H252" s="2">
        <v>46112</v>
      </c>
      <c r="I252" s="2">
        <v>46121</v>
      </c>
      <c r="J252" s="1" t="s">
        <v>51</v>
      </c>
      <c r="K252" s="1">
        <v>1251</v>
      </c>
    </row>
    <row r="253" spans="1:11" ht="14.4" hidden="1" x14ac:dyDescent="0.3">
      <c r="A253" s="1" t="s">
        <v>47</v>
      </c>
      <c r="B253" s="1" t="s">
        <v>25</v>
      </c>
      <c r="C253" s="1" t="s">
        <v>13</v>
      </c>
      <c r="D253" s="1" t="s">
        <v>36</v>
      </c>
      <c r="E253" s="1">
        <v>15</v>
      </c>
      <c r="F253" s="1">
        <v>257</v>
      </c>
      <c r="G253" s="1">
        <v>5</v>
      </c>
      <c r="H253" s="2">
        <v>46166</v>
      </c>
      <c r="I253" s="2">
        <v>46173</v>
      </c>
      <c r="J253" s="1" t="s">
        <v>20</v>
      </c>
      <c r="K253" s="1">
        <v>1252</v>
      </c>
    </row>
    <row r="254" spans="1:11" ht="14.4" x14ac:dyDescent="0.3">
      <c r="A254" s="1" t="s">
        <v>21</v>
      </c>
      <c r="B254" s="1" t="s">
        <v>31</v>
      </c>
      <c r="C254" s="1" t="s">
        <v>34</v>
      </c>
      <c r="D254" s="1" t="s">
        <v>45</v>
      </c>
      <c r="E254" s="1">
        <v>20</v>
      </c>
      <c r="F254" s="1">
        <v>47880</v>
      </c>
      <c r="G254" s="1">
        <v>7</v>
      </c>
      <c r="H254" s="2">
        <v>46074</v>
      </c>
      <c r="I254" s="2">
        <v>46075</v>
      </c>
      <c r="J254" s="1" t="s">
        <v>29</v>
      </c>
      <c r="K254" s="1">
        <v>1253</v>
      </c>
    </row>
    <row r="255" spans="1:11" ht="14.4" hidden="1" x14ac:dyDescent="0.3">
      <c r="A255" s="1" t="s">
        <v>52</v>
      </c>
      <c r="B255" s="1" t="s">
        <v>22</v>
      </c>
      <c r="C255" s="1" t="s">
        <v>13</v>
      </c>
      <c r="D255" s="1" t="s">
        <v>50</v>
      </c>
      <c r="E255" s="1">
        <v>18</v>
      </c>
      <c r="F255" s="1">
        <v>447</v>
      </c>
      <c r="G255" s="1">
        <v>15</v>
      </c>
      <c r="H255" s="2">
        <v>46141</v>
      </c>
      <c r="I255" s="2">
        <v>46149</v>
      </c>
      <c r="J255" s="1" t="s">
        <v>24</v>
      </c>
      <c r="K255" s="1">
        <v>1254</v>
      </c>
    </row>
    <row r="256" spans="1:11" ht="14.4" hidden="1" x14ac:dyDescent="0.3">
      <c r="A256" s="1" t="s">
        <v>32</v>
      </c>
      <c r="B256" s="1" t="s">
        <v>17</v>
      </c>
      <c r="C256" s="1" t="s">
        <v>18</v>
      </c>
      <c r="D256" s="1" t="s">
        <v>19</v>
      </c>
      <c r="E256" s="1">
        <v>1</v>
      </c>
      <c r="F256" s="1">
        <v>2240</v>
      </c>
      <c r="G256" s="1">
        <v>5</v>
      </c>
      <c r="H256" s="2">
        <v>46091</v>
      </c>
      <c r="I256" s="2">
        <v>46095</v>
      </c>
      <c r="J256" s="1" t="s">
        <v>20</v>
      </c>
      <c r="K256" s="1">
        <v>1255</v>
      </c>
    </row>
    <row r="257" spans="1:11" ht="14.4" hidden="1" x14ac:dyDescent="0.3">
      <c r="A257" s="1" t="s">
        <v>48</v>
      </c>
      <c r="B257" s="1" t="s">
        <v>31</v>
      </c>
      <c r="C257" s="1" t="s">
        <v>13</v>
      </c>
      <c r="D257" s="1" t="s">
        <v>50</v>
      </c>
      <c r="E257" s="1">
        <v>19</v>
      </c>
      <c r="F257" s="1">
        <v>406</v>
      </c>
      <c r="G257" s="1">
        <v>7</v>
      </c>
      <c r="H257" s="2">
        <v>46057</v>
      </c>
      <c r="I257" s="2">
        <v>46061</v>
      </c>
      <c r="J257" s="1" t="s">
        <v>15</v>
      </c>
      <c r="K257" s="1">
        <v>1256</v>
      </c>
    </row>
    <row r="258" spans="1:11" ht="14.4" x14ac:dyDescent="0.3">
      <c r="A258" s="1" t="s">
        <v>54</v>
      </c>
      <c r="B258" s="1" t="s">
        <v>25</v>
      </c>
      <c r="C258" s="1" t="s">
        <v>34</v>
      </c>
      <c r="D258" s="1" t="s">
        <v>61</v>
      </c>
      <c r="E258" s="1">
        <v>7</v>
      </c>
      <c r="F258" s="1">
        <v>53243</v>
      </c>
      <c r="G258" s="1">
        <v>12</v>
      </c>
      <c r="H258" s="2">
        <v>46161</v>
      </c>
      <c r="I258" s="2">
        <v>46171</v>
      </c>
      <c r="J258" s="1" t="s">
        <v>15</v>
      </c>
      <c r="K258" s="1">
        <v>1257</v>
      </c>
    </row>
    <row r="259" spans="1:11" ht="14.4" x14ac:dyDescent="0.3">
      <c r="A259" s="1" t="s">
        <v>32</v>
      </c>
      <c r="B259" s="1" t="s">
        <v>31</v>
      </c>
      <c r="C259" s="1" t="s">
        <v>34</v>
      </c>
      <c r="D259" s="1" t="s">
        <v>60</v>
      </c>
      <c r="E259" s="1">
        <v>1</v>
      </c>
      <c r="F259" s="1">
        <v>10600</v>
      </c>
      <c r="G259" s="1">
        <v>5</v>
      </c>
      <c r="H259" s="2">
        <v>46137</v>
      </c>
      <c r="I259" s="2">
        <v>46138</v>
      </c>
      <c r="J259" s="1" t="s">
        <v>29</v>
      </c>
      <c r="K259" s="1">
        <v>1258</v>
      </c>
    </row>
    <row r="260" spans="1:11" ht="14.4" x14ac:dyDescent="0.3">
      <c r="A260" s="1" t="s">
        <v>42</v>
      </c>
      <c r="B260" s="1" t="s">
        <v>22</v>
      </c>
      <c r="C260" s="1" t="s">
        <v>34</v>
      </c>
      <c r="D260" s="1" t="s">
        <v>45</v>
      </c>
      <c r="E260" s="1">
        <v>10</v>
      </c>
      <c r="F260" s="1">
        <v>38771</v>
      </c>
      <c r="G260" s="1">
        <v>15</v>
      </c>
      <c r="H260" s="2">
        <v>46172</v>
      </c>
      <c r="I260" s="2">
        <v>46182</v>
      </c>
      <c r="J260" s="1" t="s">
        <v>15</v>
      </c>
      <c r="K260" s="1">
        <v>1259</v>
      </c>
    </row>
    <row r="261" spans="1:11" ht="14.4" x14ac:dyDescent="0.3">
      <c r="A261" s="1" t="s">
        <v>54</v>
      </c>
      <c r="B261" s="1" t="s">
        <v>38</v>
      </c>
      <c r="C261" s="1" t="s">
        <v>34</v>
      </c>
      <c r="D261" s="1" t="s">
        <v>41</v>
      </c>
      <c r="E261" s="1">
        <v>19</v>
      </c>
      <c r="F261" s="1">
        <v>54981</v>
      </c>
      <c r="G261" s="1">
        <v>10</v>
      </c>
      <c r="H261" s="2">
        <v>46040</v>
      </c>
      <c r="I261" s="2">
        <v>46045</v>
      </c>
      <c r="J261" s="1" t="s">
        <v>29</v>
      </c>
      <c r="K261" s="1">
        <v>1260</v>
      </c>
    </row>
    <row r="262" spans="1:11" ht="14.4" hidden="1" x14ac:dyDescent="0.3">
      <c r="A262" s="1" t="s">
        <v>40</v>
      </c>
      <c r="B262" s="1" t="s">
        <v>17</v>
      </c>
      <c r="C262" s="1" t="s">
        <v>13</v>
      </c>
      <c r="D262" s="1" t="s">
        <v>50</v>
      </c>
      <c r="E262" s="1">
        <v>20</v>
      </c>
      <c r="F262" s="1">
        <v>162</v>
      </c>
      <c r="G262" s="1">
        <v>7</v>
      </c>
      <c r="H262" s="2">
        <v>46119</v>
      </c>
      <c r="I262" s="2">
        <v>46120</v>
      </c>
      <c r="J262" s="1" t="s">
        <v>51</v>
      </c>
      <c r="K262" s="1">
        <v>1261</v>
      </c>
    </row>
    <row r="263" spans="1:11" ht="14.4" hidden="1" x14ac:dyDescent="0.3">
      <c r="A263" s="1" t="s">
        <v>16</v>
      </c>
      <c r="B263" s="1" t="s">
        <v>22</v>
      </c>
      <c r="C263" s="1" t="s">
        <v>18</v>
      </c>
      <c r="D263" s="1" t="s">
        <v>28</v>
      </c>
      <c r="E263" s="1">
        <v>9</v>
      </c>
      <c r="F263" s="1">
        <v>2231</v>
      </c>
      <c r="G263" s="1">
        <v>15</v>
      </c>
      <c r="H263" s="2">
        <v>46174</v>
      </c>
      <c r="I263" s="2">
        <v>46183</v>
      </c>
      <c r="J263" s="1" t="s">
        <v>15</v>
      </c>
      <c r="K263" s="1">
        <v>1262</v>
      </c>
    </row>
    <row r="264" spans="1:11" ht="14.4" hidden="1" x14ac:dyDescent="0.3">
      <c r="A264" s="1" t="s">
        <v>29</v>
      </c>
      <c r="B264" s="1" t="s">
        <v>38</v>
      </c>
      <c r="C264" s="1" t="s">
        <v>18</v>
      </c>
      <c r="D264" s="1" t="s">
        <v>28</v>
      </c>
      <c r="E264" s="1">
        <v>10</v>
      </c>
      <c r="F264" s="1">
        <v>1505</v>
      </c>
      <c r="G264" s="1">
        <v>0</v>
      </c>
      <c r="H264" s="2">
        <v>46130</v>
      </c>
      <c r="I264" s="2">
        <v>46138</v>
      </c>
      <c r="J264" s="1" t="s">
        <v>51</v>
      </c>
      <c r="K264" s="1">
        <v>1263</v>
      </c>
    </row>
    <row r="265" spans="1:11" ht="14.4" hidden="1" x14ac:dyDescent="0.3">
      <c r="A265" s="1" t="s">
        <v>11</v>
      </c>
      <c r="B265" s="1" t="s">
        <v>22</v>
      </c>
      <c r="C265" s="1" t="s">
        <v>18</v>
      </c>
      <c r="D265" s="1" t="s">
        <v>28</v>
      </c>
      <c r="E265" s="1">
        <v>15</v>
      </c>
      <c r="F265" s="1">
        <v>6365</v>
      </c>
      <c r="G265" s="1">
        <v>10</v>
      </c>
      <c r="H265" s="2">
        <v>46200</v>
      </c>
      <c r="I265" s="2">
        <v>46206</v>
      </c>
      <c r="J265" s="1" t="s">
        <v>20</v>
      </c>
      <c r="K265" s="1">
        <v>1264</v>
      </c>
    </row>
    <row r="266" spans="1:11" ht="14.4" hidden="1" x14ac:dyDescent="0.3">
      <c r="A266" s="1" t="s">
        <v>58</v>
      </c>
      <c r="B266" s="1" t="s">
        <v>22</v>
      </c>
      <c r="C266" s="1" t="s">
        <v>18</v>
      </c>
      <c r="D266" s="1" t="s">
        <v>19</v>
      </c>
      <c r="E266" s="1">
        <v>1</v>
      </c>
      <c r="F266" s="1">
        <v>1052</v>
      </c>
      <c r="G266" s="1">
        <v>7</v>
      </c>
      <c r="H266" s="2">
        <v>46117</v>
      </c>
      <c r="I266" s="2">
        <v>46127</v>
      </c>
      <c r="J266" s="1" t="s">
        <v>51</v>
      </c>
      <c r="K266" s="1">
        <v>1265</v>
      </c>
    </row>
    <row r="267" spans="1:11" ht="14.4" hidden="1" x14ac:dyDescent="0.3">
      <c r="A267" s="1" t="s">
        <v>29</v>
      </c>
      <c r="B267" s="1" t="s">
        <v>33</v>
      </c>
      <c r="C267" s="1" t="s">
        <v>13</v>
      </c>
      <c r="D267" s="1" t="s">
        <v>14</v>
      </c>
      <c r="E267" s="1">
        <v>17</v>
      </c>
      <c r="F267" s="1">
        <v>365</v>
      </c>
      <c r="G267" s="1">
        <v>2</v>
      </c>
      <c r="H267" s="2">
        <v>46096</v>
      </c>
      <c r="I267" s="2">
        <v>46104</v>
      </c>
      <c r="J267" s="1" t="s">
        <v>51</v>
      </c>
      <c r="K267" s="1">
        <v>1266</v>
      </c>
    </row>
    <row r="268" spans="1:11" ht="14.4" hidden="1" x14ac:dyDescent="0.3">
      <c r="A268" s="1" t="s">
        <v>27</v>
      </c>
      <c r="B268" s="1" t="s">
        <v>38</v>
      </c>
      <c r="C268" s="1" t="s">
        <v>13</v>
      </c>
      <c r="D268" s="1" t="s">
        <v>50</v>
      </c>
      <c r="E268" s="1">
        <v>1</v>
      </c>
      <c r="F268" s="1">
        <v>50</v>
      </c>
      <c r="G268" s="1">
        <v>0</v>
      </c>
      <c r="H268" s="2">
        <v>46129</v>
      </c>
      <c r="I268" s="2">
        <v>46138</v>
      </c>
      <c r="J268" s="1" t="s">
        <v>20</v>
      </c>
      <c r="K268" s="1">
        <v>1267</v>
      </c>
    </row>
    <row r="269" spans="1:11" ht="14.4" x14ac:dyDescent="0.3">
      <c r="A269" s="1" t="s">
        <v>42</v>
      </c>
      <c r="B269" s="1" t="s">
        <v>38</v>
      </c>
      <c r="C269" s="1" t="s">
        <v>34</v>
      </c>
      <c r="D269" s="1" t="s">
        <v>45</v>
      </c>
      <c r="E269" s="1">
        <v>10</v>
      </c>
      <c r="F269" s="1">
        <v>46291</v>
      </c>
      <c r="G269" s="1">
        <v>12</v>
      </c>
      <c r="H269" s="2">
        <v>46199</v>
      </c>
      <c r="I269" s="2">
        <v>46202</v>
      </c>
      <c r="J269" s="1" t="s">
        <v>20</v>
      </c>
      <c r="K269" s="1">
        <v>1268</v>
      </c>
    </row>
    <row r="270" spans="1:11" ht="14.4" hidden="1" x14ac:dyDescent="0.3">
      <c r="A270" s="1" t="s">
        <v>52</v>
      </c>
      <c r="B270" s="1" t="s">
        <v>43</v>
      </c>
      <c r="C270" s="1" t="s">
        <v>18</v>
      </c>
      <c r="D270" s="1" t="s">
        <v>19</v>
      </c>
      <c r="E270" s="1">
        <v>14</v>
      </c>
      <c r="F270" s="1">
        <v>5704</v>
      </c>
      <c r="G270" s="1">
        <v>2</v>
      </c>
      <c r="H270" s="2">
        <v>46129</v>
      </c>
      <c r="I270" s="2">
        <v>46131</v>
      </c>
      <c r="J270" s="1" t="s">
        <v>15</v>
      </c>
      <c r="K270" s="1">
        <v>1269</v>
      </c>
    </row>
    <row r="271" spans="1:11" ht="14.4" x14ac:dyDescent="0.3">
      <c r="A271" s="1" t="s">
        <v>49</v>
      </c>
      <c r="B271" s="1" t="s">
        <v>43</v>
      </c>
      <c r="C271" s="1" t="s">
        <v>34</v>
      </c>
      <c r="D271" s="1" t="s">
        <v>35</v>
      </c>
      <c r="E271" s="1">
        <v>16</v>
      </c>
      <c r="F271" s="1">
        <v>62941</v>
      </c>
      <c r="G271" s="1">
        <v>7</v>
      </c>
      <c r="H271" s="2">
        <v>46135</v>
      </c>
      <c r="I271" s="2">
        <v>46141</v>
      </c>
      <c r="J271" s="1" t="s">
        <v>51</v>
      </c>
      <c r="K271" s="1">
        <v>1270</v>
      </c>
    </row>
    <row r="272" spans="1:11" ht="14.4" x14ac:dyDescent="0.3">
      <c r="A272" s="1" t="s">
        <v>40</v>
      </c>
      <c r="B272" s="1" t="s">
        <v>33</v>
      </c>
      <c r="C272" s="1" t="s">
        <v>34</v>
      </c>
      <c r="D272" s="1" t="s">
        <v>60</v>
      </c>
      <c r="E272" s="1">
        <v>20</v>
      </c>
      <c r="F272" s="1">
        <v>36941</v>
      </c>
      <c r="G272" s="1">
        <v>15</v>
      </c>
      <c r="H272" s="2">
        <v>46083</v>
      </c>
      <c r="I272" s="2">
        <v>46085</v>
      </c>
      <c r="J272" s="1" t="s">
        <v>29</v>
      </c>
      <c r="K272" s="1">
        <v>1271</v>
      </c>
    </row>
    <row r="273" spans="1:11" ht="14.4" x14ac:dyDescent="0.3">
      <c r="A273" s="1" t="s">
        <v>52</v>
      </c>
      <c r="B273" s="1" t="s">
        <v>38</v>
      </c>
      <c r="C273" s="1" t="s">
        <v>34</v>
      </c>
      <c r="D273" s="1" t="s">
        <v>41</v>
      </c>
      <c r="E273" s="1">
        <v>13</v>
      </c>
      <c r="F273" s="1">
        <v>42179</v>
      </c>
      <c r="G273" s="1">
        <v>0</v>
      </c>
      <c r="H273" s="2">
        <v>46078</v>
      </c>
      <c r="I273" s="2">
        <v>46084</v>
      </c>
      <c r="J273" s="1" t="s">
        <v>20</v>
      </c>
      <c r="K273" s="1">
        <v>1272</v>
      </c>
    </row>
    <row r="274" spans="1:11" ht="14.4" x14ac:dyDescent="0.3">
      <c r="A274" s="1" t="s">
        <v>46</v>
      </c>
      <c r="B274" s="1" t="s">
        <v>25</v>
      </c>
      <c r="C274" s="1" t="s">
        <v>34</v>
      </c>
      <c r="D274" s="1" t="s">
        <v>39</v>
      </c>
      <c r="E274" s="1">
        <v>12</v>
      </c>
      <c r="F274" s="1">
        <v>20618</v>
      </c>
      <c r="G274" s="1">
        <v>12</v>
      </c>
      <c r="H274" s="2">
        <v>46172</v>
      </c>
      <c r="I274" s="2">
        <v>46174</v>
      </c>
      <c r="J274" s="1" t="s">
        <v>20</v>
      </c>
      <c r="K274" s="1">
        <v>1273</v>
      </c>
    </row>
    <row r="275" spans="1:11" ht="14.4" x14ac:dyDescent="0.3">
      <c r="A275" s="1" t="s">
        <v>26</v>
      </c>
      <c r="B275" s="1" t="s">
        <v>25</v>
      </c>
      <c r="C275" s="1" t="s">
        <v>34</v>
      </c>
      <c r="D275" s="1" t="s">
        <v>41</v>
      </c>
      <c r="E275" s="1">
        <v>13</v>
      </c>
      <c r="F275" s="1">
        <v>36652</v>
      </c>
      <c r="G275" s="1">
        <v>12</v>
      </c>
      <c r="H275" s="2">
        <v>46179</v>
      </c>
      <c r="I275" s="2">
        <v>46186</v>
      </c>
      <c r="J275" s="1" t="s">
        <v>20</v>
      </c>
      <c r="K275" s="1">
        <v>1274</v>
      </c>
    </row>
    <row r="276" spans="1:11" ht="14.4" hidden="1" x14ac:dyDescent="0.3">
      <c r="A276" s="1" t="s">
        <v>16</v>
      </c>
      <c r="B276" s="1" t="s">
        <v>31</v>
      </c>
      <c r="C276" s="1" t="s">
        <v>13</v>
      </c>
      <c r="D276" s="1" t="s">
        <v>50</v>
      </c>
      <c r="E276" s="1">
        <v>20</v>
      </c>
      <c r="F276" s="1">
        <v>451</v>
      </c>
      <c r="G276" s="1">
        <v>15</v>
      </c>
      <c r="H276" s="2">
        <v>46092</v>
      </c>
      <c r="I276" s="2">
        <v>46094</v>
      </c>
      <c r="J276" s="1" t="s">
        <v>20</v>
      </c>
      <c r="K276" s="1">
        <v>1275</v>
      </c>
    </row>
    <row r="277" spans="1:11" ht="14.4" hidden="1" x14ac:dyDescent="0.3">
      <c r="A277" s="1" t="s">
        <v>40</v>
      </c>
      <c r="B277" s="1" t="s">
        <v>12</v>
      </c>
      <c r="C277" s="1" t="s">
        <v>18</v>
      </c>
      <c r="D277" s="1" t="s">
        <v>19</v>
      </c>
      <c r="E277" s="1">
        <v>1</v>
      </c>
      <c r="F277" s="1">
        <v>13437</v>
      </c>
      <c r="G277" s="1">
        <v>15</v>
      </c>
      <c r="H277" s="2">
        <v>46097</v>
      </c>
      <c r="I277" s="2">
        <v>46099</v>
      </c>
      <c r="J277" s="1" t="s">
        <v>24</v>
      </c>
      <c r="K277" s="1">
        <v>1276</v>
      </c>
    </row>
    <row r="278" spans="1:11" ht="14.4" hidden="1" x14ac:dyDescent="0.3">
      <c r="A278" s="1" t="s">
        <v>59</v>
      </c>
      <c r="B278" s="1" t="s">
        <v>17</v>
      </c>
      <c r="C278" s="1" t="s">
        <v>13</v>
      </c>
      <c r="D278" s="1" t="s">
        <v>36</v>
      </c>
      <c r="E278" s="1">
        <v>14</v>
      </c>
      <c r="F278" s="1">
        <v>276</v>
      </c>
      <c r="G278" s="1">
        <v>0</v>
      </c>
      <c r="H278" s="2">
        <v>46086</v>
      </c>
      <c r="I278" s="2">
        <v>46089</v>
      </c>
      <c r="J278" s="1" t="s">
        <v>15</v>
      </c>
      <c r="K278" s="1">
        <v>1277</v>
      </c>
    </row>
    <row r="279" spans="1:11" ht="14.4" x14ac:dyDescent="0.3">
      <c r="A279" s="1" t="s">
        <v>47</v>
      </c>
      <c r="B279" s="1" t="s">
        <v>22</v>
      </c>
      <c r="C279" s="1" t="s">
        <v>34</v>
      </c>
      <c r="D279" s="1" t="s">
        <v>61</v>
      </c>
      <c r="E279" s="1">
        <v>4</v>
      </c>
      <c r="F279" s="1">
        <v>20639</v>
      </c>
      <c r="G279" s="1">
        <v>7</v>
      </c>
      <c r="H279" s="2">
        <v>46180</v>
      </c>
      <c r="I279" s="2">
        <v>46186</v>
      </c>
      <c r="J279" s="1" t="s">
        <v>20</v>
      </c>
      <c r="K279" s="1">
        <v>1278</v>
      </c>
    </row>
    <row r="280" spans="1:11" ht="14.4" x14ac:dyDescent="0.3">
      <c r="A280" s="1" t="s">
        <v>55</v>
      </c>
      <c r="B280" s="1" t="s">
        <v>33</v>
      </c>
      <c r="C280" s="1" t="s">
        <v>34</v>
      </c>
      <c r="D280" s="1" t="s">
        <v>45</v>
      </c>
      <c r="E280" s="1">
        <v>20</v>
      </c>
      <c r="F280" s="1">
        <v>49042</v>
      </c>
      <c r="G280" s="1">
        <v>2</v>
      </c>
      <c r="H280" s="2">
        <v>46124</v>
      </c>
      <c r="I280" s="2">
        <v>46126</v>
      </c>
      <c r="J280" s="1" t="s">
        <v>15</v>
      </c>
      <c r="K280" s="1">
        <v>1279</v>
      </c>
    </row>
    <row r="281" spans="1:11" ht="14.4" hidden="1" x14ac:dyDescent="0.3">
      <c r="A281" s="1" t="s">
        <v>59</v>
      </c>
      <c r="B281" s="1" t="s">
        <v>38</v>
      </c>
      <c r="C281" s="1" t="s">
        <v>13</v>
      </c>
      <c r="D281" s="1" t="s">
        <v>53</v>
      </c>
      <c r="E281" s="1">
        <v>9</v>
      </c>
      <c r="F281" s="1">
        <v>50</v>
      </c>
      <c r="G281" s="1">
        <v>7</v>
      </c>
      <c r="H281" s="2">
        <v>46085</v>
      </c>
      <c r="I281" s="2">
        <v>46095</v>
      </c>
      <c r="J281" s="1" t="s">
        <v>51</v>
      </c>
      <c r="K281" s="1">
        <v>1280</v>
      </c>
    </row>
    <row r="282" spans="1:11" ht="14.4" hidden="1" x14ac:dyDescent="0.3">
      <c r="A282" s="1" t="s">
        <v>55</v>
      </c>
      <c r="B282" s="1" t="s">
        <v>17</v>
      </c>
      <c r="C282" s="1" t="s">
        <v>13</v>
      </c>
      <c r="D282" s="1" t="s">
        <v>50</v>
      </c>
      <c r="E282" s="1">
        <v>6</v>
      </c>
      <c r="F282" s="1">
        <v>253</v>
      </c>
      <c r="G282" s="1">
        <v>0</v>
      </c>
      <c r="H282" s="2">
        <v>46055</v>
      </c>
      <c r="I282" s="2">
        <v>46063</v>
      </c>
      <c r="J282" s="1" t="s">
        <v>24</v>
      </c>
      <c r="K282" s="1">
        <v>1281</v>
      </c>
    </row>
    <row r="283" spans="1:11" ht="14.4" hidden="1" x14ac:dyDescent="0.3">
      <c r="A283" s="1" t="s">
        <v>57</v>
      </c>
      <c r="B283" s="1" t="s">
        <v>43</v>
      </c>
      <c r="C283" s="1" t="s">
        <v>18</v>
      </c>
      <c r="D283" s="1" t="s">
        <v>44</v>
      </c>
      <c r="E283" s="1">
        <v>12</v>
      </c>
      <c r="F283" s="1">
        <v>3178</v>
      </c>
      <c r="G283" s="1">
        <v>10</v>
      </c>
      <c r="H283" s="2">
        <v>46176</v>
      </c>
      <c r="I283" s="2">
        <v>46177</v>
      </c>
      <c r="J283" s="1" t="s">
        <v>29</v>
      </c>
      <c r="K283" s="1">
        <v>1282</v>
      </c>
    </row>
    <row r="284" spans="1:11" ht="14.4" hidden="1" x14ac:dyDescent="0.3">
      <c r="A284" s="1" t="s">
        <v>40</v>
      </c>
      <c r="B284" s="1" t="s">
        <v>12</v>
      </c>
      <c r="C284" s="1" t="s">
        <v>18</v>
      </c>
      <c r="D284" s="1" t="s">
        <v>23</v>
      </c>
      <c r="E284" s="1">
        <v>6</v>
      </c>
      <c r="F284" s="1">
        <v>1167</v>
      </c>
      <c r="G284" s="1">
        <v>2</v>
      </c>
      <c r="H284" s="2">
        <v>46100</v>
      </c>
      <c r="I284" s="2">
        <v>46106</v>
      </c>
      <c r="J284" s="1" t="s">
        <v>15</v>
      </c>
      <c r="K284" s="1">
        <v>1283</v>
      </c>
    </row>
    <row r="285" spans="1:11" ht="14.4" hidden="1" x14ac:dyDescent="0.3">
      <c r="A285" s="1" t="s">
        <v>40</v>
      </c>
      <c r="B285" s="1" t="s">
        <v>25</v>
      </c>
      <c r="C285" s="1" t="s">
        <v>13</v>
      </c>
      <c r="D285" s="1" t="s">
        <v>37</v>
      </c>
      <c r="E285" s="1">
        <v>16</v>
      </c>
      <c r="F285" s="1">
        <v>419</v>
      </c>
      <c r="G285" s="1">
        <v>2</v>
      </c>
      <c r="H285" s="2">
        <v>46082</v>
      </c>
      <c r="I285" s="2">
        <v>46090</v>
      </c>
      <c r="J285" s="1" t="s">
        <v>15</v>
      </c>
      <c r="K285" s="1">
        <v>1284</v>
      </c>
    </row>
    <row r="286" spans="1:11" ht="14.4" hidden="1" x14ac:dyDescent="0.3">
      <c r="A286" s="1" t="s">
        <v>32</v>
      </c>
      <c r="B286" s="1" t="s">
        <v>38</v>
      </c>
      <c r="C286" s="1" t="s">
        <v>13</v>
      </c>
      <c r="D286" s="1" t="s">
        <v>36</v>
      </c>
      <c r="E286" s="1">
        <v>7</v>
      </c>
      <c r="F286" s="1">
        <v>439</v>
      </c>
      <c r="G286" s="1">
        <v>15</v>
      </c>
      <c r="H286" s="2">
        <v>46055</v>
      </c>
      <c r="I286" s="2">
        <v>46058</v>
      </c>
      <c r="J286" s="1" t="s">
        <v>20</v>
      </c>
      <c r="K286" s="1">
        <v>1285</v>
      </c>
    </row>
    <row r="287" spans="1:11" ht="14.4" hidden="1" x14ac:dyDescent="0.3">
      <c r="A287" s="1" t="s">
        <v>46</v>
      </c>
      <c r="B287" s="1" t="s">
        <v>17</v>
      </c>
      <c r="C287" s="1" t="s">
        <v>18</v>
      </c>
      <c r="D287" s="1" t="s">
        <v>56</v>
      </c>
      <c r="E287" s="1">
        <v>9</v>
      </c>
      <c r="F287" s="1">
        <v>1340</v>
      </c>
      <c r="G287" s="1">
        <v>2</v>
      </c>
      <c r="H287" s="2">
        <v>46168</v>
      </c>
      <c r="I287" s="2">
        <v>46173</v>
      </c>
      <c r="J287" s="1" t="s">
        <v>15</v>
      </c>
      <c r="K287" s="1">
        <v>1286</v>
      </c>
    </row>
    <row r="288" spans="1:11" ht="14.4" hidden="1" x14ac:dyDescent="0.3">
      <c r="A288" s="1" t="s">
        <v>59</v>
      </c>
      <c r="B288" s="1" t="s">
        <v>31</v>
      </c>
      <c r="C288" s="1" t="s">
        <v>13</v>
      </c>
      <c r="D288" s="1" t="s">
        <v>14</v>
      </c>
      <c r="E288" s="1">
        <v>15</v>
      </c>
      <c r="F288" s="1">
        <v>251</v>
      </c>
      <c r="G288" s="1">
        <v>2</v>
      </c>
      <c r="H288" s="2">
        <v>46116</v>
      </c>
      <c r="I288" s="2">
        <v>46122</v>
      </c>
      <c r="J288" s="1" t="s">
        <v>51</v>
      </c>
      <c r="K288" s="1">
        <v>1287</v>
      </c>
    </row>
    <row r="289" spans="1:11" ht="14.4" x14ac:dyDescent="0.3">
      <c r="A289" s="1" t="s">
        <v>54</v>
      </c>
      <c r="B289" s="1" t="s">
        <v>22</v>
      </c>
      <c r="C289" s="1" t="s">
        <v>34</v>
      </c>
      <c r="D289" s="1" t="s">
        <v>60</v>
      </c>
      <c r="E289" s="1">
        <v>14</v>
      </c>
      <c r="F289" s="1">
        <v>35601</v>
      </c>
      <c r="G289" s="1">
        <v>10</v>
      </c>
      <c r="H289" s="2">
        <v>46179</v>
      </c>
      <c r="I289" s="2">
        <v>46187</v>
      </c>
      <c r="J289" s="1" t="s">
        <v>29</v>
      </c>
      <c r="K289" s="1">
        <v>1288</v>
      </c>
    </row>
    <row r="290" spans="1:11" ht="14.4" x14ac:dyDescent="0.3">
      <c r="A290" s="1" t="s">
        <v>26</v>
      </c>
      <c r="B290" s="1" t="s">
        <v>22</v>
      </c>
      <c r="C290" s="1" t="s">
        <v>34</v>
      </c>
      <c r="D290" s="1" t="s">
        <v>45</v>
      </c>
      <c r="E290" s="1">
        <v>19</v>
      </c>
      <c r="F290" s="1">
        <v>25336</v>
      </c>
      <c r="G290" s="1">
        <v>2</v>
      </c>
      <c r="H290" s="2">
        <v>46122</v>
      </c>
      <c r="I290" s="2">
        <v>46130</v>
      </c>
      <c r="J290" s="1" t="s">
        <v>24</v>
      </c>
      <c r="K290" s="1">
        <v>1289</v>
      </c>
    </row>
    <row r="291" spans="1:11" ht="14.4" x14ac:dyDescent="0.3">
      <c r="A291" s="1" t="s">
        <v>26</v>
      </c>
      <c r="B291" s="1" t="s">
        <v>22</v>
      </c>
      <c r="C291" s="1" t="s">
        <v>34</v>
      </c>
      <c r="D291" s="1" t="s">
        <v>35</v>
      </c>
      <c r="E291" s="1">
        <v>3</v>
      </c>
      <c r="F291" s="1">
        <v>69793</v>
      </c>
      <c r="G291" s="1">
        <v>15</v>
      </c>
      <c r="H291" s="2">
        <v>46110</v>
      </c>
      <c r="I291" s="2">
        <v>46111</v>
      </c>
      <c r="J291" s="1" t="s">
        <v>29</v>
      </c>
      <c r="K291" s="1">
        <v>1290</v>
      </c>
    </row>
    <row r="292" spans="1:11" ht="14.4" hidden="1" x14ac:dyDescent="0.3">
      <c r="A292" s="1" t="s">
        <v>21</v>
      </c>
      <c r="B292" s="1" t="s">
        <v>17</v>
      </c>
      <c r="C292" s="1" t="s">
        <v>13</v>
      </c>
      <c r="D292" s="1" t="s">
        <v>36</v>
      </c>
      <c r="E292" s="1">
        <v>17</v>
      </c>
      <c r="F292" s="1">
        <v>415</v>
      </c>
      <c r="G292" s="1">
        <v>5</v>
      </c>
      <c r="H292" s="2">
        <v>46137</v>
      </c>
      <c r="I292" s="2">
        <v>46141</v>
      </c>
      <c r="J292" s="1" t="s">
        <v>20</v>
      </c>
      <c r="K292" s="1">
        <v>1291</v>
      </c>
    </row>
    <row r="293" spans="1:11" ht="14.4" x14ac:dyDescent="0.3">
      <c r="A293" s="1" t="s">
        <v>54</v>
      </c>
      <c r="B293" s="1" t="s">
        <v>33</v>
      </c>
      <c r="C293" s="1" t="s">
        <v>34</v>
      </c>
      <c r="D293" s="1" t="s">
        <v>61</v>
      </c>
      <c r="E293" s="1">
        <v>11</v>
      </c>
      <c r="F293" s="1">
        <v>25158</v>
      </c>
      <c r="G293" s="1">
        <v>5</v>
      </c>
      <c r="H293" s="2">
        <v>46186</v>
      </c>
      <c r="I293" s="2">
        <v>46193</v>
      </c>
      <c r="J293" s="1" t="s">
        <v>20</v>
      </c>
      <c r="K293" s="1">
        <v>1292</v>
      </c>
    </row>
    <row r="294" spans="1:11" ht="14.4" hidden="1" x14ac:dyDescent="0.3">
      <c r="A294" s="1" t="s">
        <v>49</v>
      </c>
      <c r="B294" s="1" t="s">
        <v>43</v>
      </c>
      <c r="C294" s="1" t="s">
        <v>18</v>
      </c>
      <c r="D294" s="1" t="s">
        <v>23</v>
      </c>
      <c r="E294" s="1">
        <v>7</v>
      </c>
      <c r="F294" s="1">
        <v>11481</v>
      </c>
      <c r="G294" s="1">
        <v>15</v>
      </c>
      <c r="H294" s="2">
        <v>46045</v>
      </c>
      <c r="I294" s="2">
        <v>46050</v>
      </c>
      <c r="J294" s="1" t="s">
        <v>20</v>
      </c>
      <c r="K294" s="1">
        <v>1293</v>
      </c>
    </row>
    <row r="295" spans="1:11" ht="14.4" hidden="1" x14ac:dyDescent="0.3">
      <c r="A295" s="1" t="s">
        <v>21</v>
      </c>
      <c r="B295" s="1" t="s">
        <v>12</v>
      </c>
      <c r="C295" s="1" t="s">
        <v>18</v>
      </c>
      <c r="D295" s="1" t="s">
        <v>19</v>
      </c>
      <c r="E295" s="1">
        <v>8</v>
      </c>
      <c r="F295" s="1">
        <v>14448</v>
      </c>
      <c r="G295" s="1">
        <v>10</v>
      </c>
      <c r="H295" s="2">
        <v>46181</v>
      </c>
      <c r="I295" s="2">
        <v>46189</v>
      </c>
      <c r="J295" s="1" t="s">
        <v>15</v>
      </c>
      <c r="K295" s="1">
        <v>1294</v>
      </c>
    </row>
    <row r="296" spans="1:11" ht="14.4" hidden="1" x14ac:dyDescent="0.3">
      <c r="A296" s="1" t="s">
        <v>52</v>
      </c>
      <c r="B296" s="1" t="s">
        <v>38</v>
      </c>
      <c r="C296" s="1" t="s">
        <v>18</v>
      </c>
      <c r="D296" s="1" t="s">
        <v>28</v>
      </c>
      <c r="E296" s="1">
        <v>16</v>
      </c>
      <c r="F296" s="1">
        <v>11935</v>
      </c>
      <c r="G296" s="1">
        <v>12</v>
      </c>
      <c r="H296" s="2">
        <v>46157</v>
      </c>
      <c r="I296" s="2">
        <v>46162</v>
      </c>
      <c r="J296" s="1" t="s">
        <v>15</v>
      </c>
      <c r="K296" s="1">
        <v>1295</v>
      </c>
    </row>
    <row r="297" spans="1:11" ht="14.4" hidden="1" x14ac:dyDescent="0.3">
      <c r="A297" s="1" t="s">
        <v>26</v>
      </c>
      <c r="B297" s="1" t="s">
        <v>38</v>
      </c>
      <c r="C297" s="1" t="s">
        <v>13</v>
      </c>
      <c r="D297" s="1" t="s">
        <v>50</v>
      </c>
      <c r="E297" s="1">
        <v>6</v>
      </c>
      <c r="F297" s="1">
        <v>201</v>
      </c>
      <c r="G297" s="1">
        <v>0</v>
      </c>
      <c r="H297" s="2">
        <v>46063</v>
      </c>
      <c r="I297" s="2">
        <v>46072</v>
      </c>
      <c r="J297" s="1" t="s">
        <v>51</v>
      </c>
      <c r="K297" s="1">
        <v>1296</v>
      </c>
    </row>
    <row r="298" spans="1:11" ht="14.4" x14ac:dyDescent="0.3">
      <c r="A298" s="1" t="s">
        <v>54</v>
      </c>
      <c r="B298" s="1" t="s">
        <v>25</v>
      </c>
      <c r="C298" s="1" t="s">
        <v>34</v>
      </c>
      <c r="D298" s="1" t="s">
        <v>35</v>
      </c>
      <c r="E298" s="1">
        <v>14</v>
      </c>
      <c r="F298" s="1">
        <v>24524</v>
      </c>
      <c r="G298" s="1">
        <v>10</v>
      </c>
      <c r="H298" s="2">
        <v>46178</v>
      </c>
      <c r="I298" s="2">
        <v>46187</v>
      </c>
      <c r="J298" s="1" t="s">
        <v>29</v>
      </c>
      <c r="K298" s="1">
        <v>1297</v>
      </c>
    </row>
    <row r="299" spans="1:11" ht="14.4" x14ac:dyDescent="0.3">
      <c r="A299" s="1" t="s">
        <v>21</v>
      </c>
      <c r="B299" s="1" t="s">
        <v>12</v>
      </c>
      <c r="C299" s="1" t="s">
        <v>34</v>
      </c>
      <c r="D299" s="1" t="s">
        <v>61</v>
      </c>
      <c r="E299" s="1">
        <v>19</v>
      </c>
      <c r="F299" s="1">
        <v>20745</v>
      </c>
      <c r="G299" s="1">
        <v>2</v>
      </c>
      <c r="H299" s="2">
        <v>46083</v>
      </c>
      <c r="I299" s="2">
        <v>46093</v>
      </c>
      <c r="J299" s="1" t="s">
        <v>24</v>
      </c>
      <c r="K299" s="1">
        <v>1298</v>
      </c>
    </row>
    <row r="300" spans="1:11" ht="14.4" hidden="1" x14ac:dyDescent="0.3">
      <c r="A300" s="1" t="s">
        <v>26</v>
      </c>
      <c r="B300" s="1" t="s">
        <v>17</v>
      </c>
      <c r="C300" s="1" t="s">
        <v>18</v>
      </c>
      <c r="D300" s="1" t="s">
        <v>56</v>
      </c>
      <c r="E300" s="1">
        <v>8</v>
      </c>
      <c r="F300" s="1">
        <v>8783</v>
      </c>
      <c r="G300" s="1">
        <v>2</v>
      </c>
      <c r="H300" s="2">
        <v>46123</v>
      </c>
      <c r="I300" s="2">
        <v>46132</v>
      </c>
      <c r="J300" s="1" t="s">
        <v>15</v>
      </c>
      <c r="K300" s="1">
        <v>1299</v>
      </c>
    </row>
    <row r="301" spans="1:11" ht="14.4" x14ac:dyDescent="0.3">
      <c r="A301" s="1" t="s">
        <v>47</v>
      </c>
      <c r="B301" s="1" t="s">
        <v>33</v>
      </c>
      <c r="C301" s="1" t="s">
        <v>34</v>
      </c>
      <c r="D301" s="1" t="s">
        <v>45</v>
      </c>
      <c r="E301" s="1">
        <v>20</v>
      </c>
      <c r="F301" s="1">
        <v>1392</v>
      </c>
      <c r="G301" s="1">
        <v>2</v>
      </c>
      <c r="H301" s="2">
        <v>46110</v>
      </c>
      <c r="I301" s="2">
        <v>46117</v>
      </c>
      <c r="J301" s="1" t="s">
        <v>24</v>
      </c>
      <c r="K301" s="1">
        <v>1300</v>
      </c>
    </row>
    <row r="302" spans="1:11" ht="14.4" hidden="1" x14ac:dyDescent="0.3">
      <c r="A302" s="1" t="s">
        <v>54</v>
      </c>
      <c r="B302" s="1" t="s">
        <v>17</v>
      </c>
      <c r="C302" s="1" t="s">
        <v>18</v>
      </c>
      <c r="D302" s="1" t="s">
        <v>28</v>
      </c>
      <c r="E302" s="1">
        <v>3</v>
      </c>
      <c r="F302" s="1">
        <v>7020</v>
      </c>
      <c r="G302" s="1">
        <v>10</v>
      </c>
      <c r="H302" s="2">
        <v>46028</v>
      </c>
      <c r="I302" s="2">
        <v>46038</v>
      </c>
      <c r="J302" s="1" t="s">
        <v>24</v>
      </c>
      <c r="K302" s="1">
        <v>1301</v>
      </c>
    </row>
    <row r="303" spans="1:11" ht="14.4" x14ac:dyDescent="0.3">
      <c r="A303" s="1" t="s">
        <v>57</v>
      </c>
      <c r="B303" s="1" t="s">
        <v>12</v>
      </c>
      <c r="C303" s="1" t="s">
        <v>34</v>
      </c>
      <c r="D303" s="1" t="s">
        <v>35</v>
      </c>
      <c r="E303" s="1">
        <v>9</v>
      </c>
      <c r="F303" s="1">
        <v>8500</v>
      </c>
      <c r="G303" s="1">
        <v>15</v>
      </c>
      <c r="H303" s="2">
        <v>46163</v>
      </c>
      <c r="I303" s="2">
        <v>46172</v>
      </c>
      <c r="J303" s="1" t="s">
        <v>24</v>
      </c>
      <c r="K303" s="1">
        <v>1302</v>
      </c>
    </row>
    <row r="304" spans="1:11" ht="14.4" x14ac:dyDescent="0.3">
      <c r="A304" s="1" t="s">
        <v>57</v>
      </c>
      <c r="B304" s="1" t="s">
        <v>38</v>
      </c>
      <c r="C304" s="1" t="s">
        <v>34</v>
      </c>
      <c r="D304" s="1" t="s">
        <v>35</v>
      </c>
      <c r="E304" s="1">
        <v>13</v>
      </c>
      <c r="F304" s="1">
        <v>5170</v>
      </c>
      <c r="G304" s="1">
        <v>2</v>
      </c>
      <c r="H304" s="2">
        <v>46124</v>
      </c>
      <c r="I304" s="2">
        <v>46127</v>
      </c>
      <c r="J304" s="1" t="s">
        <v>15</v>
      </c>
      <c r="K304" s="1">
        <v>1303</v>
      </c>
    </row>
    <row r="305" spans="1:11" ht="14.4" hidden="1" x14ac:dyDescent="0.3">
      <c r="A305" s="1" t="s">
        <v>59</v>
      </c>
      <c r="B305" s="1" t="s">
        <v>25</v>
      </c>
      <c r="C305" s="1" t="s">
        <v>13</v>
      </c>
      <c r="D305" s="1" t="s">
        <v>36</v>
      </c>
      <c r="E305" s="1">
        <v>20</v>
      </c>
      <c r="F305" s="1">
        <v>368</v>
      </c>
      <c r="G305" s="1">
        <v>7</v>
      </c>
      <c r="H305" s="2">
        <v>46042</v>
      </c>
      <c r="I305" s="2">
        <v>46051</v>
      </c>
      <c r="J305" s="1" t="s">
        <v>51</v>
      </c>
      <c r="K305" s="1">
        <v>1304</v>
      </c>
    </row>
    <row r="306" spans="1:11" ht="14.4" x14ac:dyDescent="0.3">
      <c r="A306" s="1" t="s">
        <v>58</v>
      </c>
      <c r="B306" s="1" t="s">
        <v>31</v>
      </c>
      <c r="C306" s="1" t="s">
        <v>34</v>
      </c>
      <c r="D306" s="1" t="s">
        <v>60</v>
      </c>
      <c r="E306" s="1">
        <v>20</v>
      </c>
      <c r="F306" s="1">
        <v>31406</v>
      </c>
      <c r="G306" s="1">
        <v>15</v>
      </c>
      <c r="H306" s="2">
        <v>46146</v>
      </c>
      <c r="I306" s="2">
        <v>46154</v>
      </c>
      <c r="J306" s="1" t="s">
        <v>51</v>
      </c>
      <c r="K306" s="1">
        <v>1305</v>
      </c>
    </row>
    <row r="307" spans="1:11" ht="14.4" hidden="1" x14ac:dyDescent="0.3">
      <c r="A307" s="1" t="s">
        <v>54</v>
      </c>
      <c r="B307" s="1" t="s">
        <v>43</v>
      </c>
      <c r="C307" s="1" t="s">
        <v>13</v>
      </c>
      <c r="D307" s="1" t="s">
        <v>36</v>
      </c>
      <c r="E307" s="1">
        <v>1</v>
      </c>
      <c r="F307" s="1">
        <v>332</v>
      </c>
      <c r="G307" s="1">
        <v>0</v>
      </c>
      <c r="H307" s="2">
        <v>46191</v>
      </c>
      <c r="I307" s="2">
        <v>46194</v>
      </c>
      <c r="J307" s="1" t="s">
        <v>20</v>
      </c>
      <c r="K307" s="1">
        <v>1306</v>
      </c>
    </row>
    <row r="308" spans="1:11" ht="14.4" x14ac:dyDescent="0.3">
      <c r="A308" s="1" t="s">
        <v>57</v>
      </c>
      <c r="B308" s="1" t="s">
        <v>43</v>
      </c>
      <c r="C308" s="1" t="s">
        <v>34</v>
      </c>
      <c r="D308" s="1" t="s">
        <v>35</v>
      </c>
      <c r="E308" s="1">
        <v>18</v>
      </c>
      <c r="F308" s="1">
        <v>7541</v>
      </c>
      <c r="G308" s="1">
        <v>12</v>
      </c>
      <c r="H308" s="2">
        <v>46048</v>
      </c>
      <c r="I308" s="2">
        <v>46051</v>
      </c>
      <c r="J308" s="1" t="s">
        <v>51</v>
      </c>
      <c r="K308" s="1">
        <v>1307</v>
      </c>
    </row>
    <row r="309" spans="1:11" ht="14.4" x14ac:dyDescent="0.3">
      <c r="A309" s="1" t="s">
        <v>30</v>
      </c>
      <c r="B309" s="1" t="s">
        <v>22</v>
      </c>
      <c r="C309" s="1" t="s">
        <v>34</v>
      </c>
      <c r="D309" s="1" t="s">
        <v>41</v>
      </c>
      <c r="E309" s="1">
        <v>12</v>
      </c>
      <c r="F309" s="1">
        <v>66075</v>
      </c>
      <c r="G309" s="1">
        <v>5</v>
      </c>
      <c r="H309" s="2">
        <v>46129</v>
      </c>
      <c r="I309" s="2">
        <v>46135</v>
      </c>
      <c r="J309" s="1" t="s">
        <v>20</v>
      </c>
      <c r="K309" s="1">
        <v>1308</v>
      </c>
    </row>
    <row r="310" spans="1:11" ht="14.4" hidden="1" x14ac:dyDescent="0.3">
      <c r="A310" s="1" t="s">
        <v>29</v>
      </c>
      <c r="B310" s="1" t="s">
        <v>31</v>
      </c>
      <c r="C310" s="1" t="s">
        <v>13</v>
      </c>
      <c r="D310" s="1" t="s">
        <v>50</v>
      </c>
      <c r="E310" s="1">
        <v>2</v>
      </c>
      <c r="F310" s="1">
        <v>35</v>
      </c>
      <c r="G310" s="1">
        <v>5</v>
      </c>
      <c r="H310" s="2">
        <v>46197</v>
      </c>
      <c r="I310" s="2">
        <v>46198</v>
      </c>
      <c r="J310" s="1" t="s">
        <v>24</v>
      </c>
      <c r="K310" s="1">
        <v>1309</v>
      </c>
    </row>
    <row r="311" spans="1:11" ht="14.4" hidden="1" x14ac:dyDescent="0.3">
      <c r="A311" s="1" t="s">
        <v>49</v>
      </c>
      <c r="B311" s="1" t="s">
        <v>17</v>
      </c>
      <c r="C311" s="1" t="s">
        <v>18</v>
      </c>
      <c r="D311" s="1" t="s">
        <v>56</v>
      </c>
      <c r="E311" s="1">
        <v>19</v>
      </c>
      <c r="F311" s="1">
        <v>12691</v>
      </c>
      <c r="G311" s="1">
        <v>0</v>
      </c>
      <c r="H311" s="2">
        <v>46181</v>
      </c>
      <c r="I311" s="2">
        <v>46189</v>
      </c>
      <c r="J311" s="1" t="s">
        <v>29</v>
      </c>
      <c r="K311" s="1">
        <v>1310</v>
      </c>
    </row>
    <row r="312" spans="1:11" ht="14.4" hidden="1" x14ac:dyDescent="0.3">
      <c r="A312" s="1" t="s">
        <v>55</v>
      </c>
      <c r="B312" s="1" t="s">
        <v>12</v>
      </c>
      <c r="C312" s="1" t="s">
        <v>13</v>
      </c>
      <c r="D312" s="1" t="s">
        <v>14</v>
      </c>
      <c r="E312" s="1">
        <v>2</v>
      </c>
      <c r="F312" s="1">
        <v>209</v>
      </c>
      <c r="G312" s="1">
        <v>0</v>
      </c>
      <c r="H312" s="2">
        <v>46173</v>
      </c>
      <c r="I312" s="2">
        <v>46176</v>
      </c>
      <c r="J312" s="1" t="s">
        <v>20</v>
      </c>
      <c r="K312" s="1">
        <v>1311</v>
      </c>
    </row>
    <row r="313" spans="1:11" ht="14.4" hidden="1" x14ac:dyDescent="0.3">
      <c r="A313" s="1" t="s">
        <v>57</v>
      </c>
      <c r="B313" s="1" t="s">
        <v>22</v>
      </c>
      <c r="C313" s="1" t="s">
        <v>18</v>
      </c>
      <c r="D313" s="1" t="s">
        <v>56</v>
      </c>
      <c r="E313" s="1">
        <v>20</v>
      </c>
      <c r="F313" s="1">
        <v>3274</v>
      </c>
      <c r="G313" s="1">
        <v>2</v>
      </c>
      <c r="H313" s="2">
        <v>46148</v>
      </c>
      <c r="I313" s="2">
        <v>46156</v>
      </c>
      <c r="J313" s="1" t="s">
        <v>24</v>
      </c>
      <c r="K313" s="1">
        <v>1312</v>
      </c>
    </row>
    <row r="314" spans="1:11" ht="14.4" hidden="1" x14ac:dyDescent="0.3">
      <c r="A314" s="1" t="s">
        <v>59</v>
      </c>
      <c r="B314" s="1" t="s">
        <v>22</v>
      </c>
      <c r="C314" s="1" t="s">
        <v>18</v>
      </c>
      <c r="D314" s="1" t="s">
        <v>56</v>
      </c>
      <c r="E314" s="1">
        <v>6</v>
      </c>
      <c r="F314" s="1">
        <v>10864</v>
      </c>
      <c r="G314" s="1">
        <v>10</v>
      </c>
      <c r="H314" s="2">
        <v>46041</v>
      </c>
      <c r="I314" s="2">
        <v>46049</v>
      </c>
      <c r="J314" s="1" t="s">
        <v>15</v>
      </c>
      <c r="K314" s="1">
        <v>1313</v>
      </c>
    </row>
    <row r="315" spans="1:11" ht="14.4" hidden="1" x14ac:dyDescent="0.3">
      <c r="A315" s="1" t="s">
        <v>52</v>
      </c>
      <c r="B315" s="1" t="s">
        <v>33</v>
      </c>
      <c r="C315" s="1" t="s">
        <v>18</v>
      </c>
      <c r="D315" s="1" t="s">
        <v>19</v>
      </c>
      <c r="E315" s="1">
        <v>10</v>
      </c>
      <c r="F315" s="1">
        <v>6328</v>
      </c>
      <c r="G315" s="1">
        <v>2</v>
      </c>
      <c r="H315" s="2">
        <v>46196</v>
      </c>
      <c r="I315" s="2">
        <v>46197</v>
      </c>
      <c r="J315" s="1" t="s">
        <v>29</v>
      </c>
      <c r="K315" s="1">
        <v>1314</v>
      </c>
    </row>
    <row r="316" spans="1:11" ht="14.4" x14ac:dyDescent="0.3">
      <c r="A316" s="1" t="s">
        <v>49</v>
      </c>
      <c r="B316" s="1" t="s">
        <v>31</v>
      </c>
      <c r="C316" s="1" t="s">
        <v>34</v>
      </c>
      <c r="D316" s="1" t="s">
        <v>41</v>
      </c>
      <c r="E316" s="1">
        <v>14</v>
      </c>
      <c r="F316" s="1">
        <v>57670</v>
      </c>
      <c r="G316" s="1">
        <v>2</v>
      </c>
      <c r="H316" s="2">
        <v>46186</v>
      </c>
      <c r="I316" s="2">
        <v>46196</v>
      </c>
      <c r="J316" s="1" t="s">
        <v>15</v>
      </c>
      <c r="K316" s="1">
        <v>1315</v>
      </c>
    </row>
    <row r="317" spans="1:11" ht="14.4" hidden="1" x14ac:dyDescent="0.3">
      <c r="A317" s="1" t="s">
        <v>46</v>
      </c>
      <c r="B317" s="1" t="s">
        <v>12</v>
      </c>
      <c r="C317" s="1" t="s">
        <v>18</v>
      </c>
      <c r="D317" s="1" t="s">
        <v>28</v>
      </c>
      <c r="E317" s="1">
        <v>7</v>
      </c>
      <c r="F317" s="1">
        <v>9838</v>
      </c>
      <c r="G317" s="1">
        <v>7</v>
      </c>
      <c r="H317" s="2">
        <v>46078</v>
      </c>
      <c r="I317" s="2">
        <v>46085</v>
      </c>
      <c r="J317" s="1" t="s">
        <v>20</v>
      </c>
      <c r="K317" s="1">
        <v>1316</v>
      </c>
    </row>
    <row r="318" spans="1:11" ht="14.4" x14ac:dyDescent="0.3">
      <c r="A318" s="1" t="s">
        <v>59</v>
      </c>
      <c r="B318" s="1" t="s">
        <v>33</v>
      </c>
      <c r="C318" s="1" t="s">
        <v>34</v>
      </c>
      <c r="D318" s="1" t="s">
        <v>41</v>
      </c>
      <c r="E318" s="1">
        <v>7</v>
      </c>
      <c r="F318" s="1">
        <v>67339</v>
      </c>
      <c r="G318" s="1">
        <v>5</v>
      </c>
      <c r="H318" s="2">
        <v>46159</v>
      </c>
      <c r="I318" s="2">
        <v>46169</v>
      </c>
      <c r="J318" s="1" t="s">
        <v>51</v>
      </c>
      <c r="K318" s="1">
        <v>1317</v>
      </c>
    </row>
    <row r="319" spans="1:11" ht="14.4" hidden="1" x14ac:dyDescent="0.3">
      <c r="A319" s="1" t="s">
        <v>11</v>
      </c>
      <c r="B319" s="1" t="s">
        <v>43</v>
      </c>
      <c r="C319" s="1" t="s">
        <v>13</v>
      </c>
      <c r="D319" s="1" t="s">
        <v>50</v>
      </c>
      <c r="E319" s="1">
        <v>4</v>
      </c>
      <c r="F319" s="1">
        <v>38</v>
      </c>
      <c r="G319" s="1">
        <v>12</v>
      </c>
      <c r="H319" s="2">
        <v>46169</v>
      </c>
      <c r="I319" s="2">
        <v>46175</v>
      </c>
      <c r="J319" s="1" t="s">
        <v>29</v>
      </c>
      <c r="K319" s="1">
        <v>1318</v>
      </c>
    </row>
    <row r="320" spans="1:11" ht="14.4" x14ac:dyDescent="0.3">
      <c r="A320" s="1" t="s">
        <v>21</v>
      </c>
      <c r="B320" s="1" t="s">
        <v>17</v>
      </c>
      <c r="C320" s="1" t="s">
        <v>34</v>
      </c>
      <c r="D320" s="1" t="s">
        <v>61</v>
      </c>
      <c r="E320" s="1">
        <v>17</v>
      </c>
      <c r="F320" s="1">
        <v>58407</v>
      </c>
      <c r="G320" s="1">
        <v>7</v>
      </c>
      <c r="H320" s="2">
        <v>46094</v>
      </c>
      <c r="I320" s="2">
        <v>46102</v>
      </c>
      <c r="J320" s="1" t="s">
        <v>15</v>
      </c>
      <c r="K320" s="1">
        <v>1319</v>
      </c>
    </row>
    <row r="321" spans="1:11" ht="14.4" hidden="1" x14ac:dyDescent="0.3">
      <c r="A321" s="1" t="s">
        <v>47</v>
      </c>
      <c r="B321" s="1" t="s">
        <v>38</v>
      </c>
      <c r="C321" s="1" t="s">
        <v>13</v>
      </c>
      <c r="D321" s="1" t="s">
        <v>36</v>
      </c>
      <c r="E321" s="1">
        <v>20</v>
      </c>
      <c r="F321" s="1">
        <v>55</v>
      </c>
      <c r="G321" s="1">
        <v>7</v>
      </c>
      <c r="H321" s="2">
        <v>46183</v>
      </c>
      <c r="I321" s="2">
        <v>46186</v>
      </c>
      <c r="J321" s="1" t="s">
        <v>20</v>
      </c>
      <c r="K321" s="1">
        <v>1320</v>
      </c>
    </row>
    <row r="322" spans="1:11" ht="14.4" hidden="1" x14ac:dyDescent="0.3">
      <c r="A322" s="1" t="s">
        <v>32</v>
      </c>
      <c r="B322" s="1" t="s">
        <v>22</v>
      </c>
      <c r="C322" s="1" t="s">
        <v>18</v>
      </c>
      <c r="D322" s="1" t="s">
        <v>19</v>
      </c>
      <c r="E322" s="1">
        <v>8</v>
      </c>
      <c r="F322" s="1">
        <v>5619</v>
      </c>
      <c r="G322" s="1">
        <v>7</v>
      </c>
      <c r="H322" s="2">
        <v>46107</v>
      </c>
      <c r="I322" s="2">
        <v>46109</v>
      </c>
      <c r="J322" s="1" t="s">
        <v>51</v>
      </c>
      <c r="K322" s="1">
        <v>1321</v>
      </c>
    </row>
    <row r="323" spans="1:11" ht="14.4" hidden="1" x14ac:dyDescent="0.3">
      <c r="A323" s="1" t="s">
        <v>27</v>
      </c>
      <c r="B323" s="1" t="s">
        <v>12</v>
      </c>
      <c r="C323" s="1" t="s">
        <v>18</v>
      </c>
      <c r="D323" s="1" t="s">
        <v>23</v>
      </c>
      <c r="E323" s="1">
        <v>14</v>
      </c>
      <c r="F323" s="1">
        <v>9081</v>
      </c>
      <c r="G323" s="1">
        <v>15</v>
      </c>
      <c r="H323" s="2">
        <v>46141</v>
      </c>
      <c r="I323" s="2">
        <v>46146</v>
      </c>
      <c r="J323" s="1" t="s">
        <v>15</v>
      </c>
      <c r="K323" s="1">
        <v>1322</v>
      </c>
    </row>
    <row r="324" spans="1:11" ht="14.4" x14ac:dyDescent="0.3">
      <c r="A324" s="1" t="s">
        <v>57</v>
      </c>
      <c r="B324" s="1" t="s">
        <v>38</v>
      </c>
      <c r="C324" s="1" t="s">
        <v>34</v>
      </c>
      <c r="D324" s="1" t="s">
        <v>61</v>
      </c>
      <c r="E324" s="1">
        <v>2</v>
      </c>
      <c r="F324" s="1">
        <v>32074</v>
      </c>
      <c r="G324" s="1">
        <v>10</v>
      </c>
      <c r="H324" s="2">
        <v>46073</v>
      </c>
      <c r="I324" s="2">
        <v>46078</v>
      </c>
      <c r="J324" s="1" t="s">
        <v>15</v>
      </c>
      <c r="K324" s="1">
        <v>1323</v>
      </c>
    </row>
    <row r="325" spans="1:11" ht="14.4" hidden="1" x14ac:dyDescent="0.3">
      <c r="A325" s="1" t="s">
        <v>32</v>
      </c>
      <c r="B325" s="1" t="s">
        <v>22</v>
      </c>
      <c r="C325" s="1" t="s">
        <v>18</v>
      </c>
      <c r="D325" s="1" t="s">
        <v>19</v>
      </c>
      <c r="E325" s="1">
        <v>1</v>
      </c>
      <c r="F325" s="1">
        <v>4286</v>
      </c>
      <c r="G325" s="1">
        <v>15</v>
      </c>
      <c r="H325" s="2">
        <v>46053</v>
      </c>
      <c r="I325" s="2">
        <v>46056</v>
      </c>
      <c r="J325" s="1" t="s">
        <v>20</v>
      </c>
      <c r="K325" s="1">
        <v>1324</v>
      </c>
    </row>
    <row r="326" spans="1:11" ht="14.4" x14ac:dyDescent="0.3">
      <c r="A326" s="1" t="s">
        <v>48</v>
      </c>
      <c r="B326" s="1" t="s">
        <v>43</v>
      </c>
      <c r="C326" s="1" t="s">
        <v>34</v>
      </c>
      <c r="D326" s="1" t="s">
        <v>39</v>
      </c>
      <c r="E326" s="1">
        <v>9</v>
      </c>
      <c r="F326" s="1">
        <v>58442</v>
      </c>
      <c r="G326" s="1">
        <v>12</v>
      </c>
      <c r="H326" s="2">
        <v>46076</v>
      </c>
      <c r="I326" s="2">
        <v>46085</v>
      </c>
      <c r="J326" s="1" t="s">
        <v>20</v>
      </c>
      <c r="K326" s="1">
        <v>1325</v>
      </c>
    </row>
    <row r="327" spans="1:11" ht="14.4" hidden="1" x14ac:dyDescent="0.3">
      <c r="A327" s="1" t="s">
        <v>26</v>
      </c>
      <c r="B327" s="1" t="s">
        <v>17</v>
      </c>
      <c r="C327" s="1" t="s">
        <v>18</v>
      </c>
      <c r="D327" s="1" t="s">
        <v>44</v>
      </c>
      <c r="E327" s="1">
        <v>18</v>
      </c>
      <c r="F327" s="1">
        <v>1830</v>
      </c>
      <c r="G327" s="1">
        <v>10</v>
      </c>
      <c r="H327" s="2">
        <v>46165</v>
      </c>
      <c r="I327" s="2">
        <v>46172</v>
      </c>
      <c r="J327" s="1" t="s">
        <v>15</v>
      </c>
      <c r="K327" s="1">
        <v>1326</v>
      </c>
    </row>
    <row r="328" spans="1:11" ht="14.4" hidden="1" x14ac:dyDescent="0.3">
      <c r="A328" s="1" t="s">
        <v>48</v>
      </c>
      <c r="B328" s="1" t="s">
        <v>12</v>
      </c>
      <c r="C328" s="1" t="s">
        <v>13</v>
      </c>
      <c r="D328" s="1" t="s">
        <v>53</v>
      </c>
      <c r="E328" s="1">
        <v>15</v>
      </c>
      <c r="F328" s="1">
        <v>449</v>
      </c>
      <c r="G328" s="1">
        <v>5</v>
      </c>
      <c r="H328" s="2">
        <v>46152</v>
      </c>
      <c r="I328" s="2">
        <v>46153</v>
      </c>
      <c r="J328" s="1" t="s">
        <v>15</v>
      </c>
      <c r="K328" s="1">
        <v>1327</v>
      </c>
    </row>
    <row r="329" spans="1:11" ht="14.4" hidden="1" x14ac:dyDescent="0.3">
      <c r="A329" s="1" t="s">
        <v>16</v>
      </c>
      <c r="B329" s="1" t="s">
        <v>38</v>
      </c>
      <c r="C329" s="1" t="s">
        <v>13</v>
      </c>
      <c r="D329" s="1" t="s">
        <v>36</v>
      </c>
      <c r="E329" s="1">
        <v>4</v>
      </c>
      <c r="F329" s="1">
        <v>132</v>
      </c>
      <c r="G329" s="1">
        <v>0</v>
      </c>
      <c r="H329" s="2">
        <v>46109</v>
      </c>
      <c r="I329" s="2">
        <v>46114</v>
      </c>
      <c r="J329" s="1" t="s">
        <v>29</v>
      </c>
      <c r="K329" s="1">
        <v>1328</v>
      </c>
    </row>
    <row r="330" spans="1:11" ht="14.4" hidden="1" x14ac:dyDescent="0.3">
      <c r="A330" s="1" t="s">
        <v>30</v>
      </c>
      <c r="B330" s="1" t="s">
        <v>43</v>
      </c>
      <c r="C330" s="1" t="s">
        <v>13</v>
      </c>
      <c r="D330" s="1" t="s">
        <v>53</v>
      </c>
      <c r="E330" s="1">
        <v>18</v>
      </c>
      <c r="F330" s="1">
        <v>227</v>
      </c>
      <c r="G330" s="1">
        <v>5</v>
      </c>
      <c r="H330" s="2">
        <v>46126</v>
      </c>
      <c r="I330" s="2">
        <v>46136</v>
      </c>
      <c r="J330" s="1" t="s">
        <v>29</v>
      </c>
      <c r="K330" s="1">
        <v>1329</v>
      </c>
    </row>
    <row r="331" spans="1:11" ht="14.4" hidden="1" x14ac:dyDescent="0.3">
      <c r="A331" s="1" t="s">
        <v>49</v>
      </c>
      <c r="B331" s="1" t="s">
        <v>17</v>
      </c>
      <c r="C331" s="1" t="s">
        <v>18</v>
      </c>
      <c r="D331" s="1" t="s">
        <v>19</v>
      </c>
      <c r="E331" s="1">
        <v>13</v>
      </c>
      <c r="F331" s="1">
        <v>12071</v>
      </c>
      <c r="G331" s="1">
        <v>0</v>
      </c>
      <c r="H331" s="2">
        <v>46032</v>
      </c>
      <c r="I331" s="2">
        <v>46036</v>
      </c>
      <c r="J331" s="1" t="s">
        <v>51</v>
      </c>
      <c r="K331" s="1">
        <v>1330</v>
      </c>
    </row>
    <row r="332" spans="1:11" ht="14.4" x14ac:dyDescent="0.3">
      <c r="A332" s="1" t="s">
        <v>21</v>
      </c>
      <c r="B332" s="1" t="s">
        <v>25</v>
      </c>
      <c r="C332" s="1" t="s">
        <v>34</v>
      </c>
      <c r="D332" s="1" t="s">
        <v>61</v>
      </c>
      <c r="E332" s="1">
        <v>2</v>
      </c>
      <c r="F332" s="1">
        <v>43557</v>
      </c>
      <c r="G332" s="1">
        <v>2</v>
      </c>
      <c r="H332" s="2">
        <v>46190</v>
      </c>
      <c r="I332" s="2">
        <v>46200</v>
      </c>
      <c r="J332" s="1" t="s">
        <v>15</v>
      </c>
      <c r="K332" s="1">
        <v>1331</v>
      </c>
    </row>
    <row r="333" spans="1:11" ht="14.4" hidden="1" x14ac:dyDescent="0.3">
      <c r="A333" s="1" t="s">
        <v>29</v>
      </c>
      <c r="B333" s="1" t="s">
        <v>43</v>
      </c>
      <c r="C333" s="1" t="s">
        <v>13</v>
      </c>
      <c r="D333" s="1" t="s">
        <v>50</v>
      </c>
      <c r="E333" s="1">
        <v>7</v>
      </c>
      <c r="F333" s="1">
        <v>439</v>
      </c>
      <c r="G333" s="1">
        <v>2</v>
      </c>
      <c r="H333" s="2">
        <v>46154</v>
      </c>
      <c r="I333" s="2">
        <v>46157</v>
      </c>
      <c r="J333" s="1" t="s">
        <v>15</v>
      </c>
      <c r="K333" s="1">
        <v>1332</v>
      </c>
    </row>
    <row r="334" spans="1:11" ht="14.4" hidden="1" x14ac:dyDescent="0.3">
      <c r="A334" s="1" t="s">
        <v>29</v>
      </c>
      <c r="B334" s="1" t="s">
        <v>38</v>
      </c>
      <c r="C334" s="1" t="s">
        <v>13</v>
      </c>
      <c r="D334" s="1" t="s">
        <v>53</v>
      </c>
      <c r="E334" s="1">
        <v>20</v>
      </c>
      <c r="F334" s="1">
        <v>416</v>
      </c>
      <c r="G334" s="1">
        <v>12</v>
      </c>
      <c r="H334" s="2">
        <v>46145</v>
      </c>
      <c r="I334" s="2">
        <v>46146</v>
      </c>
      <c r="J334" s="1" t="s">
        <v>51</v>
      </c>
      <c r="K334" s="1">
        <v>1333</v>
      </c>
    </row>
    <row r="335" spans="1:11" ht="14.4" x14ac:dyDescent="0.3">
      <c r="A335" s="1" t="s">
        <v>40</v>
      </c>
      <c r="B335" s="1" t="s">
        <v>12</v>
      </c>
      <c r="C335" s="1" t="s">
        <v>34</v>
      </c>
      <c r="D335" s="1" t="s">
        <v>41</v>
      </c>
      <c r="E335" s="1">
        <v>15</v>
      </c>
      <c r="F335" s="1">
        <v>39853</v>
      </c>
      <c r="G335" s="1">
        <v>7</v>
      </c>
      <c r="H335" s="2">
        <v>46038</v>
      </c>
      <c r="I335" s="2">
        <v>46047</v>
      </c>
      <c r="J335" s="1" t="s">
        <v>51</v>
      </c>
      <c r="K335" s="1">
        <v>1334</v>
      </c>
    </row>
    <row r="336" spans="1:11" ht="14.4" hidden="1" x14ac:dyDescent="0.3">
      <c r="A336" s="1" t="s">
        <v>47</v>
      </c>
      <c r="B336" s="1" t="s">
        <v>17</v>
      </c>
      <c r="C336" s="1" t="s">
        <v>18</v>
      </c>
      <c r="D336" s="1" t="s">
        <v>19</v>
      </c>
      <c r="E336" s="1">
        <v>9</v>
      </c>
      <c r="F336" s="1">
        <v>1495</v>
      </c>
      <c r="G336" s="1">
        <v>12</v>
      </c>
      <c r="H336" s="2">
        <v>46168</v>
      </c>
      <c r="I336" s="2">
        <v>46173</v>
      </c>
      <c r="J336" s="1" t="s">
        <v>15</v>
      </c>
      <c r="K336" s="1">
        <v>1335</v>
      </c>
    </row>
    <row r="337" spans="1:11" ht="14.4" hidden="1" x14ac:dyDescent="0.3">
      <c r="A337" s="1" t="s">
        <v>16</v>
      </c>
      <c r="B337" s="1" t="s">
        <v>25</v>
      </c>
      <c r="C337" s="1" t="s">
        <v>18</v>
      </c>
      <c r="D337" s="1" t="s">
        <v>56</v>
      </c>
      <c r="E337" s="1">
        <v>10</v>
      </c>
      <c r="F337" s="1">
        <v>5624</v>
      </c>
      <c r="G337" s="1">
        <v>0</v>
      </c>
      <c r="H337" s="2">
        <v>46086</v>
      </c>
      <c r="I337" s="2">
        <v>46092</v>
      </c>
      <c r="J337" s="1" t="s">
        <v>29</v>
      </c>
      <c r="K337" s="1">
        <v>1336</v>
      </c>
    </row>
    <row r="338" spans="1:11" ht="14.4" hidden="1" x14ac:dyDescent="0.3">
      <c r="A338" s="1" t="s">
        <v>16</v>
      </c>
      <c r="B338" s="1" t="s">
        <v>12</v>
      </c>
      <c r="C338" s="1" t="s">
        <v>13</v>
      </c>
      <c r="D338" s="1" t="s">
        <v>53</v>
      </c>
      <c r="E338" s="1">
        <v>14</v>
      </c>
      <c r="F338" s="1">
        <v>373</v>
      </c>
      <c r="G338" s="1">
        <v>10</v>
      </c>
      <c r="H338" s="2">
        <v>46074</v>
      </c>
      <c r="I338" s="2">
        <v>46080</v>
      </c>
      <c r="J338" s="1" t="s">
        <v>29</v>
      </c>
      <c r="K338" s="1">
        <v>1337</v>
      </c>
    </row>
    <row r="339" spans="1:11" ht="14.4" x14ac:dyDescent="0.3">
      <c r="A339" s="1" t="s">
        <v>59</v>
      </c>
      <c r="B339" s="1" t="s">
        <v>25</v>
      </c>
      <c r="C339" s="1" t="s">
        <v>34</v>
      </c>
      <c r="D339" s="1" t="s">
        <v>60</v>
      </c>
      <c r="E339" s="1">
        <v>10</v>
      </c>
      <c r="F339" s="1">
        <v>16719</v>
      </c>
      <c r="G339" s="1">
        <v>5</v>
      </c>
      <c r="H339" s="2">
        <v>46177</v>
      </c>
      <c r="I339" s="2">
        <v>46179</v>
      </c>
      <c r="J339" s="1" t="s">
        <v>15</v>
      </c>
      <c r="K339" s="1">
        <v>1338</v>
      </c>
    </row>
    <row r="340" spans="1:11" ht="14.4" hidden="1" x14ac:dyDescent="0.3">
      <c r="A340" s="1" t="s">
        <v>32</v>
      </c>
      <c r="B340" s="1" t="s">
        <v>25</v>
      </c>
      <c r="C340" s="1" t="s">
        <v>13</v>
      </c>
      <c r="D340" s="1" t="s">
        <v>14</v>
      </c>
      <c r="E340" s="1">
        <v>6</v>
      </c>
      <c r="F340" s="1">
        <v>302</v>
      </c>
      <c r="G340" s="1">
        <v>5</v>
      </c>
      <c r="H340" s="2">
        <v>46142</v>
      </c>
      <c r="I340" s="2">
        <v>46148</v>
      </c>
      <c r="J340" s="1" t="s">
        <v>20</v>
      </c>
      <c r="K340" s="1">
        <v>1339</v>
      </c>
    </row>
    <row r="341" spans="1:11" ht="14.4" hidden="1" x14ac:dyDescent="0.3">
      <c r="A341" s="1" t="s">
        <v>48</v>
      </c>
      <c r="B341" s="1" t="s">
        <v>17</v>
      </c>
      <c r="C341" s="1" t="s">
        <v>18</v>
      </c>
      <c r="D341" s="1" t="s">
        <v>19</v>
      </c>
      <c r="E341" s="1">
        <v>12</v>
      </c>
      <c r="F341" s="1">
        <v>3857</v>
      </c>
      <c r="G341" s="1">
        <v>12</v>
      </c>
      <c r="H341" s="2">
        <v>46196</v>
      </c>
      <c r="I341" s="2">
        <v>46198</v>
      </c>
      <c r="J341" s="1" t="s">
        <v>51</v>
      </c>
      <c r="K341" s="1">
        <v>1340</v>
      </c>
    </row>
    <row r="342" spans="1:11" ht="14.4" hidden="1" x14ac:dyDescent="0.3">
      <c r="A342" s="1" t="s">
        <v>57</v>
      </c>
      <c r="B342" s="1" t="s">
        <v>38</v>
      </c>
      <c r="C342" s="1" t="s">
        <v>18</v>
      </c>
      <c r="D342" s="1" t="s">
        <v>19</v>
      </c>
      <c r="E342" s="1">
        <v>19</v>
      </c>
      <c r="F342" s="1">
        <v>6488</v>
      </c>
      <c r="G342" s="1">
        <v>15</v>
      </c>
      <c r="H342" s="2">
        <v>46026</v>
      </c>
      <c r="I342" s="2">
        <v>46030</v>
      </c>
      <c r="J342" s="1" t="s">
        <v>20</v>
      </c>
      <c r="K342" s="1">
        <v>1341</v>
      </c>
    </row>
    <row r="343" spans="1:11" ht="14.4" x14ac:dyDescent="0.3">
      <c r="A343" s="1" t="s">
        <v>59</v>
      </c>
      <c r="B343" s="1" t="s">
        <v>31</v>
      </c>
      <c r="C343" s="1" t="s">
        <v>34</v>
      </c>
      <c r="D343" s="1" t="s">
        <v>35</v>
      </c>
      <c r="E343" s="1">
        <v>13</v>
      </c>
      <c r="F343" s="1">
        <v>47881</v>
      </c>
      <c r="G343" s="1">
        <v>15</v>
      </c>
      <c r="H343" s="2">
        <v>46132</v>
      </c>
      <c r="I343" s="2">
        <v>46139</v>
      </c>
      <c r="J343" s="1" t="s">
        <v>29</v>
      </c>
      <c r="K343" s="1">
        <v>1342</v>
      </c>
    </row>
    <row r="344" spans="1:11" ht="14.4" x14ac:dyDescent="0.3">
      <c r="A344" s="1" t="s">
        <v>59</v>
      </c>
      <c r="B344" s="1" t="s">
        <v>31</v>
      </c>
      <c r="C344" s="1" t="s">
        <v>34</v>
      </c>
      <c r="D344" s="1" t="s">
        <v>39</v>
      </c>
      <c r="E344" s="1">
        <v>14</v>
      </c>
      <c r="F344" s="1">
        <v>32719</v>
      </c>
      <c r="G344" s="1">
        <v>15</v>
      </c>
      <c r="H344" s="2">
        <v>46174</v>
      </c>
      <c r="I344" s="2">
        <v>46179</v>
      </c>
      <c r="J344" s="1" t="s">
        <v>15</v>
      </c>
      <c r="K344" s="1">
        <v>1343</v>
      </c>
    </row>
    <row r="345" spans="1:11" ht="14.4" hidden="1" x14ac:dyDescent="0.3">
      <c r="A345" s="1" t="s">
        <v>30</v>
      </c>
      <c r="B345" s="1" t="s">
        <v>17</v>
      </c>
      <c r="C345" s="1" t="s">
        <v>13</v>
      </c>
      <c r="D345" s="1" t="s">
        <v>53</v>
      </c>
      <c r="E345" s="1">
        <v>18</v>
      </c>
      <c r="F345" s="1">
        <v>240</v>
      </c>
      <c r="G345" s="1">
        <v>10</v>
      </c>
      <c r="H345" s="2">
        <v>46155</v>
      </c>
      <c r="I345" s="2">
        <v>46156</v>
      </c>
      <c r="J345" s="1" t="s">
        <v>24</v>
      </c>
      <c r="K345" s="1">
        <v>1344</v>
      </c>
    </row>
    <row r="346" spans="1:11" ht="14.4" x14ac:dyDescent="0.3">
      <c r="A346" s="1" t="s">
        <v>32</v>
      </c>
      <c r="B346" s="1" t="s">
        <v>12</v>
      </c>
      <c r="C346" s="1" t="s">
        <v>34</v>
      </c>
      <c r="D346" s="1" t="s">
        <v>45</v>
      </c>
      <c r="E346" s="1">
        <v>12</v>
      </c>
      <c r="F346" s="1">
        <v>50544</v>
      </c>
      <c r="G346" s="1">
        <v>10</v>
      </c>
      <c r="H346" s="2">
        <v>46095</v>
      </c>
      <c r="I346" s="2">
        <v>46097</v>
      </c>
      <c r="J346" s="1" t="s">
        <v>29</v>
      </c>
      <c r="K346" s="1">
        <v>1345</v>
      </c>
    </row>
    <row r="347" spans="1:11" ht="14.4" hidden="1" x14ac:dyDescent="0.3">
      <c r="A347" s="1" t="s">
        <v>32</v>
      </c>
      <c r="B347" s="1" t="s">
        <v>22</v>
      </c>
      <c r="C347" s="1" t="s">
        <v>18</v>
      </c>
      <c r="D347" s="1" t="s">
        <v>19</v>
      </c>
      <c r="E347" s="1">
        <v>16</v>
      </c>
      <c r="F347" s="1">
        <v>6910</v>
      </c>
      <c r="G347" s="1">
        <v>15</v>
      </c>
      <c r="H347" s="2">
        <v>46140</v>
      </c>
      <c r="I347" s="2">
        <v>46142</v>
      </c>
      <c r="J347" s="1" t="s">
        <v>29</v>
      </c>
      <c r="K347" s="1">
        <v>1346</v>
      </c>
    </row>
    <row r="348" spans="1:11" ht="14.4" x14ac:dyDescent="0.3">
      <c r="A348" s="1" t="s">
        <v>29</v>
      </c>
      <c r="B348" s="1" t="s">
        <v>22</v>
      </c>
      <c r="C348" s="1" t="s">
        <v>34</v>
      </c>
      <c r="D348" s="1" t="s">
        <v>35</v>
      </c>
      <c r="E348" s="1">
        <v>16</v>
      </c>
      <c r="F348" s="1">
        <v>6034</v>
      </c>
      <c r="G348" s="1">
        <v>15</v>
      </c>
      <c r="H348" s="2">
        <v>46037</v>
      </c>
      <c r="I348" s="2">
        <v>46044</v>
      </c>
      <c r="J348" s="1" t="s">
        <v>24</v>
      </c>
      <c r="K348" s="1">
        <v>1347</v>
      </c>
    </row>
    <row r="349" spans="1:11" ht="14.4" hidden="1" x14ac:dyDescent="0.3">
      <c r="A349" s="1" t="s">
        <v>11</v>
      </c>
      <c r="B349" s="1" t="s">
        <v>33</v>
      </c>
      <c r="C349" s="1" t="s">
        <v>13</v>
      </c>
      <c r="D349" s="1" t="s">
        <v>50</v>
      </c>
      <c r="E349" s="1">
        <v>12</v>
      </c>
      <c r="F349" s="1">
        <v>244</v>
      </c>
      <c r="G349" s="1">
        <v>7</v>
      </c>
      <c r="H349" s="2">
        <v>46048</v>
      </c>
      <c r="I349" s="2">
        <v>46053</v>
      </c>
      <c r="J349" s="1" t="s">
        <v>15</v>
      </c>
      <c r="K349" s="1">
        <v>1348</v>
      </c>
    </row>
    <row r="350" spans="1:11" ht="14.4" x14ac:dyDescent="0.3">
      <c r="A350" s="1" t="s">
        <v>40</v>
      </c>
      <c r="B350" s="1" t="s">
        <v>33</v>
      </c>
      <c r="C350" s="1" t="s">
        <v>34</v>
      </c>
      <c r="D350" s="1" t="s">
        <v>35</v>
      </c>
      <c r="E350" s="1">
        <v>20</v>
      </c>
      <c r="F350" s="1">
        <v>62721</v>
      </c>
      <c r="G350" s="1">
        <v>7</v>
      </c>
      <c r="H350" s="2">
        <v>46079</v>
      </c>
      <c r="I350" s="2">
        <v>46083</v>
      </c>
      <c r="J350" s="1" t="s">
        <v>20</v>
      </c>
      <c r="K350" s="1">
        <v>1349</v>
      </c>
    </row>
    <row r="351" spans="1:11" ht="14.4" hidden="1" x14ac:dyDescent="0.3">
      <c r="A351" s="1" t="s">
        <v>26</v>
      </c>
      <c r="B351" s="1" t="s">
        <v>43</v>
      </c>
      <c r="C351" s="1" t="s">
        <v>18</v>
      </c>
      <c r="D351" s="1" t="s">
        <v>28</v>
      </c>
      <c r="E351" s="1">
        <v>16</v>
      </c>
      <c r="F351" s="1">
        <v>11790</v>
      </c>
      <c r="G351" s="1">
        <v>12</v>
      </c>
      <c r="H351" s="2">
        <v>46185</v>
      </c>
      <c r="I351" s="2">
        <v>46190</v>
      </c>
      <c r="J351" s="1" t="s">
        <v>29</v>
      </c>
      <c r="K351" s="1">
        <v>1350</v>
      </c>
    </row>
    <row r="352" spans="1:11" ht="14.4" x14ac:dyDescent="0.3">
      <c r="A352" s="1" t="s">
        <v>42</v>
      </c>
      <c r="B352" s="1" t="s">
        <v>33</v>
      </c>
      <c r="C352" s="1" t="s">
        <v>34</v>
      </c>
      <c r="D352" s="1" t="s">
        <v>45</v>
      </c>
      <c r="E352" s="1">
        <v>12</v>
      </c>
      <c r="F352" s="1">
        <v>1272</v>
      </c>
      <c r="G352" s="1">
        <v>0</v>
      </c>
      <c r="H352" s="2">
        <v>46026</v>
      </c>
      <c r="I352" s="2">
        <v>46029</v>
      </c>
      <c r="J352" s="1" t="s">
        <v>15</v>
      </c>
      <c r="K352" s="1">
        <v>1351</v>
      </c>
    </row>
    <row r="353" spans="1:11" ht="14.4" hidden="1" x14ac:dyDescent="0.3">
      <c r="A353" s="1" t="s">
        <v>54</v>
      </c>
      <c r="B353" s="1" t="s">
        <v>22</v>
      </c>
      <c r="C353" s="1" t="s">
        <v>13</v>
      </c>
      <c r="D353" s="1" t="s">
        <v>14</v>
      </c>
      <c r="E353" s="1">
        <v>12</v>
      </c>
      <c r="F353" s="1">
        <v>203</v>
      </c>
      <c r="G353" s="1">
        <v>5</v>
      </c>
      <c r="H353" s="2">
        <v>46024</v>
      </c>
      <c r="I353" s="2">
        <v>46033</v>
      </c>
      <c r="J353" s="1" t="s">
        <v>15</v>
      </c>
      <c r="K353" s="1">
        <v>1352</v>
      </c>
    </row>
    <row r="354" spans="1:11" ht="14.4" hidden="1" x14ac:dyDescent="0.3">
      <c r="A354" s="1" t="s">
        <v>47</v>
      </c>
      <c r="B354" s="1" t="s">
        <v>43</v>
      </c>
      <c r="C354" s="1" t="s">
        <v>13</v>
      </c>
      <c r="D354" s="1" t="s">
        <v>14</v>
      </c>
      <c r="E354" s="1">
        <v>6</v>
      </c>
      <c r="F354" s="1">
        <v>495</v>
      </c>
      <c r="G354" s="1">
        <v>2</v>
      </c>
      <c r="H354" s="2">
        <v>46194</v>
      </c>
      <c r="I354" s="2">
        <v>46200</v>
      </c>
      <c r="J354" s="1" t="s">
        <v>24</v>
      </c>
      <c r="K354" s="1">
        <v>1353</v>
      </c>
    </row>
    <row r="355" spans="1:11" ht="14.4" x14ac:dyDescent="0.3">
      <c r="A355" s="1" t="s">
        <v>47</v>
      </c>
      <c r="B355" s="1" t="s">
        <v>43</v>
      </c>
      <c r="C355" s="1" t="s">
        <v>34</v>
      </c>
      <c r="D355" s="1" t="s">
        <v>35</v>
      </c>
      <c r="E355" s="1">
        <v>15</v>
      </c>
      <c r="F355" s="1">
        <v>14927</v>
      </c>
      <c r="G355" s="1">
        <v>15</v>
      </c>
      <c r="H355" s="2">
        <v>46118</v>
      </c>
      <c r="I355" s="2">
        <v>46120</v>
      </c>
      <c r="J355" s="1" t="s">
        <v>51</v>
      </c>
      <c r="K355" s="1">
        <v>1354</v>
      </c>
    </row>
    <row r="356" spans="1:11" ht="14.4" x14ac:dyDescent="0.3">
      <c r="A356" s="1" t="s">
        <v>27</v>
      </c>
      <c r="B356" s="1" t="s">
        <v>12</v>
      </c>
      <c r="C356" s="1" t="s">
        <v>34</v>
      </c>
      <c r="D356" s="1" t="s">
        <v>60</v>
      </c>
      <c r="E356" s="1">
        <v>18</v>
      </c>
      <c r="F356" s="1">
        <v>35997</v>
      </c>
      <c r="G356" s="1">
        <v>2</v>
      </c>
      <c r="H356" s="2">
        <v>46024</v>
      </c>
      <c r="I356" s="2">
        <v>46031</v>
      </c>
      <c r="J356" s="1" t="s">
        <v>51</v>
      </c>
      <c r="K356" s="1">
        <v>1355</v>
      </c>
    </row>
    <row r="357" spans="1:11" ht="14.4" x14ac:dyDescent="0.3">
      <c r="A357" s="1" t="s">
        <v>26</v>
      </c>
      <c r="B357" s="1" t="s">
        <v>38</v>
      </c>
      <c r="C357" s="1" t="s">
        <v>34</v>
      </c>
      <c r="D357" s="1" t="s">
        <v>60</v>
      </c>
      <c r="E357" s="1">
        <v>16</v>
      </c>
      <c r="F357" s="1">
        <v>53457</v>
      </c>
      <c r="G357" s="1">
        <v>10</v>
      </c>
      <c r="H357" s="2">
        <v>46201</v>
      </c>
      <c r="I357" s="2">
        <v>46204</v>
      </c>
      <c r="J357" s="1" t="s">
        <v>15</v>
      </c>
      <c r="K357" s="1">
        <v>1356</v>
      </c>
    </row>
    <row r="358" spans="1:11" ht="14.4" hidden="1" x14ac:dyDescent="0.3">
      <c r="A358" s="1" t="s">
        <v>59</v>
      </c>
      <c r="B358" s="1" t="s">
        <v>25</v>
      </c>
      <c r="C358" s="1" t="s">
        <v>13</v>
      </c>
      <c r="D358" s="1" t="s">
        <v>37</v>
      </c>
      <c r="E358" s="1">
        <v>6</v>
      </c>
      <c r="F358" s="1">
        <v>365</v>
      </c>
      <c r="G358" s="1">
        <v>7</v>
      </c>
      <c r="H358" s="2">
        <v>46133</v>
      </c>
      <c r="I358" s="2">
        <v>46140</v>
      </c>
      <c r="J358" s="1" t="s">
        <v>51</v>
      </c>
      <c r="K358" s="1">
        <v>1357</v>
      </c>
    </row>
    <row r="359" spans="1:11" ht="14.4" hidden="1" x14ac:dyDescent="0.3">
      <c r="A359" s="1" t="s">
        <v>40</v>
      </c>
      <c r="B359" s="1" t="s">
        <v>38</v>
      </c>
      <c r="C359" s="1" t="s">
        <v>18</v>
      </c>
      <c r="D359" s="1" t="s">
        <v>19</v>
      </c>
      <c r="E359" s="1">
        <v>7</v>
      </c>
      <c r="F359" s="1">
        <v>6618</v>
      </c>
      <c r="G359" s="1">
        <v>0</v>
      </c>
      <c r="H359" s="2">
        <v>46127</v>
      </c>
      <c r="I359" s="2">
        <v>46129</v>
      </c>
      <c r="J359" s="1" t="s">
        <v>20</v>
      </c>
      <c r="K359" s="1">
        <v>1358</v>
      </c>
    </row>
    <row r="360" spans="1:11" ht="14.4" x14ac:dyDescent="0.3">
      <c r="A360" s="1" t="s">
        <v>54</v>
      </c>
      <c r="B360" s="1" t="s">
        <v>12</v>
      </c>
      <c r="C360" s="1" t="s">
        <v>34</v>
      </c>
      <c r="D360" s="1" t="s">
        <v>61</v>
      </c>
      <c r="E360" s="1">
        <v>9</v>
      </c>
      <c r="F360" s="1">
        <v>38179</v>
      </c>
      <c r="G360" s="1">
        <v>0</v>
      </c>
      <c r="H360" s="2">
        <v>46096</v>
      </c>
      <c r="I360" s="2">
        <v>46099</v>
      </c>
      <c r="J360" s="1" t="s">
        <v>15</v>
      </c>
      <c r="K360" s="1">
        <v>1359</v>
      </c>
    </row>
    <row r="361" spans="1:11" ht="14.4" hidden="1" x14ac:dyDescent="0.3">
      <c r="A361" s="1" t="s">
        <v>11</v>
      </c>
      <c r="B361" s="1" t="s">
        <v>43</v>
      </c>
      <c r="C361" s="1" t="s">
        <v>18</v>
      </c>
      <c r="D361" s="1" t="s">
        <v>23</v>
      </c>
      <c r="E361" s="1">
        <v>19</v>
      </c>
      <c r="F361" s="1">
        <v>6681</v>
      </c>
      <c r="G361" s="1">
        <v>2</v>
      </c>
      <c r="H361" s="2">
        <v>46146</v>
      </c>
      <c r="I361" s="2">
        <v>46150</v>
      </c>
      <c r="J361" s="1" t="s">
        <v>15</v>
      </c>
      <c r="K361" s="1">
        <v>1360</v>
      </c>
    </row>
    <row r="362" spans="1:11" ht="14.4" hidden="1" x14ac:dyDescent="0.3">
      <c r="A362" s="1" t="s">
        <v>42</v>
      </c>
      <c r="B362" s="1" t="s">
        <v>17</v>
      </c>
      <c r="C362" s="1" t="s">
        <v>18</v>
      </c>
      <c r="D362" s="1" t="s">
        <v>23</v>
      </c>
      <c r="E362" s="1">
        <v>2</v>
      </c>
      <c r="F362" s="1">
        <v>1822</v>
      </c>
      <c r="G362" s="1">
        <v>5</v>
      </c>
      <c r="H362" s="2">
        <v>46141</v>
      </c>
      <c r="I362" s="2">
        <v>46145</v>
      </c>
      <c r="J362" s="1" t="s">
        <v>20</v>
      </c>
      <c r="K362" s="1">
        <v>1361</v>
      </c>
    </row>
    <row r="363" spans="1:11" ht="14.4" hidden="1" x14ac:dyDescent="0.3">
      <c r="A363" s="1" t="s">
        <v>16</v>
      </c>
      <c r="B363" s="1" t="s">
        <v>12</v>
      </c>
      <c r="C363" s="1" t="s">
        <v>18</v>
      </c>
      <c r="D363" s="1" t="s">
        <v>28</v>
      </c>
      <c r="E363" s="1">
        <v>1</v>
      </c>
      <c r="F363" s="1">
        <v>10474</v>
      </c>
      <c r="G363" s="1">
        <v>0</v>
      </c>
      <c r="H363" s="2">
        <v>46094</v>
      </c>
      <c r="I363" s="2">
        <v>46096</v>
      </c>
      <c r="J363" s="1" t="s">
        <v>29</v>
      </c>
      <c r="K363" s="1">
        <v>1362</v>
      </c>
    </row>
    <row r="364" spans="1:11" ht="14.4" x14ac:dyDescent="0.3">
      <c r="A364" s="1" t="s">
        <v>27</v>
      </c>
      <c r="B364" s="1" t="s">
        <v>25</v>
      </c>
      <c r="C364" s="1" t="s">
        <v>34</v>
      </c>
      <c r="D364" s="1" t="s">
        <v>35</v>
      </c>
      <c r="E364" s="1">
        <v>7</v>
      </c>
      <c r="F364" s="1">
        <v>45381</v>
      </c>
      <c r="G364" s="1">
        <v>0</v>
      </c>
      <c r="H364" s="2">
        <v>46122</v>
      </c>
      <c r="I364" s="2">
        <v>46128</v>
      </c>
      <c r="J364" s="1" t="s">
        <v>15</v>
      </c>
      <c r="K364" s="1">
        <v>1363</v>
      </c>
    </row>
    <row r="365" spans="1:11" ht="14.4" hidden="1" x14ac:dyDescent="0.3">
      <c r="A365" s="1" t="s">
        <v>30</v>
      </c>
      <c r="B365" s="1" t="s">
        <v>22</v>
      </c>
      <c r="C365" s="1" t="s">
        <v>18</v>
      </c>
      <c r="D365" s="1" t="s">
        <v>56</v>
      </c>
      <c r="E365" s="1">
        <v>16</v>
      </c>
      <c r="F365" s="1">
        <v>1744</v>
      </c>
      <c r="G365" s="1">
        <v>15</v>
      </c>
      <c r="H365" s="2">
        <v>46031</v>
      </c>
      <c r="I365" s="2">
        <v>46033</v>
      </c>
      <c r="J365" s="1" t="s">
        <v>51</v>
      </c>
      <c r="K365" s="1">
        <v>1364</v>
      </c>
    </row>
    <row r="366" spans="1:11" ht="14.4" hidden="1" x14ac:dyDescent="0.3">
      <c r="A366" s="1" t="s">
        <v>46</v>
      </c>
      <c r="B366" s="1" t="s">
        <v>33</v>
      </c>
      <c r="C366" s="1" t="s">
        <v>13</v>
      </c>
      <c r="D366" s="1" t="s">
        <v>50</v>
      </c>
      <c r="E366" s="1">
        <v>17</v>
      </c>
      <c r="F366" s="1">
        <v>119</v>
      </c>
      <c r="G366" s="1">
        <v>7</v>
      </c>
      <c r="H366" s="2">
        <v>46070</v>
      </c>
      <c r="I366" s="2">
        <v>46072</v>
      </c>
      <c r="J366" s="1" t="s">
        <v>20</v>
      </c>
      <c r="K366" s="1">
        <v>1365</v>
      </c>
    </row>
    <row r="367" spans="1:11" ht="14.4" x14ac:dyDescent="0.3">
      <c r="A367" s="1" t="s">
        <v>26</v>
      </c>
      <c r="B367" s="1" t="s">
        <v>17</v>
      </c>
      <c r="C367" s="1" t="s">
        <v>34</v>
      </c>
      <c r="D367" s="1" t="s">
        <v>61</v>
      </c>
      <c r="E367" s="1">
        <v>20</v>
      </c>
      <c r="F367" s="1">
        <v>44312</v>
      </c>
      <c r="G367" s="1">
        <v>10</v>
      </c>
      <c r="H367" s="2">
        <v>46047</v>
      </c>
      <c r="I367" s="2">
        <v>46054</v>
      </c>
      <c r="J367" s="1" t="s">
        <v>29</v>
      </c>
      <c r="K367" s="1">
        <v>1366</v>
      </c>
    </row>
    <row r="368" spans="1:11" ht="14.4" hidden="1" x14ac:dyDescent="0.3">
      <c r="A368" s="1" t="s">
        <v>54</v>
      </c>
      <c r="B368" s="1" t="s">
        <v>25</v>
      </c>
      <c r="C368" s="1" t="s">
        <v>13</v>
      </c>
      <c r="D368" s="1" t="s">
        <v>53</v>
      </c>
      <c r="E368" s="1">
        <v>1</v>
      </c>
      <c r="F368" s="1">
        <v>371</v>
      </c>
      <c r="G368" s="1">
        <v>5</v>
      </c>
      <c r="H368" s="2">
        <v>46158</v>
      </c>
      <c r="I368" s="2">
        <v>46168</v>
      </c>
      <c r="J368" s="1" t="s">
        <v>29</v>
      </c>
      <c r="K368" s="1">
        <v>1367</v>
      </c>
    </row>
    <row r="369" spans="1:11" ht="14.4" hidden="1" x14ac:dyDescent="0.3">
      <c r="A369" s="1" t="s">
        <v>55</v>
      </c>
      <c r="B369" s="1" t="s">
        <v>38</v>
      </c>
      <c r="C369" s="1" t="s">
        <v>13</v>
      </c>
      <c r="D369" s="1" t="s">
        <v>36</v>
      </c>
      <c r="E369" s="1">
        <v>9</v>
      </c>
      <c r="F369" s="1">
        <v>115</v>
      </c>
      <c r="G369" s="1">
        <v>0</v>
      </c>
      <c r="H369" s="2">
        <v>46036</v>
      </c>
      <c r="I369" s="2">
        <v>46045</v>
      </c>
      <c r="J369" s="1" t="s">
        <v>24</v>
      </c>
      <c r="K369" s="1">
        <v>1368</v>
      </c>
    </row>
    <row r="370" spans="1:11" ht="14.4" hidden="1" x14ac:dyDescent="0.3">
      <c r="A370" s="1" t="s">
        <v>57</v>
      </c>
      <c r="B370" s="1" t="s">
        <v>25</v>
      </c>
      <c r="C370" s="1" t="s">
        <v>18</v>
      </c>
      <c r="D370" s="1" t="s">
        <v>19</v>
      </c>
      <c r="E370" s="1">
        <v>19</v>
      </c>
      <c r="F370" s="1">
        <v>5840</v>
      </c>
      <c r="G370" s="1">
        <v>5</v>
      </c>
      <c r="H370" s="2">
        <v>46062</v>
      </c>
      <c r="I370" s="2">
        <v>46067</v>
      </c>
      <c r="J370" s="1" t="s">
        <v>15</v>
      </c>
      <c r="K370" s="1">
        <v>1369</v>
      </c>
    </row>
    <row r="371" spans="1:11" ht="14.4" hidden="1" x14ac:dyDescent="0.3">
      <c r="A371" s="1" t="s">
        <v>59</v>
      </c>
      <c r="B371" s="1" t="s">
        <v>38</v>
      </c>
      <c r="C371" s="1" t="s">
        <v>13</v>
      </c>
      <c r="D371" s="1" t="s">
        <v>53</v>
      </c>
      <c r="E371" s="1">
        <v>13</v>
      </c>
      <c r="F371" s="1">
        <v>337</v>
      </c>
      <c r="G371" s="1">
        <v>7</v>
      </c>
      <c r="H371" s="2">
        <v>46184</v>
      </c>
      <c r="I371" s="2">
        <v>46188</v>
      </c>
      <c r="J371" s="1" t="s">
        <v>15</v>
      </c>
      <c r="K371" s="1">
        <v>1370</v>
      </c>
    </row>
    <row r="372" spans="1:11" ht="14.4" hidden="1" x14ac:dyDescent="0.3">
      <c r="A372" s="1" t="s">
        <v>48</v>
      </c>
      <c r="B372" s="1" t="s">
        <v>38</v>
      </c>
      <c r="C372" s="1" t="s">
        <v>18</v>
      </c>
      <c r="D372" s="1" t="s">
        <v>19</v>
      </c>
      <c r="E372" s="1">
        <v>19</v>
      </c>
      <c r="F372" s="1">
        <v>1087</v>
      </c>
      <c r="G372" s="1">
        <v>15</v>
      </c>
      <c r="H372" s="2">
        <v>46072</v>
      </c>
      <c r="I372" s="2">
        <v>46082</v>
      </c>
      <c r="J372" s="1" t="s">
        <v>20</v>
      </c>
      <c r="K372" s="1">
        <v>1371</v>
      </c>
    </row>
    <row r="373" spans="1:11" ht="14.4" x14ac:dyDescent="0.3">
      <c r="A373" s="1" t="s">
        <v>48</v>
      </c>
      <c r="B373" s="1" t="s">
        <v>17</v>
      </c>
      <c r="C373" s="1" t="s">
        <v>34</v>
      </c>
      <c r="D373" s="1" t="s">
        <v>39</v>
      </c>
      <c r="E373" s="1">
        <v>9</v>
      </c>
      <c r="F373" s="1">
        <v>9551</v>
      </c>
      <c r="G373" s="1">
        <v>10</v>
      </c>
      <c r="H373" s="2">
        <v>46161</v>
      </c>
      <c r="I373" s="2">
        <v>46168</v>
      </c>
      <c r="J373" s="1" t="s">
        <v>15</v>
      </c>
      <c r="K373" s="1">
        <v>1372</v>
      </c>
    </row>
    <row r="374" spans="1:11" ht="14.4" x14ac:dyDescent="0.3">
      <c r="A374" s="1" t="s">
        <v>54</v>
      </c>
      <c r="B374" s="1" t="s">
        <v>25</v>
      </c>
      <c r="C374" s="1" t="s">
        <v>34</v>
      </c>
      <c r="D374" s="1" t="s">
        <v>60</v>
      </c>
      <c r="E374" s="1">
        <v>11</v>
      </c>
      <c r="F374" s="1">
        <v>47930</v>
      </c>
      <c r="G374" s="1">
        <v>12</v>
      </c>
      <c r="H374" s="2">
        <v>46191</v>
      </c>
      <c r="I374" s="2">
        <v>46201</v>
      </c>
      <c r="J374" s="1" t="s">
        <v>20</v>
      </c>
      <c r="K374" s="1">
        <v>1373</v>
      </c>
    </row>
    <row r="375" spans="1:11" ht="14.4" x14ac:dyDescent="0.3">
      <c r="A375" s="1" t="s">
        <v>57</v>
      </c>
      <c r="B375" s="1" t="s">
        <v>33</v>
      </c>
      <c r="C375" s="1" t="s">
        <v>34</v>
      </c>
      <c r="D375" s="1" t="s">
        <v>35</v>
      </c>
      <c r="E375" s="1">
        <v>12</v>
      </c>
      <c r="F375" s="1">
        <v>66052</v>
      </c>
      <c r="G375" s="1">
        <v>2</v>
      </c>
      <c r="H375" s="2">
        <v>46063</v>
      </c>
      <c r="I375" s="2">
        <v>46066</v>
      </c>
      <c r="J375" s="1" t="s">
        <v>51</v>
      </c>
      <c r="K375" s="1">
        <v>1374</v>
      </c>
    </row>
    <row r="376" spans="1:11" ht="14.4" x14ac:dyDescent="0.3">
      <c r="A376" s="1" t="s">
        <v>46</v>
      </c>
      <c r="B376" s="1" t="s">
        <v>43</v>
      </c>
      <c r="C376" s="1" t="s">
        <v>34</v>
      </c>
      <c r="D376" s="1" t="s">
        <v>45</v>
      </c>
      <c r="E376" s="1">
        <v>20</v>
      </c>
      <c r="F376" s="1">
        <v>56766</v>
      </c>
      <c r="G376" s="1">
        <v>0</v>
      </c>
      <c r="H376" s="2">
        <v>46052</v>
      </c>
      <c r="I376" s="2">
        <v>46061</v>
      </c>
      <c r="J376" s="1" t="s">
        <v>24</v>
      </c>
      <c r="K376" s="1">
        <v>1375</v>
      </c>
    </row>
    <row r="377" spans="1:11" ht="14.4" hidden="1" x14ac:dyDescent="0.3">
      <c r="A377" s="1" t="s">
        <v>52</v>
      </c>
      <c r="B377" s="1" t="s">
        <v>31</v>
      </c>
      <c r="C377" s="1" t="s">
        <v>13</v>
      </c>
      <c r="D377" s="1" t="s">
        <v>50</v>
      </c>
      <c r="E377" s="1">
        <v>20</v>
      </c>
      <c r="F377" s="1">
        <v>429</v>
      </c>
      <c r="G377" s="1">
        <v>5</v>
      </c>
      <c r="H377" s="2">
        <v>46178</v>
      </c>
      <c r="I377" s="2">
        <v>46184</v>
      </c>
      <c r="J377" s="1" t="s">
        <v>20</v>
      </c>
      <c r="K377" s="1">
        <v>1376</v>
      </c>
    </row>
    <row r="378" spans="1:11" ht="14.4" hidden="1" x14ac:dyDescent="0.3">
      <c r="A378" s="1" t="s">
        <v>32</v>
      </c>
      <c r="B378" s="1" t="s">
        <v>38</v>
      </c>
      <c r="C378" s="1" t="s">
        <v>18</v>
      </c>
      <c r="D378" s="1" t="s">
        <v>19</v>
      </c>
      <c r="E378" s="1">
        <v>3</v>
      </c>
      <c r="F378" s="1">
        <v>5480</v>
      </c>
      <c r="G378" s="1">
        <v>12</v>
      </c>
      <c r="H378" s="2">
        <v>46105</v>
      </c>
      <c r="I378" s="2">
        <v>46111</v>
      </c>
      <c r="J378" s="1" t="s">
        <v>24</v>
      </c>
      <c r="K378" s="1">
        <v>1377</v>
      </c>
    </row>
    <row r="379" spans="1:11" ht="14.4" x14ac:dyDescent="0.3">
      <c r="A379" s="1" t="s">
        <v>55</v>
      </c>
      <c r="B379" s="1" t="s">
        <v>22</v>
      </c>
      <c r="C379" s="1" t="s">
        <v>34</v>
      </c>
      <c r="D379" s="1" t="s">
        <v>45</v>
      </c>
      <c r="E379" s="1">
        <v>15</v>
      </c>
      <c r="F379" s="1">
        <v>22693</v>
      </c>
      <c r="G379" s="1">
        <v>12</v>
      </c>
      <c r="H379" s="2">
        <v>46074</v>
      </c>
      <c r="I379" s="2">
        <v>46080</v>
      </c>
      <c r="J379" s="1" t="s">
        <v>51</v>
      </c>
      <c r="K379" s="1">
        <v>1378</v>
      </c>
    </row>
    <row r="380" spans="1:11" ht="14.4" hidden="1" x14ac:dyDescent="0.3">
      <c r="A380" s="1" t="s">
        <v>47</v>
      </c>
      <c r="B380" s="1" t="s">
        <v>17</v>
      </c>
      <c r="C380" s="1" t="s">
        <v>13</v>
      </c>
      <c r="D380" s="1" t="s">
        <v>14</v>
      </c>
      <c r="E380" s="1">
        <v>11</v>
      </c>
      <c r="F380" s="1">
        <v>136</v>
      </c>
      <c r="G380" s="1">
        <v>15</v>
      </c>
      <c r="H380" s="2">
        <v>46106</v>
      </c>
      <c r="I380" s="2">
        <v>46107</v>
      </c>
      <c r="J380" s="1" t="s">
        <v>20</v>
      </c>
      <c r="K380" s="1">
        <v>1379</v>
      </c>
    </row>
    <row r="381" spans="1:11" ht="14.4" hidden="1" x14ac:dyDescent="0.3">
      <c r="A381" s="1" t="s">
        <v>52</v>
      </c>
      <c r="B381" s="1" t="s">
        <v>43</v>
      </c>
      <c r="C381" s="1" t="s">
        <v>13</v>
      </c>
      <c r="D381" s="1" t="s">
        <v>53</v>
      </c>
      <c r="E381" s="1">
        <v>3</v>
      </c>
      <c r="F381" s="1">
        <v>412</v>
      </c>
      <c r="G381" s="1">
        <v>7</v>
      </c>
      <c r="H381" s="2">
        <v>46128</v>
      </c>
      <c r="I381" s="2">
        <v>46138</v>
      </c>
      <c r="J381" s="1" t="s">
        <v>24</v>
      </c>
      <c r="K381" s="1">
        <v>1380</v>
      </c>
    </row>
    <row r="382" spans="1:11" ht="14.4" hidden="1" x14ac:dyDescent="0.3">
      <c r="A382" s="1" t="s">
        <v>55</v>
      </c>
      <c r="B382" s="1" t="s">
        <v>33</v>
      </c>
      <c r="C382" s="1" t="s">
        <v>18</v>
      </c>
      <c r="D382" s="1" t="s">
        <v>28</v>
      </c>
      <c r="E382" s="1">
        <v>5</v>
      </c>
      <c r="F382" s="1">
        <v>7484</v>
      </c>
      <c r="G382" s="1">
        <v>2</v>
      </c>
      <c r="H382" s="2">
        <v>46089</v>
      </c>
      <c r="I382" s="2">
        <v>46093</v>
      </c>
      <c r="J382" s="1" t="s">
        <v>20</v>
      </c>
      <c r="K382" s="1">
        <v>1381</v>
      </c>
    </row>
    <row r="383" spans="1:11" ht="14.4" x14ac:dyDescent="0.3">
      <c r="A383" s="1" t="s">
        <v>49</v>
      </c>
      <c r="B383" s="1" t="s">
        <v>33</v>
      </c>
      <c r="C383" s="1" t="s">
        <v>34</v>
      </c>
      <c r="D383" s="1" t="s">
        <v>60</v>
      </c>
      <c r="E383" s="1">
        <v>11</v>
      </c>
      <c r="F383" s="1">
        <v>36198</v>
      </c>
      <c r="G383" s="1">
        <v>0</v>
      </c>
      <c r="H383" s="2">
        <v>46130</v>
      </c>
      <c r="I383" s="2">
        <v>46134</v>
      </c>
      <c r="J383" s="1" t="s">
        <v>15</v>
      </c>
      <c r="K383" s="1">
        <v>1382</v>
      </c>
    </row>
    <row r="384" spans="1:11" ht="14.4" hidden="1" x14ac:dyDescent="0.3">
      <c r="A384" s="1" t="s">
        <v>32</v>
      </c>
      <c r="B384" s="1" t="s">
        <v>12</v>
      </c>
      <c r="C384" s="1" t="s">
        <v>13</v>
      </c>
      <c r="D384" s="1" t="s">
        <v>53</v>
      </c>
      <c r="E384" s="1">
        <v>14</v>
      </c>
      <c r="F384" s="1">
        <v>334</v>
      </c>
      <c r="G384" s="1">
        <v>10</v>
      </c>
      <c r="H384" s="2">
        <v>46196</v>
      </c>
      <c r="I384" s="2">
        <v>46203</v>
      </c>
      <c r="J384" s="1" t="s">
        <v>15</v>
      </c>
      <c r="K384" s="1">
        <v>1383</v>
      </c>
    </row>
    <row r="385" spans="1:11" ht="14.4" x14ac:dyDescent="0.3">
      <c r="A385" s="1" t="s">
        <v>59</v>
      </c>
      <c r="B385" s="1" t="s">
        <v>12</v>
      </c>
      <c r="C385" s="1" t="s">
        <v>34</v>
      </c>
      <c r="D385" s="1" t="s">
        <v>39</v>
      </c>
      <c r="E385" s="1">
        <v>15</v>
      </c>
      <c r="F385" s="1">
        <v>38116</v>
      </c>
      <c r="G385" s="1">
        <v>0</v>
      </c>
      <c r="H385" s="2">
        <v>46074</v>
      </c>
      <c r="I385" s="2">
        <v>46078</v>
      </c>
      <c r="J385" s="1" t="s">
        <v>29</v>
      </c>
      <c r="K385" s="1">
        <v>1384</v>
      </c>
    </row>
    <row r="386" spans="1:11" ht="14.4" x14ac:dyDescent="0.3">
      <c r="A386" s="1" t="s">
        <v>26</v>
      </c>
      <c r="B386" s="1" t="s">
        <v>33</v>
      </c>
      <c r="C386" s="1" t="s">
        <v>34</v>
      </c>
      <c r="D386" s="1" t="s">
        <v>39</v>
      </c>
      <c r="E386" s="1">
        <v>12</v>
      </c>
      <c r="F386" s="1">
        <v>61360</v>
      </c>
      <c r="G386" s="1">
        <v>10</v>
      </c>
      <c r="H386" s="2">
        <v>46048</v>
      </c>
      <c r="I386" s="2">
        <v>46053</v>
      </c>
      <c r="J386" s="1" t="s">
        <v>51</v>
      </c>
      <c r="K386" s="1">
        <v>1385</v>
      </c>
    </row>
    <row r="387" spans="1:11" ht="14.4" hidden="1" x14ac:dyDescent="0.3">
      <c r="A387" s="1" t="s">
        <v>27</v>
      </c>
      <c r="B387" s="1" t="s">
        <v>31</v>
      </c>
      <c r="C387" s="1" t="s">
        <v>18</v>
      </c>
      <c r="D387" s="1" t="s">
        <v>28</v>
      </c>
      <c r="E387" s="1">
        <v>9</v>
      </c>
      <c r="F387" s="1">
        <v>7509</v>
      </c>
      <c r="G387" s="1">
        <v>5</v>
      </c>
      <c r="H387" s="2">
        <v>46162</v>
      </c>
      <c r="I387" s="2">
        <v>46171</v>
      </c>
      <c r="J387" s="1" t="s">
        <v>51</v>
      </c>
      <c r="K387" s="1">
        <v>1386</v>
      </c>
    </row>
    <row r="388" spans="1:11" ht="14.4" x14ac:dyDescent="0.3">
      <c r="A388" s="1" t="s">
        <v>54</v>
      </c>
      <c r="B388" s="1" t="s">
        <v>33</v>
      </c>
      <c r="C388" s="1" t="s">
        <v>34</v>
      </c>
      <c r="D388" s="1" t="s">
        <v>35</v>
      </c>
      <c r="E388" s="1">
        <v>11</v>
      </c>
      <c r="F388" s="1">
        <v>56515</v>
      </c>
      <c r="G388" s="1">
        <v>5</v>
      </c>
      <c r="H388" s="2">
        <v>46102</v>
      </c>
      <c r="I388" s="2">
        <v>46112</v>
      </c>
      <c r="J388" s="1" t="s">
        <v>24</v>
      </c>
      <c r="K388" s="1">
        <v>1387</v>
      </c>
    </row>
    <row r="389" spans="1:11" ht="14.4" hidden="1" x14ac:dyDescent="0.3">
      <c r="A389" s="1" t="s">
        <v>55</v>
      </c>
      <c r="B389" s="1" t="s">
        <v>31</v>
      </c>
      <c r="C389" s="1" t="s">
        <v>18</v>
      </c>
      <c r="D389" s="1" t="s">
        <v>28</v>
      </c>
      <c r="E389" s="1">
        <v>12</v>
      </c>
      <c r="F389" s="1">
        <v>11662</v>
      </c>
      <c r="G389" s="1">
        <v>12</v>
      </c>
      <c r="H389" s="2">
        <v>46094</v>
      </c>
      <c r="I389" s="2">
        <v>46096</v>
      </c>
      <c r="J389" s="1" t="s">
        <v>20</v>
      </c>
      <c r="K389" s="1">
        <v>1388</v>
      </c>
    </row>
    <row r="390" spans="1:11" ht="14.4" x14ac:dyDescent="0.3">
      <c r="A390" s="1" t="s">
        <v>32</v>
      </c>
      <c r="B390" s="1" t="s">
        <v>12</v>
      </c>
      <c r="C390" s="1" t="s">
        <v>34</v>
      </c>
      <c r="D390" s="1" t="s">
        <v>41</v>
      </c>
      <c r="E390" s="1">
        <v>3</v>
      </c>
      <c r="F390" s="1">
        <v>56380</v>
      </c>
      <c r="G390" s="1">
        <v>5</v>
      </c>
      <c r="H390" s="2">
        <v>46044</v>
      </c>
      <c r="I390" s="2">
        <v>46048</v>
      </c>
      <c r="J390" s="1" t="s">
        <v>51</v>
      </c>
      <c r="K390" s="1">
        <v>1389</v>
      </c>
    </row>
    <row r="391" spans="1:11" ht="14.4" hidden="1" x14ac:dyDescent="0.3">
      <c r="A391" s="1" t="s">
        <v>58</v>
      </c>
      <c r="B391" s="1" t="s">
        <v>43</v>
      </c>
      <c r="C391" s="1" t="s">
        <v>18</v>
      </c>
      <c r="D391" s="1" t="s">
        <v>19</v>
      </c>
      <c r="E391" s="1">
        <v>9</v>
      </c>
      <c r="F391" s="1">
        <v>7670</v>
      </c>
      <c r="G391" s="1">
        <v>0</v>
      </c>
      <c r="H391" s="2">
        <v>46076</v>
      </c>
      <c r="I391" s="2">
        <v>46081</v>
      </c>
      <c r="J391" s="1" t="s">
        <v>51</v>
      </c>
      <c r="K391" s="1">
        <v>1390</v>
      </c>
    </row>
    <row r="392" spans="1:11" ht="14.4" x14ac:dyDescent="0.3">
      <c r="A392" s="1" t="s">
        <v>30</v>
      </c>
      <c r="B392" s="1" t="s">
        <v>31</v>
      </c>
      <c r="C392" s="1" t="s">
        <v>34</v>
      </c>
      <c r="D392" s="1" t="s">
        <v>35</v>
      </c>
      <c r="E392" s="1">
        <v>5</v>
      </c>
      <c r="F392" s="1">
        <v>65270</v>
      </c>
      <c r="G392" s="1">
        <v>5</v>
      </c>
      <c r="H392" s="2">
        <v>46100</v>
      </c>
      <c r="I392" s="2">
        <v>46103</v>
      </c>
      <c r="J392" s="1" t="s">
        <v>24</v>
      </c>
      <c r="K392" s="1">
        <v>1391</v>
      </c>
    </row>
    <row r="393" spans="1:11" ht="14.4" x14ac:dyDescent="0.3">
      <c r="A393" s="1" t="s">
        <v>29</v>
      </c>
      <c r="B393" s="1" t="s">
        <v>43</v>
      </c>
      <c r="C393" s="1" t="s">
        <v>34</v>
      </c>
      <c r="D393" s="1" t="s">
        <v>35</v>
      </c>
      <c r="E393" s="1">
        <v>13</v>
      </c>
      <c r="F393" s="1">
        <v>23903</v>
      </c>
      <c r="G393" s="1">
        <v>5</v>
      </c>
      <c r="H393" s="2">
        <v>46124</v>
      </c>
      <c r="I393" s="2">
        <v>46125</v>
      </c>
      <c r="J393" s="1" t="s">
        <v>29</v>
      </c>
      <c r="K393" s="1">
        <v>1392</v>
      </c>
    </row>
    <row r="394" spans="1:11" ht="14.4" x14ac:dyDescent="0.3">
      <c r="A394" s="1" t="s">
        <v>30</v>
      </c>
      <c r="B394" s="1" t="s">
        <v>25</v>
      </c>
      <c r="C394" s="1" t="s">
        <v>34</v>
      </c>
      <c r="D394" s="1" t="s">
        <v>45</v>
      </c>
      <c r="E394" s="1">
        <v>17</v>
      </c>
      <c r="F394" s="1">
        <v>30351</v>
      </c>
      <c r="G394" s="1">
        <v>15</v>
      </c>
      <c r="H394" s="2">
        <v>46047</v>
      </c>
      <c r="I394" s="2">
        <v>46051</v>
      </c>
      <c r="J394" s="1" t="s">
        <v>51</v>
      </c>
      <c r="K394" s="1">
        <v>1393</v>
      </c>
    </row>
    <row r="395" spans="1:11" ht="14.4" hidden="1" x14ac:dyDescent="0.3">
      <c r="A395" s="1" t="s">
        <v>54</v>
      </c>
      <c r="B395" s="1" t="s">
        <v>12</v>
      </c>
      <c r="C395" s="1" t="s">
        <v>13</v>
      </c>
      <c r="D395" s="1" t="s">
        <v>14</v>
      </c>
      <c r="E395" s="1">
        <v>10</v>
      </c>
      <c r="F395" s="1">
        <v>138</v>
      </c>
      <c r="G395" s="1">
        <v>2</v>
      </c>
      <c r="H395" s="2">
        <v>46056</v>
      </c>
      <c r="I395" s="2">
        <v>46057</v>
      </c>
      <c r="J395" s="1" t="s">
        <v>15</v>
      </c>
      <c r="K395" s="1">
        <v>1394</v>
      </c>
    </row>
    <row r="396" spans="1:11" ht="14.4" hidden="1" x14ac:dyDescent="0.3">
      <c r="A396" s="1" t="s">
        <v>54</v>
      </c>
      <c r="B396" s="1" t="s">
        <v>33</v>
      </c>
      <c r="C396" s="1" t="s">
        <v>18</v>
      </c>
      <c r="D396" s="1" t="s">
        <v>44</v>
      </c>
      <c r="E396" s="1">
        <v>18</v>
      </c>
      <c r="F396" s="1">
        <v>10402</v>
      </c>
      <c r="G396" s="1">
        <v>15</v>
      </c>
      <c r="H396" s="2">
        <v>46062</v>
      </c>
      <c r="I396" s="2">
        <v>46067</v>
      </c>
      <c r="J396" s="1" t="s">
        <v>29</v>
      </c>
      <c r="K396" s="1">
        <v>1395</v>
      </c>
    </row>
    <row r="397" spans="1:11" ht="14.4" hidden="1" x14ac:dyDescent="0.3">
      <c r="A397" s="1" t="s">
        <v>21</v>
      </c>
      <c r="B397" s="1" t="s">
        <v>38</v>
      </c>
      <c r="C397" s="1" t="s">
        <v>13</v>
      </c>
      <c r="D397" s="1" t="s">
        <v>53</v>
      </c>
      <c r="E397" s="1">
        <v>8</v>
      </c>
      <c r="F397" s="1">
        <v>54</v>
      </c>
      <c r="G397" s="1">
        <v>15</v>
      </c>
      <c r="H397" s="2">
        <v>46031</v>
      </c>
      <c r="I397" s="2">
        <v>46035</v>
      </c>
      <c r="J397" s="1" t="s">
        <v>15</v>
      </c>
      <c r="K397" s="1">
        <v>1396</v>
      </c>
    </row>
    <row r="398" spans="1:11" ht="14.4" hidden="1" x14ac:dyDescent="0.3">
      <c r="A398" s="1" t="s">
        <v>21</v>
      </c>
      <c r="B398" s="1" t="s">
        <v>33</v>
      </c>
      <c r="C398" s="1" t="s">
        <v>18</v>
      </c>
      <c r="D398" s="1" t="s">
        <v>23</v>
      </c>
      <c r="E398" s="1">
        <v>1</v>
      </c>
      <c r="F398" s="1">
        <v>8948</v>
      </c>
      <c r="G398" s="1">
        <v>5</v>
      </c>
      <c r="H398" s="2">
        <v>46194</v>
      </c>
      <c r="I398" s="2">
        <v>46201</v>
      </c>
      <c r="J398" s="1" t="s">
        <v>51</v>
      </c>
      <c r="K398" s="1">
        <v>1397</v>
      </c>
    </row>
    <row r="399" spans="1:11" ht="14.4" x14ac:dyDescent="0.3">
      <c r="A399" s="1" t="s">
        <v>58</v>
      </c>
      <c r="B399" s="1" t="s">
        <v>43</v>
      </c>
      <c r="C399" s="1" t="s">
        <v>34</v>
      </c>
      <c r="D399" s="1" t="s">
        <v>39</v>
      </c>
      <c r="E399" s="1">
        <v>12</v>
      </c>
      <c r="F399" s="1">
        <v>10668</v>
      </c>
      <c r="G399" s="1">
        <v>0</v>
      </c>
      <c r="H399" s="2">
        <v>46170</v>
      </c>
      <c r="I399" s="2">
        <v>46176</v>
      </c>
      <c r="J399" s="1" t="s">
        <v>15</v>
      </c>
      <c r="K399" s="1">
        <v>1398</v>
      </c>
    </row>
    <row r="400" spans="1:11" ht="14.4" hidden="1" x14ac:dyDescent="0.3">
      <c r="A400" s="1" t="s">
        <v>48</v>
      </c>
      <c r="B400" s="1" t="s">
        <v>31</v>
      </c>
      <c r="C400" s="1" t="s">
        <v>13</v>
      </c>
      <c r="D400" s="1" t="s">
        <v>14</v>
      </c>
      <c r="E400" s="1">
        <v>15</v>
      </c>
      <c r="F400" s="1">
        <v>87</v>
      </c>
      <c r="G400" s="1">
        <v>15</v>
      </c>
      <c r="H400" s="2">
        <v>46089</v>
      </c>
      <c r="I400" s="2">
        <v>46093</v>
      </c>
      <c r="J400" s="1" t="s">
        <v>20</v>
      </c>
      <c r="K400" s="1">
        <v>1399</v>
      </c>
    </row>
    <row r="401" spans="1:11" ht="14.4" x14ac:dyDescent="0.3">
      <c r="A401" s="1" t="s">
        <v>40</v>
      </c>
      <c r="B401" s="1" t="s">
        <v>22</v>
      </c>
      <c r="C401" s="1" t="s">
        <v>34</v>
      </c>
      <c r="D401" s="1" t="s">
        <v>35</v>
      </c>
      <c r="E401" s="1">
        <v>13</v>
      </c>
      <c r="F401" s="1">
        <v>52411</v>
      </c>
      <c r="G401" s="1">
        <v>15</v>
      </c>
      <c r="H401" s="2">
        <v>46090</v>
      </c>
      <c r="I401" s="2">
        <v>46092</v>
      </c>
      <c r="J401" s="1" t="s">
        <v>20</v>
      </c>
      <c r="K401" s="1">
        <v>1400</v>
      </c>
    </row>
    <row r="402" spans="1:11" ht="14.4" hidden="1" x14ac:dyDescent="0.3"/>
    <row r="403" spans="1:11" ht="14.4" hidden="1" x14ac:dyDescent="0.3"/>
    <row r="404" spans="1:11" ht="14.4" hidden="1" x14ac:dyDescent="0.3"/>
    <row r="405" spans="1:11" ht="14.4" hidden="1" x14ac:dyDescent="0.3"/>
    <row r="406" spans="1:11" ht="14.4" hidden="1" x14ac:dyDescent="0.3"/>
    <row r="407" spans="1:11" ht="14.4" hidden="1" x14ac:dyDescent="0.3"/>
    <row r="408" spans="1:11" ht="14.4" hidden="1" x14ac:dyDescent="0.3"/>
    <row r="409" spans="1:11" ht="14.4" hidden="1" x14ac:dyDescent="0.3"/>
    <row r="410" spans="1:11" ht="14.4" hidden="1" x14ac:dyDescent="0.3"/>
    <row r="411" spans="1:11" ht="14.4" hidden="1" x14ac:dyDescent="0.3"/>
    <row r="412" spans="1:11" ht="14.4" hidden="1" x14ac:dyDescent="0.3"/>
    <row r="413" spans="1:11" ht="14.4" hidden="1" x14ac:dyDescent="0.3"/>
    <row r="414" spans="1:11" ht="14.4" hidden="1" x14ac:dyDescent="0.3"/>
    <row r="415" spans="1:11" ht="14.4" hidden="1" x14ac:dyDescent="0.3"/>
    <row r="416" spans="1:11" ht="14.4" hidden="1" x14ac:dyDescent="0.3"/>
    <row r="417" ht="14.4" hidden="1" x14ac:dyDescent="0.3"/>
    <row r="418" ht="14.4" hidden="1" x14ac:dyDescent="0.3"/>
    <row r="419" ht="14.4" hidden="1" x14ac:dyDescent="0.3"/>
    <row r="420" ht="14.4" hidden="1" x14ac:dyDescent="0.3"/>
    <row r="421" ht="14.4" hidden="1" x14ac:dyDescent="0.3"/>
    <row r="422" ht="14.4" hidden="1" x14ac:dyDescent="0.3"/>
    <row r="423" ht="14.4" hidden="1" x14ac:dyDescent="0.3"/>
    <row r="424" ht="14.4" hidden="1" x14ac:dyDescent="0.3"/>
    <row r="425" ht="14.4" hidden="1" x14ac:dyDescent="0.3"/>
    <row r="426" ht="14.4" hidden="1" x14ac:dyDescent="0.3"/>
    <row r="427" ht="14.4" hidden="1" x14ac:dyDescent="0.3"/>
    <row r="428" ht="14.4" hidden="1" x14ac:dyDescent="0.3"/>
    <row r="429" ht="14.4" hidden="1" x14ac:dyDescent="0.3"/>
    <row r="430" ht="14.4" hidden="1" x14ac:dyDescent="0.3"/>
    <row r="431" ht="14.4" hidden="1" x14ac:dyDescent="0.3"/>
    <row r="432" ht="14.4" hidden="1" x14ac:dyDescent="0.3"/>
    <row r="433" ht="14.4" hidden="1" x14ac:dyDescent="0.3"/>
    <row r="434" ht="14.4" hidden="1" x14ac:dyDescent="0.3"/>
    <row r="435" ht="14.4" hidden="1" x14ac:dyDescent="0.3"/>
    <row r="436" ht="14.4" hidden="1" x14ac:dyDescent="0.3"/>
    <row r="437" ht="14.4" hidden="1" x14ac:dyDescent="0.3"/>
    <row r="438" ht="14.4" hidden="1" x14ac:dyDescent="0.3"/>
    <row r="439" ht="14.4" hidden="1" x14ac:dyDescent="0.3"/>
    <row r="440" ht="14.4" hidden="1" x14ac:dyDescent="0.3"/>
    <row r="441" ht="14.4" hidden="1" x14ac:dyDescent="0.3"/>
    <row r="442" ht="14.4" hidden="1" x14ac:dyDescent="0.3"/>
    <row r="443" ht="14.4" hidden="1" x14ac:dyDescent="0.3"/>
    <row r="444" ht="14.4" hidden="1" x14ac:dyDescent="0.3"/>
    <row r="445" ht="14.4" hidden="1" x14ac:dyDescent="0.3"/>
    <row r="446" ht="14.4" hidden="1" x14ac:dyDescent="0.3"/>
    <row r="447" ht="14.4" hidden="1" x14ac:dyDescent="0.3"/>
    <row r="448" ht="14.4" hidden="1" x14ac:dyDescent="0.3"/>
    <row r="449" ht="14.4" hidden="1" x14ac:dyDescent="0.3"/>
    <row r="450" ht="14.4" hidden="1" x14ac:dyDescent="0.3"/>
    <row r="451" ht="14.4" hidden="1" x14ac:dyDescent="0.3"/>
    <row r="452" ht="14.4" hidden="1" x14ac:dyDescent="0.3"/>
    <row r="453" ht="14.4" hidden="1" x14ac:dyDescent="0.3"/>
    <row r="454" ht="14.4" hidden="1" x14ac:dyDescent="0.3"/>
    <row r="455" ht="14.4" hidden="1" x14ac:dyDescent="0.3"/>
    <row r="456" ht="14.4" hidden="1" x14ac:dyDescent="0.3"/>
    <row r="457" ht="14.4" hidden="1" x14ac:dyDescent="0.3"/>
    <row r="458" ht="14.4" hidden="1" x14ac:dyDescent="0.3"/>
    <row r="459" ht="14.4" hidden="1" x14ac:dyDescent="0.3"/>
    <row r="460" ht="14.4" hidden="1" x14ac:dyDescent="0.3"/>
    <row r="461" ht="14.4" hidden="1" x14ac:dyDescent="0.3"/>
    <row r="462" ht="14.4" hidden="1" x14ac:dyDescent="0.3"/>
    <row r="463" ht="14.4" hidden="1" x14ac:dyDescent="0.3"/>
    <row r="464" ht="14.4" hidden="1" x14ac:dyDescent="0.3"/>
    <row r="465" ht="14.4" hidden="1" x14ac:dyDescent="0.3"/>
    <row r="466" ht="14.4" hidden="1" x14ac:dyDescent="0.3"/>
    <row r="467" ht="14.4" hidden="1" x14ac:dyDescent="0.3"/>
    <row r="468" ht="14.4" hidden="1" x14ac:dyDescent="0.3"/>
    <row r="469" ht="14.4" hidden="1" x14ac:dyDescent="0.3"/>
    <row r="470" ht="14.4" hidden="1" x14ac:dyDescent="0.3"/>
    <row r="471" ht="14.4" hidden="1" x14ac:dyDescent="0.3"/>
    <row r="472" ht="14.4" hidden="1" x14ac:dyDescent="0.3"/>
    <row r="473" ht="14.4" hidden="1" x14ac:dyDescent="0.3"/>
    <row r="474" ht="14.4" hidden="1" x14ac:dyDescent="0.3"/>
    <row r="475" ht="14.4" hidden="1" x14ac:dyDescent="0.3"/>
    <row r="476" ht="14.4" hidden="1" x14ac:dyDescent="0.3"/>
    <row r="477" ht="14.4" hidden="1" x14ac:dyDescent="0.3"/>
    <row r="478" ht="14.4" hidden="1" x14ac:dyDescent="0.3"/>
    <row r="479" ht="14.4" hidden="1" x14ac:dyDescent="0.3"/>
    <row r="480" ht="14.4" hidden="1" x14ac:dyDescent="0.3"/>
    <row r="481" ht="14.4" hidden="1" x14ac:dyDescent="0.3"/>
    <row r="482" ht="14.4" hidden="1" x14ac:dyDescent="0.3"/>
    <row r="483" ht="14.4" hidden="1" x14ac:dyDescent="0.3"/>
    <row r="484" ht="14.4" hidden="1" x14ac:dyDescent="0.3"/>
    <row r="485" ht="14.4" hidden="1" x14ac:dyDescent="0.3"/>
    <row r="486" ht="14.4" hidden="1" x14ac:dyDescent="0.3"/>
    <row r="487" ht="14.4" hidden="1" x14ac:dyDescent="0.3"/>
    <row r="488" ht="14.4" hidden="1" x14ac:dyDescent="0.3"/>
    <row r="489" ht="14.4" hidden="1" x14ac:dyDescent="0.3"/>
    <row r="490" ht="14.4" hidden="1" x14ac:dyDescent="0.3"/>
    <row r="491" ht="14.4" hidden="1" x14ac:dyDescent="0.3"/>
    <row r="492" ht="14.4" hidden="1" x14ac:dyDescent="0.3"/>
    <row r="493" ht="14.4" hidden="1" x14ac:dyDescent="0.3"/>
    <row r="494" ht="14.4" hidden="1" x14ac:dyDescent="0.3"/>
    <row r="495" ht="14.4" hidden="1" x14ac:dyDescent="0.3"/>
    <row r="496" ht="14.4" hidden="1" x14ac:dyDescent="0.3"/>
    <row r="497" ht="14.4" hidden="1" x14ac:dyDescent="0.3"/>
    <row r="498" ht="14.4" hidden="1" x14ac:dyDescent="0.3"/>
    <row r="499" ht="14.4" hidden="1" x14ac:dyDescent="0.3"/>
    <row r="500" ht="14.4" hidden="1" x14ac:dyDescent="0.3"/>
    <row r="501" ht="14.4" hidden="1" x14ac:dyDescent="0.3"/>
    <row r="502" ht="14.4" hidden="1" x14ac:dyDescent="0.3"/>
    <row r="503" ht="14.4" hidden="1" x14ac:dyDescent="0.3"/>
    <row r="504" ht="14.4" hidden="1" x14ac:dyDescent="0.3"/>
    <row r="505" ht="14.4" hidden="1" x14ac:dyDescent="0.3"/>
    <row r="506" ht="14.4" hidden="1" x14ac:dyDescent="0.3"/>
    <row r="507" ht="14.4" hidden="1" x14ac:dyDescent="0.3"/>
    <row r="508" ht="14.4" hidden="1" x14ac:dyDescent="0.3"/>
    <row r="509" ht="14.4" hidden="1" x14ac:dyDescent="0.3"/>
    <row r="510" ht="14.4" hidden="1" x14ac:dyDescent="0.3"/>
    <row r="511" ht="14.4" hidden="1" x14ac:dyDescent="0.3"/>
    <row r="512" ht="14.4" hidden="1" x14ac:dyDescent="0.3"/>
    <row r="513" ht="14.4" hidden="1" x14ac:dyDescent="0.3"/>
    <row r="514" ht="14.4" hidden="1" x14ac:dyDescent="0.3"/>
    <row r="515" ht="14.4" hidden="1" x14ac:dyDescent="0.3"/>
    <row r="516" ht="14.4" hidden="1" x14ac:dyDescent="0.3"/>
    <row r="517" ht="14.4" hidden="1" x14ac:dyDescent="0.3"/>
    <row r="518" ht="14.4" hidden="1" x14ac:dyDescent="0.3"/>
    <row r="519" ht="14.4" hidden="1" x14ac:dyDescent="0.3"/>
    <row r="520" ht="14.4" hidden="1" x14ac:dyDescent="0.3"/>
    <row r="521" ht="14.4" hidden="1" x14ac:dyDescent="0.3"/>
    <row r="522" ht="14.4" hidden="1" x14ac:dyDescent="0.3"/>
    <row r="523" ht="14.4" hidden="1" x14ac:dyDescent="0.3"/>
    <row r="524" ht="14.4" hidden="1" x14ac:dyDescent="0.3"/>
    <row r="525" ht="14.4" hidden="1" x14ac:dyDescent="0.3"/>
    <row r="526" ht="14.4" hidden="1" x14ac:dyDescent="0.3"/>
    <row r="527" ht="14.4" hidden="1" x14ac:dyDescent="0.3"/>
    <row r="528" ht="14.4" hidden="1" x14ac:dyDescent="0.3"/>
    <row r="529" ht="14.4" hidden="1" x14ac:dyDescent="0.3"/>
    <row r="530" ht="14.4" hidden="1" x14ac:dyDescent="0.3"/>
    <row r="531" ht="14.4" hidden="1" x14ac:dyDescent="0.3"/>
    <row r="532" ht="14.4" hidden="1" x14ac:dyDescent="0.3"/>
    <row r="533" ht="14.4" hidden="1" x14ac:dyDescent="0.3"/>
    <row r="534" ht="14.4" hidden="1" x14ac:dyDescent="0.3"/>
    <row r="535" ht="14.4" hidden="1" x14ac:dyDescent="0.3"/>
    <row r="536" ht="14.4" hidden="1" x14ac:dyDescent="0.3"/>
    <row r="537" ht="14.4" hidden="1" x14ac:dyDescent="0.3"/>
    <row r="538" ht="14.4" hidden="1" x14ac:dyDescent="0.3"/>
    <row r="539" ht="14.4" hidden="1" x14ac:dyDescent="0.3"/>
    <row r="540" ht="14.4" hidden="1" x14ac:dyDescent="0.3"/>
    <row r="541" ht="14.4" hidden="1" x14ac:dyDescent="0.3"/>
    <row r="542" ht="14.4" hidden="1" x14ac:dyDescent="0.3"/>
    <row r="543" ht="14.4" hidden="1" x14ac:dyDescent="0.3"/>
    <row r="544" ht="14.4" hidden="1" x14ac:dyDescent="0.3"/>
    <row r="545" ht="14.4" hidden="1" x14ac:dyDescent="0.3"/>
    <row r="546" ht="14.4" hidden="1" x14ac:dyDescent="0.3"/>
    <row r="547" ht="14.4" hidden="1" x14ac:dyDescent="0.3"/>
    <row r="548" ht="14.4" hidden="1" x14ac:dyDescent="0.3"/>
    <row r="549" ht="14.4" hidden="1" x14ac:dyDescent="0.3"/>
    <row r="550" ht="14.4" hidden="1" x14ac:dyDescent="0.3"/>
    <row r="551" ht="14.4" hidden="1" x14ac:dyDescent="0.3"/>
    <row r="552" ht="14.4" hidden="1" x14ac:dyDescent="0.3"/>
    <row r="553" ht="14.4" hidden="1" x14ac:dyDescent="0.3"/>
    <row r="554" ht="14.4" hidden="1" x14ac:dyDescent="0.3"/>
    <row r="555" ht="14.4" hidden="1" x14ac:dyDescent="0.3"/>
    <row r="556" ht="14.4" hidden="1" x14ac:dyDescent="0.3"/>
    <row r="557" ht="14.4" hidden="1" x14ac:dyDescent="0.3"/>
    <row r="558" ht="14.4" hidden="1" x14ac:dyDescent="0.3"/>
    <row r="559" ht="14.4" hidden="1" x14ac:dyDescent="0.3"/>
    <row r="560" ht="14.4" hidden="1" x14ac:dyDescent="0.3"/>
    <row r="561" ht="14.4" hidden="1" x14ac:dyDescent="0.3"/>
    <row r="562" ht="14.4" hidden="1" x14ac:dyDescent="0.3"/>
    <row r="563" ht="14.4" hidden="1" x14ac:dyDescent="0.3"/>
    <row r="564" ht="14.4" hidden="1" x14ac:dyDescent="0.3"/>
    <row r="565" ht="14.4" hidden="1" x14ac:dyDescent="0.3"/>
    <row r="566" ht="14.4" hidden="1" x14ac:dyDescent="0.3"/>
    <row r="567" ht="14.4" hidden="1" x14ac:dyDescent="0.3"/>
    <row r="568" ht="14.4" hidden="1" x14ac:dyDescent="0.3"/>
    <row r="569" ht="14.4" hidden="1" x14ac:dyDescent="0.3"/>
    <row r="570" ht="14.4" hidden="1" x14ac:dyDescent="0.3"/>
    <row r="571" ht="14.4" hidden="1" x14ac:dyDescent="0.3"/>
    <row r="572" ht="14.4" hidden="1" x14ac:dyDescent="0.3"/>
    <row r="573" ht="14.4" hidden="1" x14ac:dyDescent="0.3"/>
    <row r="574" ht="14.4" hidden="1" x14ac:dyDescent="0.3"/>
    <row r="575" ht="14.4" hidden="1" x14ac:dyDescent="0.3"/>
    <row r="576" ht="14.4" hidden="1" x14ac:dyDescent="0.3"/>
    <row r="577" ht="14.4" hidden="1" x14ac:dyDescent="0.3"/>
    <row r="578" ht="14.4" hidden="1" x14ac:dyDescent="0.3"/>
    <row r="579" ht="14.4" hidden="1" x14ac:dyDescent="0.3"/>
    <row r="580" ht="14.4" hidden="1" x14ac:dyDescent="0.3"/>
    <row r="581" ht="14.4" hidden="1" x14ac:dyDescent="0.3"/>
    <row r="582" ht="14.4" hidden="1" x14ac:dyDescent="0.3"/>
    <row r="583" ht="14.4" hidden="1" x14ac:dyDescent="0.3"/>
    <row r="584" ht="14.4" hidden="1" x14ac:dyDescent="0.3"/>
    <row r="585" ht="14.4" hidden="1" x14ac:dyDescent="0.3"/>
    <row r="586" ht="14.4" hidden="1" x14ac:dyDescent="0.3"/>
    <row r="587" ht="14.4" hidden="1" x14ac:dyDescent="0.3"/>
    <row r="588" ht="14.4" hidden="1" x14ac:dyDescent="0.3"/>
    <row r="589" ht="14.4" hidden="1" x14ac:dyDescent="0.3"/>
    <row r="590" ht="14.4" hidden="1" x14ac:dyDescent="0.3"/>
    <row r="591" ht="14.4" hidden="1" x14ac:dyDescent="0.3"/>
    <row r="592" ht="14.4" hidden="1" x14ac:dyDescent="0.3"/>
    <row r="593" ht="14.4" hidden="1" x14ac:dyDescent="0.3"/>
    <row r="594" ht="14.4" hidden="1" x14ac:dyDescent="0.3"/>
    <row r="595" ht="14.4" hidden="1" x14ac:dyDescent="0.3"/>
    <row r="596" ht="14.4" hidden="1" x14ac:dyDescent="0.3"/>
    <row r="597" ht="14.4" hidden="1" x14ac:dyDescent="0.3"/>
    <row r="598" ht="14.4" hidden="1" x14ac:dyDescent="0.3"/>
    <row r="599" ht="14.4" hidden="1" x14ac:dyDescent="0.3"/>
    <row r="600" ht="14.4" hidden="1" x14ac:dyDescent="0.3"/>
    <row r="601" ht="14.4" hidden="1" x14ac:dyDescent="0.3"/>
    <row r="602" ht="14.4" hidden="1" x14ac:dyDescent="0.3"/>
    <row r="603" ht="14.4" hidden="1" x14ac:dyDescent="0.3"/>
    <row r="604" ht="14.4" hidden="1" x14ac:dyDescent="0.3"/>
    <row r="605" ht="14.4" hidden="1" x14ac:dyDescent="0.3"/>
    <row r="606" ht="14.4" hidden="1" x14ac:dyDescent="0.3"/>
    <row r="607" ht="14.4" hidden="1" x14ac:dyDescent="0.3"/>
    <row r="608" ht="14.4" hidden="1" x14ac:dyDescent="0.3"/>
    <row r="609" ht="14.4" hidden="1" x14ac:dyDescent="0.3"/>
    <row r="610" ht="14.4" hidden="1" x14ac:dyDescent="0.3"/>
    <row r="611" ht="14.4" hidden="1" x14ac:dyDescent="0.3"/>
    <row r="612" ht="14.4" hidden="1" x14ac:dyDescent="0.3"/>
    <row r="613" ht="14.4" hidden="1" x14ac:dyDescent="0.3"/>
    <row r="614" ht="14.4" hidden="1" x14ac:dyDescent="0.3"/>
    <row r="615" ht="14.4" hidden="1" x14ac:dyDescent="0.3"/>
    <row r="616" ht="14.4" hidden="1" x14ac:dyDescent="0.3"/>
    <row r="617" ht="14.4" hidden="1" x14ac:dyDescent="0.3"/>
    <row r="618" ht="14.4" hidden="1" x14ac:dyDescent="0.3"/>
    <row r="619" ht="14.4" hidden="1" x14ac:dyDescent="0.3"/>
    <row r="620" ht="14.4" hidden="1" x14ac:dyDescent="0.3"/>
    <row r="621" ht="14.4" hidden="1" x14ac:dyDescent="0.3"/>
    <row r="622" ht="14.4" hidden="1" x14ac:dyDescent="0.3"/>
    <row r="623" ht="14.4" hidden="1" x14ac:dyDescent="0.3"/>
    <row r="624" ht="14.4" hidden="1" x14ac:dyDescent="0.3"/>
    <row r="625" ht="14.4" hidden="1" x14ac:dyDescent="0.3"/>
    <row r="626" ht="14.4" hidden="1" x14ac:dyDescent="0.3"/>
    <row r="627" ht="14.4" hidden="1" x14ac:dyDescent="0.3"/>
    <row r="628" ht="14.4" hidden="1" x14ac:dyDescent="0.3"/>
    <row r="629" ht="14.4" hidden="1" x14ac:dyDescent="0.3"/>
    <row r="630" ht="14.4" hidden="1" x14ac:dyDescent="0.3"/>
    <row r="631" ht="14.4" hidden="1" x14ac:dyDescent="0.3"/>
    <row r="632" ht="14.4" hidden="1" x14ac:dyDescent="0.3"/>
    <row r="633" ht="14.4" hidden="1" x14ac:dyDescent="0.3"/>
    <row r="634" ht="14.4" hidden="1" x14ac:dyDescent="0.3"/>
    <row r="635" ht="14.4" hidden="1" x14ac:dyDescent="0.3"/>
    <row r="636" ht="14.4" hidden="1" x14ac:dyDescent="0.3"/>
    <row r="637" ht="14.4" hidden="1" x14ac:dyDescent="0.3"/>
    <row r="638" ht="14.4" hidden="1" x14ac:dyDescent="0.3"/>
    <row r="639" ht="14.4" hidden="1" x14ac:dyDescent="0.3"/>
    <row r="640" ht="14.4" hidden="1" x14ac:dyDescent="0.3"/>
    <row r="641" ht="14.4" hidden="1" x14ac:dyDescent="0.3"/>
    <row r="642" ht="14.4" hidden="1" x14ac:dyDescent="0.3"/>
    <row r="643" ht="14.4" hidden="1" x14ac:dyDescent="0.3"/>
    <row r="644" ht="14.4" hidden="1" x14ac:dyDescent="0.3"/>
    <row r="645" ht="14.4" hidden="1" x14ac:dyDescent="0.3"/>
    <row r="646" ht="14.4" hidden="1" x14ac:dyDescent="0.3"/>
    <row r="647" ht="14.4" hidden="1" x14ac:dyDescent="0.3"/>
    <row r="648" ht="14.4" hidden="1" x14ac:dyDescent="0.3"/>
    <row r="649" ht="14.4" hidden="1" x14ac:dyDescent="0.3"/>
    <row r="650" ht="14.4" hidden="1" x14ac:dyDescent="0.3"/>
    <row r="651" ht="14.4" hidden="1" x14ac:dyDescent="0.3"/>
    <row r="652" ht="14.4" hidden="1" x14ac:dyDescent="0.3"/>
    <row r="653" ht="14.4" hidden="1" x14ac:dyDescent="0.3"/>
    <row r="654" ht="14.4" hidden="1" x14ac:dyDescent="0.3"/>
    <row r="655" ht="14.4" hidden="1" x14ac:dyDescent="0.3"/>
    <row r="656" ht="14.4" hidden="1" x14ac:dyDescent="0.3"/>
    <row r="657" ht="14.4" hidden="1" x14ac:dyDescent="0.3"/>
    <row r="658" ht="14.4" hidden="1" x14ac:dyDescent="0.3"/>
    <row r="659" ht="14.4" hidden="1" x14ac:dyDescent="0.3"/>
    <row r="660" ht="14.4" hidden="1" x14ac:dyDescent="0.3"/>
    <row r="661" ht="14.4" hidden="1" x14ac:dyDescent="0.3"/>
    <row r="662" ht="14.4" hidden="1" x14ac:dyDescent="0.3"/>
    <row r="663" ht="14.4" hidden="1" x14ac:dyDescent="0.3"/>
    <row r="664" ht="14.4" hidden="1" x14ac:dyDescent="0.3"/>
    <row r="665" ht="14.4" hidden="1" x14ac:dyDescent="0.3"/>
    <row r="666" ht="14.4" hidden="1" x14ac:dyDescent="0.3"/>
    <row r="667" ht="14.4" hidden="1" x14ac:dyDescent="0.3"/>
    <row r="668" ht="14.4" hidden="1" x14ac:dyDescent="0.3"/>
    <row r="669" ht="14.4" hidden="1" x14ac:dyDescent="0.3"/>
    <row r="670" ht="14.4" hidden="1" x14ac:dyDescent="0.3"/>
    <row r="671" ht="14.4" hidden="1" x14ac:dyDescent="0.3"/>
    <row r="672" ht="14.4" hidden="1" x14ac:dyDescent="0.3"/>
    <row r="673" ht="14.4" hidden="1" x14ac:dyDescent="0.3"/>
    <row r="674" ht="14.4" hidden="1" x14ac:dyDescent="0.3"/>
    <row r="675" ht="14.4" hidden="1" x14ac:dyDescent="0.3"/>
    <row r="676" ht="14.4" hidden="1" x14ac:dyDescent="0.3"/>
    <row r="677" ht="14.4" hidden="1" x14ac:dyDescent="0.3"/>
    <row r="678" ht="14.4" hidden="1" x14ac:dyDescent="0.3"/>
    <row r="679" ht="14.4" hidden="1" x14ac:dyDescent="0.3"/>
    <row r="680" ht="14.4" hidden="1" x14ac:dyDescent="0.3"/>
    <row r="681" ht="14.4" hidden="1" x14ac:dyDescent="0.3"/>
    <row r="682" ht="14.4" hidden="1" x14ac:dyDescent="0.3"/>
    <row r="683" ht="14.4" hidden="1" x14ac:dyDescent="0.3"/>
    <row r="684" ht="14.4" hidden="1" x14ac:dyDescent="0.3"/>
    <row r="685" ht="14.4" hidden="1" x14ac:dyDescent="0.3"/>
    <row r="686" ht="14.4" hidden="1" x14ac:dyDescent="0.3"/>
    <row r="687" ht="14.4" hidden="1" x14ac:dyDescent="0.3"/>
    <row r="688" ht="14.4" hidden="1" x14ac:dyDescent="0.3"/>
    <row r="689" ht="14.4" hidden="1" x14ac:dyDescent="0.3"/>
    <row r="690" ht="14.4" hidden="1" x14ac:dyDescent="0.3"/>
    <row r="691" ht="14.4" hidden="1" x14ac:dyDescent="0.3"/>
    <row r="692" ht="14.4" hidden="1" x14ac:dyDescent="0.3"/>
    <row r="693" ht="14.4" hidden="1" x14ac:dyDescent="0.3"/>
    <row r="694" ht="14.4" hidden="1" x14ac:dyDescent="0.3"/>
    <row r="695" ht="14.4" hidden="1" x14ac:dyDescent="0.3"/>
    <row r="696" ht="14.4" hidden="1" x14ac:dyDescent="0.3"/>
    <row r="697" ht="14.4" hidden="1" x14ac:dyDescent="0.3"/>
    <row r="698" ht="14.4" hidden="1" x14ac:dyDescent="0.3"/>
    <row r="699" ht="14.4" hidden="1" x14ac:dyDescent="0.3"/>
    <row r="700" ht="14.4" hidden="1" x14ac:dyDescent="0.3"/>
    <row r="701" ht="14.4" hidden="1" x14ac:dyDescent="0.3"/>
    <row r="702" ht="14.4" hidden="1" x14ac:dyDescent="0.3"/>
    <row r="703" ht="14.4" hidden="1" x14ac:dyDescent="0.3"/>
    <row r="704" ht="14.4" hidden="1" x14ac:dyDescent="0.3"/>
    <row r="705" ht="14.4" hidden="1" x14ac:dyDescent="0.3"/>
    <row r="706" ht="14.4" hidden="1" x14ac:dyDescent="0.3"/>
    <row r="707" ht="14.4" hidden="1" x14ac:dyDescent="0.3"/>
    <row r="708" ht="14.4" hidden="1" x14ac:dyDescent="0.3"/>
    <row r="709" ht="14.4" hidden="1" x14ac:dyDescent="0.3"/>
    <row r="710" ht="14.4" hidden="1" x14ac:dyDescent="0.3"/>
    <row r="711" ht="14.4" hidden="1" x14ac:dyDescent="0.3"/>
    <row r="712" ht="14.4" hidden="1" x14ac:dyDescent="0.3"/>
    <row r="713" ht="14.4" hidden="1" x14ac:dyDescent="0.3"/>
    <row r="714" ht="14.4" hidden="1" x14ac:dyDescent="0.3"/>
    <row r="715" ht="14.4" hidden="1" x14ac:dyDescent="0.3"/>
    <row r="716" ht="14.4" hidden="1" x14ac:dyDescent="0.3"/>
    <row r="717" ht="14.4" hidden="1" x14ac:dyDescent="0.3"/>
    <row r="718" ht="14.4" hidden="1" x14ac:dyDescent="0.3"/>
    <row r="719" ht="14.4" hidden="1" x14ac:dyDescent="0.3"/>
    <row r="720" ht="14.4" hidden="1" x14ac:dyDescent="0.3"/>
    <row r="721" ht="14.4" hidden="1" x14ac:dyDescent="0.3"/>
    <row r="722" ht="14.4" hidden="1" x14ac:dyDescent="0.3"/>
    <row r="723" ht="14.4" hidden="1" x14ac:dyDescent="0.3"/>
    <row r="724" ht="14.4" hidden="1" x14ac:dyDescent="0.3"/>
    <row r="725" ht="14.4" hidden="1" x14ac:dyDescent="0.3"/>
    <row r="726" ht="14.4" hidden="1" x14ac:dyDescent="0.3"/>
    <row r="727" ht="14.4" hidden="1" x14ac:dyDescent="0.3"/>
    <row r="728" ht="14.4" hidden="1" x14ac:dyDescent="0.3"/>
    <row r="729" ht="14.4" hidden="1" x14ac:dyDescent="0.3"/>
    <row r="730" ht="14.4" hidden="1" x14ac:dyDescent="0.3"/>
    <row r="731" ht="14.4" hidden="1" x14ac:dyDescent="0.3"/>
    <row r="732" ht="14.4" hidden="1" x14ac:dyDescent="0.3"/>
    <row r="733" ht="14.4" hidden="1" x14ac:dyDescent="0.3"/>
    <row r="734" ht="14.4" hidden="1" x14ac:dyDescent="0.3"/>
    <row r="735" ht="14.4" hidden="1" x14ac:dyDescent="0.3"/>
    <row r="736" ht="14.4" hidden="1" x14ac:dyDescent="0.3"/>
    <row r="737" ht="14.4" hidden="1" x14ac:dyDescent="0.3"/>
    <row r="738" ht="14.4" hidden="1" x14ac:dyDescent="0.3"/>
    <row r="739" ht="14.4" hidden="1" x14ac:dyDescent="0.3"/>
    <row r="740" ht="14.4" hidden="1" x14ac:dyDescent="0.3"/>
    <row r="741" ht="14.4" hidden="1" x14ac:dyDescent="0.3"/>
    <row r="742" ht="14.4" hidden="1" x14ac:dyDescent="0.3"/>
    <row r="743" ht="14.4" hidden="1" x14ac:dyDescent="0.3"/>
    <row r="744" ht="14.4" hidden="1" x14ac:dyDescent="0.3"/>
    <row r="745" ht="14.4" hidden="1" x14ac:dyDescent="0.3"/>
    <row r="746" ht="14.4" hidden="1" x14ac:dyDescent="0.3"/>
    <row r="747" ht="14.4" hidden="1" x14ac:dyDescent="0.3"/>
    <row r="748" ht="14.4" hidden="1" x14ac:dyDescent="0.3"/>
    <row r="749" ht="14.4" hidden="1" x14ac:dyDescent="0.3"/>
    <row r="750" ht="14.4" hidden="1" x14ac:dyDescent="0.3"/>
    <row r="751" ht="14.4" hidden="1" x14ac:dyDescent="0.3"/>
    <row r="752" ht="14.4" hidden="1" x14ac:dyDescent="0.3"/>
    <row r="753" ht="14.4" hidden="1" x14ac:dyDescent="0.3"/>
    <row r="754" ht="14.4" hidden="1" x14ac:dyDescent="0.3"/>
    <row r="755" ht="14.4" hidden="1" x14ac:dyDescent="0.3"/>
    <row r="756" ht="14.4" hidden="1" x14ac:dyDescent="0.3"/>
    <row r="757" ht="14.4" hidden="1" x14ac:dyDescent="0.3"/>
    <row r="758" ht="14.4" hidden="1" x14ac:dyDescent="0.3"/>
    <row r="759" ht="14.4" hidden="1" x14ac:dyDescent="0.3"/>
    <row r="760" ht="14.4" hidden="1" x14ac:dyDescent="0.3"/>
    <row r="761" ht="14.4" hidden="1" x14ac:dyDescent="0.3"/>
    <row r="762" ht="14.4" hidden="1" x14ac:dyDescent="0.3"/>
    <row r="763" ht="14.4" hidden="1" x14ac:dyDescent="0.3"/>
    <row r="764" ht="14.4" hidden="1" x14ac:dyDescent="0.3"/>
    <row r="765" ht="14.4" hidden="1" x14ac:dyDescent="0.3"/>
    <row r="766" ht="14.4" hidden="1" x14ac:dyDescent="0.3"/>
    <row r="767" ht="14.4" hidden="1" x14ac:dyDescent="0.3"/>
    <row r="768" ht="14.4" hidden="1" x14ac:dyDescent="0.3"/>
    <row r="769" ht="14.4" hidden="1" x14ac:dyDescent="0.3"/>
    <row r="770" ht="14.4" hidden="1" x14ac:dyDescent="0.3"/>
    <row r="771" ht="14.4" hidden="1" x14ac:dyDescent="0.3"/>
    <row r="772" ht="14.4" hidden="1" x14ac:dyDescent="0.3"/>
    <row r="773" ht="14.4" hidden="1" x14ac:dyDescent="0.3"/>
    <row r="774" ht="14.4" hidden="1" x14ac:dyDescent="0.3"/>
    <row r="775" ht="14.4" hidden="1" x14ac:dyDescent="0.3"/>
    <row r="776" ht="14.4" hidden="1" x14ac:dyDescent="0.3"/>
    <row r="777" ht="14.4" hidden="1" x14ac:dyDescent="0.3"/>
    <row r="778" ht="14.4" hidden="1" x14ac:dyDescent="0.3"/>
    <row r="779" ht="14.4" hidden="1" x14ac:dyDescent="0.3"/>
    <row r="780" ht="14.4" hidden="1" x14ac:dyDescent="0.3"/>
    <row r="781" ht="14.4" hidden="1" x14ac:dyDescent="0.3"/>
    <row r="782" ht="14.4" hidden="1" x14ac:dyDescent="0.3"/>
    <row r="783" ht="14.4" hidden="1" x14ac:dyDescent="0.3"/>
    <row r="784" ht="14.4" hidden="1" x14ac:dyDescent="0.3"/>
    <row r="785" ht="14.4" hidden="1" x14ac:dyDescent="0.3"/>
    <row r="786" ht="14.4" hidden="1" x14ac:dyDescent="0.3"/>
    <row r="787" ht="14.4" hidden="1" x14ac:dyDescent="0.3"/>
    <row r="788" ht="14.4" hidden="1" x14ac:dyDescent="0.3"/>
    <row r="789" ht="14.4" hidden="1" x14ac:dyDescent="0.3"/>
    <row r="790" ht="14.4" hidden="1" x14ac:dyDescent="0.3"/>
    <row r="791" ht="14.4" hidden="1" x14ac:dyDescent="0.3"/>
    <row r="792" ht="14.4" hidden="1" x14ac:dyDescent="0.3"/>
    <row r="793" ht="14.4" hidden="1" x14ac:dyDescent="0.3"/>
    <row r="794" ht="14.4" hidden="1" x14ac:dyDescent="0.3"/>
    <row r="795" ht="14.4" hidden="1" x14ac:dyDescent="0.3"/>
    <row r="796" ht="14.4" hidden="1" x14ac:dyDescent="0.3"/>
    <row r="797" ht="14.4" hidden="1" x14ac:dyDescent="0.3"/>
    <row r="798" ht="14.4" hidden="1" x14ac:dyDescent="0.3"/>
    <row r="799" ht="14.4" hidden="1" x14ac:dyDescent="0.3"/>
    <row r="800" ht="14.4" hidden="1" x14ac:dyDescent="0.3"/>
    <row r="801" ht="14.4" hidden="1" x14ac:dyDescent="0.3"/>
    <row r="802" ht="14.4" hidden="1" x14ac:dyDescent="0.3"/>
    <row r="803" ht="14.4" hidden="1" x14ac:dyDescent="0.3"/>
    <row r="804" ht="14.4" hidden="1" x14ac:dyDescent="0.3"/>
    <row r="805" ht="14.4" hidden="1" x14ac:dyDescent="0.3"/>
    <row r="806" ht="14.4" hidden="1" x14ac:dyDescent="0.3"/>
    <row r="807" ht="14.4" hidden="1" x14ac:dyDescent="0.3"/>
    <row r="808" ht="14.4" hidden="1" x14ac:dyDescent="0.3"/>
    <row r="809" ht="14.4" hidden="1" x14ac:dyDescent="0.3"/>
    <row r="810" ht="14.4" hidden="1" x14ac:dyDescent="0.3"/>
    <row r="811" ht="14.4" hidden="1" x14ac:dyDescent="0.3"/>
    <row r="812" ht="14.4" hidden="1" x14ac:dyDescent="0.3"/>
    <row r="813" ht="14.4" hidden="1" x14ac:dyDescent="0.3"/>
    <row r="814" ht="14.4" hidden="1" x14ac:dyDescent="0.3"/>
    <row r="815" ht="14.4" hidden="1" x14ac:dyDescent="0.3"/>
    <row r="816" ht="14.4" hidden="1" x14ac:dyDescent="0.3"/>
    <row r="817" ht="14.4" hidden="1" x14ac:dyDescent="0.3"/>
    <row r="818" ht="14.4" hidden="1" x14ac:dyDescent="0.3"/>
    <row r="819" ht="14.4" hidden="1" x14ac:dyDescent="0.3"/>
    <row r="820" ht="14.4" hidden="1" x14ac:dyDescent="0.3"/>
    <row r="821" ht="14.4" hidden="1" x14ac:dyDescent="0.3"/>
    <row r="822" ht="14.4" hidden="1" x14ac:dyDescent="0.3"/>
    <row r="823" ht="14.4" hidden="1" x14ac:dyDescent="0.3"/>
    <row r="824" ht="14.4" hidden="1" x14ac:dyDescent="0.3"/>
    <row r="825" ht="14.4" hidden="1" x14ac:dyDescent="0.3"/>
    <row r="826" ht="14.4" hidden="1" x14ac:dyDescent="0.3"/>
    <row r="827" ht="14.4" hidden="1" x14ac:dyDescent="0.3"/>
    <row r="828" ht="14.4" hidden="1" x14ac:dyDescent="0.3"/>
    <row r="829" ht="14.4" hidden="1" x14ac:dyDescent="0.3"/>
    <row r="830" ht="14.4" hidden="1" x14ac:dyDescent="0.3"/>
    <row r="831" ht="14.4" hidden="1" x14ac:dyDescent="0.3"/>
    <row r="832" ht="14.4" hidden="1" x14ac:dyDescent="0.3"/>
    <row r="833" ht="14.4" hidden="1" x14ac:dyDescent="0.3"/>
    <row r="834" ht="14.4" hidden="1" x14ac:dyDescent="0.3"/>
    <row r="835" ht="14.4" hidden="1" x14ac:dyDescent="0.3"/>
    <row r="836" ht="14.4" hidden="1" x14ac:dyDescent="0.3"/>
    <row r="837" ht="14.4" hidden="1" x14ac:dyDescent="0.3"/>
    <row r="838" ht="14.4" hidden="1" x14ac:dyDescent="0.3"/>
    <row r="839" ht="14.4" hidden="1" x14ac:dyDescent="0.3"/>
    <row r="840" ht="14.4" hidden="1" x14ac:dyDescent="0.3"/>
    <row r="841" ht="14.4" hidden="1" x14ac:dyDescent="0.3"/>
    <row r="842" ht="14.4" hidden="1" x14ac:dyDescent="0.3"/>
    <row r="843" ht="14.4" hidden="1" x14ac:dyDescent="0.3"/>
    <row r="844" ht="14.4" hidden="1" x14ac:dyDescent="0.3"/>
    <row r="845" ht="14.4" hidden="1" x14ac:dyDescent="0.3"/>
    <row r="846" ht="14.4" hidden="1" x14ac:dyDescent="0.3"/>
    <row r="847" ht="14.4" hidden="1" x14ac:dyDescent="0.3"/>
    <row r="848" ht="14.4" hidden="1" x14ac:dyDescent="0.3"/>
    <row r="849" ht="14.4" hidden="1" x14ac:dyDescent="0.3"/>
    <row r="850" ht="14.4" hidden="1" x14ac:dyDescent="0.3"/>
    <row r="851" ht="14.4" hidden="1" x14ac:dyDescent="0.3"/>
    <row r="852" ht="14.4" hidden="1" x14ac:dyDescent="0.3"/>
    <row r="853" ht="14.4" hidden="1" x14ac:dyDescent="0.3"/>
    <row r="854" ht="14.4" hidden="1" x14ac:dyDescent="0.3"/>
    <row r="855" ht="14.4" hidden="1" x14ac:dyDescent="0.3"/>
    <row r="856" ht="14.4" hidden="1" x14ac:dyDescent="0.3"/>
    <row r="857" ht="14.4" hidden="1" x14ac:dyDescent="0.3"/>
    <row r="858" ht="14.4" hidden="1" x14ac:dyDescent="0.3"/>
    <row r="859" ht="14.4" hidden="1" x14ac:dyDescent="0.3"/>
    <row r="860" ht="14.4" hidden="1" x14ac:dyDescent="0.3"/>
    <row r="861" ht="14.4" hidden="1" x14ac:dyDescent="0.3"/>
    <row r="862" ht="14.4" hidden="1" x14ac:dyDescent="0.3"/>
    <row r="863" ht="14.4" hidden="1" x14ac:dyDescent="0.3"/>
    <row r="864" ht="14.4" hidden="1" x14ac:dyDescent="0.3"/>
    <row r="865" ht="14.4" hidden="1" x14ac:dyDescent="0.3"/>
    <row r="866" ht="14.4" hidden="1" x14ac:dyDescent="0.3"/>
    <row r="867" ht="14.4" hidden="1" x14ac:dyDescent="0.3"/>
    <row r="868" ht="14.4" hidden="1" x14ac:dyDescent="0.3"/>
    <row r="869" ht="14.4" hidden="1" x14ac:dyDescent="0.3"/>
    <row r="870" ht="14.4" hidden="1" x14ac:dyDescent="0.3"/>
    <row r="871" ht="14.4" hidden="1" x14ac:dyDescent="0.3"/>
    <row r="872" ht="14.4" hidden="1" x14ac:dyDescent="0.3"/>
    <row r="873" ht="14.4" hidden="1" x14ac:dyDescent="0.3"/>
    <row r="874" ht="14.4" hidden="1" x14ac:dyDescent="0.3"/>
    <row r="875" ht="14.4" hidden="1" x14ac:dyDescent="0.3"/>
    <row r="876" ht="14.4" hidden="1" x14ac:dyDescent="0.3"/>
    <row r="877" ht="14.4" hidden="1" x14ac:dyDescent="0.3"/>
    <row r="878" ht="14.4" hidden="1" x14ac:dyDescent="0.3"/>
    <row r="879" ht="14.4" hidden="1" x14ac:dyDescent="0.3"/>
    <row r="880" ht="14.4" hidden="1" x14ac:dyDescent="0.3"/>
    <row r="881" ht="14.4" hidden="1" x14ac:dyDescent="0.3"/>
    <row r="882" ht="14.4" hidden="1" x14ac:dyDescent="0.3"/>
    <row r="883" ht="14.4" hidden="1" x14ac:dyDescent="0.3"/>
    <row r="884" ht="14.4" hidden="1" x14ac:dyDescent="0.3"/>
    <row r="885" ht="14.4" hidden="1" x14ac:dyDescent="0.3"/>
    <row r="886" ht="14.4" hidden="1" x14ac:dyDescent="0.3"/>
    <row r="887" ht="14.4" hidden="1" x14ac:dyDescent="0.3"/>
    <row r="888" ht="14.4" hidden="1" x14ac:dyDescent="0.3"/>
    <row r="889" ht="14.4" hidden="1" x14ac:dyDescent="0.3"/>
    <row r="890" ht="14.4" hidden="1" x14ac:dyDescent="0.3"/>
    <row r="891" ht="14.4" hidden="1" x14ac:dyDescent="0.3"/>
    <row r="892" ht="14.4" hidden="1" x14ac:dyDescent="0.3"/>
    <row r="893" ht="14.4" hidden="1" x14ac:dyDescent="0.3"/>
    <row r="894" ht="14.4" hidden="1" x14ac:dyDescent="0.3"/>
    <row r="895" ht="14.4" hidden="1" x14ac:dyDescent="0.3"/>
    <row r="896" ht="14.4" hidden="1" x14ac:dyDescent="0.3"/>
    <row r="897" ht="14.4" hidden="1" x14ac:dyDescent="0.3"/>
    <row r="898" ht="14.4" hidden="1" x14ac:dyDescent="0.3"/>
    <row r="899" ht="14.4" hidden="1" x14ac:dyDescent="0.3"/>
    <row r="900" ht="14.4" hidden="1" x14ac:dyDescent="0.3"/>
    <row r="901" ht="14.4" hidden="1" x14ac:dyDescent="0.3"/>
    <row r="902" ht="14.4" hidden="1" x14ac:dyDescent="0.3"/>
    <row r="903" ht="14.4" hidden="1" x14ac:dyDescent="0.3"/>
    <row r="904" ht="14.4" hidden="1" x14ac:dyDescent="0.3"/>
    <row r="905" ht="14.4" hidden="1" x14ac:dyDescent="0.3"/>
    <row r="906" ht="14.4" hidden="1" x14ac:dyDescent="0.3"/>
    <row r="907" ht="14.4" hidden="1" x14ac:dyDescent="0.3"/>
    <row r="908" ht="14.4" hidden="1" x14ac:dyDescent="0.3"/>
    <row r="909" ht="14.4" hidden="1" x14ac:dyDescent="0.3"/>
    <row r="910" ht="14.4" hidden="1" x14ac:dyDescent="0.3"/>
    <row r="911" ht="14.4" hidden="1" x14ac:dyDescent="0.3"/>
    <row r="912" ht="14.4" hidden="1" x14ac:dyDescent="0.3"/>
    <row r="913" ht="14.4" hidden="1" x14ac:dyDescent="0.3"/>
    <row r="914" ht="14.4" hidden="1" x14ac:dyDescent="0.3"/>
    <row r="915" ht="14.4" hidden="1" x14ac:dyDescent="0.3"/>
    <row r="916" ht="14.4" hidden="1" x14ac:dyDescent="0.3"/>
    <row r="917" ht="14.4" hidden="1" x14ac:dyDescent="0.3"/>
    <row r="918" ht="14.4" hidden="1" x14ac:dyDescent="0.3"/>
    <row r="919" ht="14.4" hidden="1" x14ac:dyDescent="0.3"/>
    <row r="920" ht="14.4" hidden="1" x14ac:dyDescent="0.3"/>
    <row r="921" ht="14.4" hidden="1" x14ac:dyDescent="0.3"/>
    <row r="922" ht="14.4" hidden="1" x14ac:dyDescent="0.3"/>
    <row r="923" ht="14.4" hidden="1" x14ac:dyDescent="0.3"/>
    <row r="924" ht="14.4" hidden="1" x14ac:dyDescent="0.3"/>
    <row r="925" ht="14.4" hidden="1" x14ac:dyDescent="0.3"/>
    <row r="926" ht="14.4" hidden="1" x14ac:dyDescent="0.3"/>
    <row r="927" ht="14.4" hidden="1" x14ac:dyDescent="0.3"/>
    <row r="928" ht="14.4" hidden="1" x14ac:dyDescent="0.3"/>
    <row r="929" ht="14.4" hidden="1" x14ac:dyDescent="0.3"/>
    <row r="930" ht="14.4" hidden="1" x14ac:dyDescent="0.3"/>
    <row r="931" ht="14.4" hidden="1" x14ac:dyDescent="0.3"/>
    <row r="932" ht="14.4" hidden="1" x14ac:dyDescent="0.3"/>
    <row r="933" ht="14.4" hidden="1" x14ac:dyDescent="0.3"/>
    <row r="934" ht="14.4" hidden="1" x14ac:dyDescent="0.3"/>
    <row r="935" ht="14.4" hidden="1" x14ac:dyDescent="0.3"/>
    <row r="936" ht="14.4" hidden="1" x14ac:dyDescent="0.3"/>
    <row r="937" ht="14.4" hidden="1" x14ac:dyDescent="0.3"/>
    <row r="938" ht="14.4" hidden="1" x14ac:dyDescent="0.3"/>
    <row r="939" ht="14.4" hidden="1" x14ac:dyDescent="0.3"/>
    <row r="940" ht="14.4" hidden="1" x14ac:dyDescent="0.3"/>
    <row r="941" ht="14.4" hidden="1" x14ac:dyDescent="0.3"/>
    <row r="942" ht="14.4" hidden="1" x14ac:dyDescent="0.3"/>
    <row r="943" ht="14.4" hidden="1" x14ac:dyDescent="0.3"/>
    <row r="944" ht="14.4" hidden="1" x14ac:dyDescent="0.3"/>
    <row r="945" ht="14.4" hidden="1" x14ac:dyDescent="0.3"/>
    <row r="946" ht="14.4" hidden="1" x14ac:dyDescent="0.3"/>
    <row r="947" ht="14.4" hidden="1" x14ac:dyDescent="0.3"/>
    <row r="948" ht="14.4" hidden="1" x14ac:dyDescent="0.3"/>
    <row r="949" ht="14.4" hidden="1" x14ac:dyDescent="0.3"/>
    <row r="950" ht="14.4" hidden="1" x14ac:dyDescent="0.3"/>
    <row r="951" ht="14.4" hidden="1" x14ac:dyDescent="0.3"/>
    <row r="952" ht="14.4" hidden="1" x14ac:dyDescent="0.3"/>
    <row r="953" ht="14.4" hidden="1" x14ac:dyDescent="0.3"/>
    <row r="954" ht="14.4" hidden="1" x14ac:dyDescent="0.3"/>
    <row r="955" ht="14.4" hidden="1" x14ac:dyDescent="0.3"/>
    <row r="956" ht="14.4" hidden="1" x14ac:dyDescent="0.3"/>
    <row r="957" ht="14.4" hidden="1" x14ac:dyDescent="0.3"/>
    <row r="958" ht="14.4" hidden="1" x14ac:dyDescent="0.3"/>
    <row r="959" ht="14.4" hidden="1" x14ac:dyDescent="0.3"/>
    <row r="960" ht="14.4" hidden="1" x14ac:dyDescent="0.3"/>
    <row r="961" ht="14.4" hidden="1" x14ac:dyDescent="0.3"/>
    <row r="962" ht="14.4" hidden="1" x14ac:dyDescent="0.3"/>
    <row r="963" ht="14.4" hidden="1" x14ac:dyDescent="0.3"/>
    <row r="964" ht="14.4" hidden="1" x14ac:dyDescent="0.3"/>
    <row r="965" ht="14.4" hidden="1" x14ac:dyDescent="0.3"/>
    <row r="966" ht="14.4" hidden="1" x14ac:dyDescent="0.3"/>
    <row r="967" ht="14.4" hidden="1" x14ac:dyDescent="0.3"/>
    <row r="968" ht="14.4" hidden="1" x14ac:dyDescent="0.3"/>
    <row r="969" ht="14.4" hidden="1" x14ac:dyDescent="0.3"/>
    <row r="970" ht="14.4" hidden="1" x14ac:dyDescent="0.3"/>
    <row r="971" ht="14.4" hidden="1" x14ac:dyDescent="0.3"/>
    <row r="972" ht="14.4" hidden="1" x14ac:dyDescent="0.3"/>
    <row r="973" ht="14.4" hidden="1" x14ac:dyDescent="0.3"/>
    <row r="974" ht="14.4" hidden="1" x14ac:dyDescent="0.3"/>
    <row r="975" ht="14.4" hidden="1" x14ac:dyDescent="0.3"/>
    <row r="976" ht="14.4" hidden="1" x14ac:dyDescent="0.3"/>
    <row r="977" ht="14.4" hidden="1" x14ac:dyDescent="0.3"/>
    <row r="978" ht="14.4" hidden="1" x14ac:dyDescent="0.3"/>
    <row r="979" ht="14.4" hidden="1" x14ac:dyDescent="0.3"/>
    <row r="980" ht="14.4" hidden="1" x14ac:dyDescent="0.3"/>
    <row r="981" ht="14.4" hidden="1" x14ac:dyDescent="0.3"/>
    <row r="982" ht="14.4" hidden="1" x14ac:dyDescent="0.3"/>
    <row r="983" ht="14.4" hidden="1" x14ac:dyDescent="0.3"/>
    <row r="984" ht="14.4" hidden="1" x14ac:dyDescent="0.3"/>
    <row r="985" ht="14.4" hidden="1" x14ac:dyDescent="0.3"/>
    <row r="986" ht="14.4" hidden="1" x14ac:dyDescent="0.3"/>
    <row r="987" ht="14.4" hidden="1" x14ac:dyDescent="0.3"/>
    <row r="988" ht="14.4" hidden="1" x14ac:dyDescent="0.3"/>
    <row r="989" ht="14.4" hidden="1" x14ac:dyDescent="0.3"/>
    <row r="990" ht="14.4" hidden="1" x14ac:dyDescent="0.3"/>
    <row r="991" ht="14.4" hidden="1" x14ac:dyDescent="0.3"/>
    <row r="992" ht="14.4" hidden="1" x14ac:dyDescent="0.3"/>
    <row r="993" ht="14.4" hidden="1" x14ac:dyDescent="0.3"/>
    <row r="994" ht="14.4" hidden="1" x14ac:dyDescent="0.3"/>
    <row r="995" ht="14.4" hidden="1" x14ac:dyDescent="0.3"/>
    <row r="996" ht="14.4" hidden="1" x14ac:dyDescent="0.3"/>
    <row r="997" ht="14.4" hidden="1" x14ac:dyDescent="0.3"/>
    <row r="998" ht="14.4" hidden="1" x14ac:dyDescent="0.3"/>
    <row r="999" ht="14.4" hidden="1" x14ac:dyDescent="0.3"/>
    <row r="1000" ht="14.4" hidden="1" x14ac:dyDescent="0.3"/>
  </sheetData>
  <autoFilter ref="A1:L1000" xr:uid="{00000000-0009-0000-0000-000003000000}">
    <filterColumn colId="2">
      <filters>
        <filter val="Electronics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outlinePr summaryBelow="0" summaryRight="0"/>
  </sheetPr>
  <dimension ref="A1:K1000"/>
  <sheetViews>
    <sheetView workbookViewId="0"/>
  </sheetViews>
  <sheetFormatPr defaultColWidth="14.44140625" defaultRowHeight="15" customHeight="1" x14ac:dyDescent="0.3"/>
  <sheetData>
    <row r="1" spans="1:11" ht="14.4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0</v>
      </c>
    </row>
    <row r="2" spans="1:11" ht="14.4" hidden="1" x14ac:dyDescent="0.3">
      <c r="A2" s="1" t="s">
        <v>11</v>
      </c>
      <c r="B2" s="1" t="s">
        <v>12</v>
      </c>
      <c r="C2" s="1" t="s">
        <v>13</v>
      </c>
      <c r="D2" s="1" t="s">
        <v>14</v>
      </c>
      <c r="E2" s="1">
        <v>3</v>
      </c>
      <c r="F2" s="1">
        <v>222</v>
      </c>
      <c r="G2" s="1">
        <v>15</v>
      </c>
      <c r="H2" s="2">
        <v>46081</v>
      </c>
      <c r="I2" s="2">
        <v>46083</v>
      </c>
      <c r="J2" s="1" t="s">
        <v>15</v>
      </c>
      <c r="K2" s="1">
        <v>1001</v>
      </c>
    </row>
    <row r="3" spans="1:11" ht="14.4" hidden="1" x14ac:dyDescent="0.3">
      <c r="A3" s="1" t="s">
        <v>16</v>
      </c>
      <c r="B3" s="1" t="s">
        <v>17</v>
      </c>
      <c r="C3" s="1" t="s">
        <v>18</v>
      </c>
      <c r="D3" s="1" t="s">
        <v>19</v>
      </c>
      <c r="E3" s="1">
        <v>7</v>
      </c>
      <c r="F3" s="1">
        <v>8448</v>
      </c>
      <c r="G3" s="1">
        <v>12</v>
      </c>
      <c r="H3" s="2">
        <v>46174</v>
      </c>
      <c r="I3" s="2">
        <v>46179</v>
      </c>
      <c r="J3" s="1" t="s">
        <v>20</v>
      </c>
      <c r="K3" s="1">
        <v>1002</v>
      </c>
    </row>
    <row r="4" spans="1:11" ht="14.4" hidden="1" x14ac:dyDescent="0.3">
      <c r="A4" s="1" t="s">
        <v>21</v>
      </c>
      <c r="B4" s="1" t="s">
        <v>22</v>
      </c>
      <c r="C4" s="1" t="s">
        <v>18</v>
      </c>
      <c r="D4" s="1" t="s">
        <v>23</v>
      </c>
      <c r="E4" s="1">
        <v>20</v>
      </c>
      <c r="F4" s="1">
        <v>2123</v>
      </c>
      <c r="G4" s="1">
        <v>15</v>
      </c>
      <c r="H4" s="2">
        <v>46183</v>
      </c>
      <c r="I4" s="2">
        <v>46192</v>
      </c>
      <c r="J4" s="1" t="s">
        <v>24</v>
      </c>
      <c r="K4" s="1">
        <v>1003</v>
      </c>
    </row>
    <row r="5" spans="1:11" ht="14.4" hidden="1" x14ac:dyDescent="0.3">
      <c r="A5" s="1" t="s">
        <v>16</v>
      </c>
      <c r="B5" s="1" t="s">
        <v>25</v>
      </c>
      <c r="C5" s="1" t="s">
        <v>18</v>
      </c>
      <c r="D5" s="1" t="s">
        <v>23</v>
      </c>
      <c r="E5" s="1">
        <v>16</v>
      </c>
      <c r="F5" s="1">
        <v>11739</v>
      </c>
      <c r="G5" s="1">
        <v>12</v>
      </c>
      <c r="H5" s="2">
        <v>46034</v>
      </c>
      <c r="I5" s="2">
        <v>46040</v>
      </c>
      <c r="J5" s="1" t="s">
        <v>20</v>
      </c>
      <c r="K5" s="1">
        <v>1004</v>
      </c>
    </row>
    <row r="6" spans="1:11" ht="14.4" hidden="1" x14ac:dyDescent="0.3">
      <c r="A6" s="1" t="s">
        <v>26</v>
      </c>
      <c r="B6" s="1" t="s">
        <v>17</v>
      </c>
      <c r="C6" s="1" t="s">
        <v>13</v>
      </c>
      <c r="D6" s="1" t="s">
        <v>14</v>
      </c>
      <c r="E6" s="1">
        <v>18</v>
      </c>
      <c r="F6" s="1">
        <v>70</v>
      </c>
      <c r="G6" s="1">
        <v>0</v>
      </c>
      <c r="H6" s="2">
        <v>46171</v>
      </c>
      <c r="I6" s="2">
        <v>46179</v>
      </c>
      <c r="J6" s="1" t="s">
        <v>24</v>
      </c>
      <c r="K6" s="1">
        <v>1005</v>
      </c>
    </row>
    <row r="7" spans="1:11" ht="14.4" hidden="1" x14ac:dyDescent="0.3">
      <c r="A7" s="1" t="s">
        <v>27</v>
      </c>
      <c r="B7" s="1" t="s">
        <v>25</v>
      </c>
      <c r="C7" s="1" t="s">
        <v>18</v>
      </c>
      <c r="D7" s="1" t="s">
        <v>28</v>
      </c>
      <c r="E7" s="1">
        <v>3</v>
      </c>
      <c r="F7" s="1">
        <v>2714</v>
      </c>
      <c r="G7" s="1">
        <v>5</v>
      </c>
      <c r="H7" s="2">
        <v>46055</v>
      </c>
      <c r="I7" s="2">
        <v>46062</v>
      </c>
      <c r="J7" s="1" t="s">
        <v>29</v>
      </c>
      <c r="K7" s="1">
        <v>1006</v>
      </c>
    </row>
    <row r="8" spans="1:11" ht="14.4" hidden="1" x14ac:dyDescent="0.3">
      <c r="A8" s="1" t="s">
        <v>21</v>
      </c>
      <c r="B8" s="1" t="s">
        <v>22</v>
      </c>
      <c r="C8" s="1" t="s">
        <v>13</v>
      </c>
      <c r="D8" s="1" t="s">
        <v>14</v>
      </c>
      <c r="E8" s="1">
        <v>19</v>
      </c>
      <c r="F8" s="1">
        <v>149</v>
      </c>
      <c r="G8" s="1">
        <v>7</v>
      </c>
      <c r="H8" s="2">
        <v>46162</v>
      </c>
      <c r="I8" s="2">
        <v>46168</v>
      </c>
      <c r="J8" s="1" t="s">
        <v>24</v>
      </c>
      <c r="K8" s="1">
        <v>1007</v>
      </c>
    </row>
    <row r="9" spans="1:11" ht="14.4" hidden="1" x14ac:dyDescent="0.3">
      <c r="A9" s="1" t="s">
        <v>30</v>
      </c>
      <c r="B9" s="1" t="s">
        <v>31</v>
      </c>
      <c r="C9" s="1" t="s">
        <v>18</v>
      </c>
      <c r="D9" s="1" t="s">
        <v>28</v>
      </c>
      <c r="E9" s="1">
        <v>1</v>
      </c>
      <c r="F9" s="1">
        <v>1134</v>
      </c>
      <c r="G9" s="1">
        <v>0</v>
      </c>
      <c r="H9" s="2">
        <v>46033</v>
      </c>
      <c r="I9" s="2">
        <v>46041</v>
      </c>
      <c r="J9" s="1" t="s">
        <v>24</v>
      </c>
      <c r="K9" s="1">
        <v>1008</v>
      </c>
    </row>
    <row r="10" spans="1:11" ht="14.4" hidden="1" x14ac:dyDescent="0.3">
      <c r="A10" s="1" t="s">
        <v>32</v>
      </c>
      <c r="B10" s="1" t="s">
        <v>33</v>
      </c>
      <c r="C10" s="1" t="s">
        <v>34</v>
      </c>
      <c r="D10" s="1" t="s">
        <v>35</v>
      </c>
      <c r="E10" s="1">
        <v>10</v>
      </c>
      <c r="F10" s="1">
        <v>40671</v>
      </c>
      <c r="G10" s="1">
        <v>12</v>
      </c>
      <c r="H10" s="2">
        <v>46183</v>
      </c>
      <c r="I10" s="2">
        <v>46193</v>
      </c>
      <c r="J10" s="1" t="s">
        <v>24</v>
      </c>
      <c r="K10" s="1">
        <v>1009</v>
      </c>
    </row>
    <row r="11" spans="1:11" ht="14.4" hidden="1" x14ac:dyDescent="0.3">
      <c r="A11" s="1" t="s">
        <v>11</v>
      </c>
      <c r="B11" s="1" t="s">
        <v>17</v>
      </c>
      <c r="C11" s="1" t="s">
        <v>13</v>
      </c>
      <c r="D11" s="1" t="s">
        <v>36</v>
      </c>
      <c r="E11" s="1">
        <v>14</v>
      </c>
      <c r="F11" s="1">
        <v>470</v>
      </c>
      <c r="G11" s="1">
        <v>5</v>
      </c>
      <c r="H11" s="2">
        <v>46062</v>
      </c>
      <c r="I11" s="2">
        <v>46068</v>
      </c>
      <c r="J11" s="1" t="s">
        <v>15</v>
      </c>
      <c r="K11" s="1">
        <v>1010</v>
      </c>
    </row>
    <row r="12" spans="1:11" ht="14.4" hidden="1" x14ac:dyDescent="0.3">
      <c r="A12" s="1" t="s">
        <v>11</v>
      </c>
      <c r="B12" s="1" t="s">
        <v>17</v>
      </c>
      <c r="C12" s="1" t="s">
        <v>13</v>
      </c>
      <c r="D12" s="1" t="s">
        <v>37</v>
      </c>
      <c r="E12" s="1">
        <v>14</v>
      </c>
      <c r="F12" s="1">
        <v>88</v>
      </c>
      <c r="G12" s="1">
        <v>12</v>
      </c>
      <c r="H12" s="2">
        <v>46161</v>
      </c>
      <c r="I12" s="2">
        <v>46163</v>
      </c>
      <c r="J12" s="1" t="s">
        <v>15</v>
      </c>
      <c r="K12" s="1">
        <v>1011</v>
      </c>
    </row>
    <row r="13" spans="1:11" ht="14.4" hidden="1" x14ac:dyDescent="0.3">
      <c r="A13" s="1" t="s">
        <v>26</v>
      </c>
      <c r="B13" s="1" t="s">
        <v>38</v>
      </c>
      <c r="C13" s="1" t="s">
        <v>34</v>
      </c>
      <c r="D13" s="1" t="s">
        <v>39</v>
      </c>
      <c r="E13" s="1">
        <v>3</v>
      </c>
      <c r="F13" s="1">
        <v>64615</v>
      </c>
      <c r="G13" s="1">
        <v>10</v>
      </c>
      <c r="H13" s="2">
        <v>46086</v>
      </c>
      <c r="I13" s="2">
        <v>46095</v>
      </c>
      <c r="J13" s="1" t="s">
        <v>29</v>
      </c>
      <c r="K13" s="1">
        <v>1012</v>
      </c>
    </row>
    <row r="14" spans="1:11" ht="14.4" hidden="1" x14ac:dyDescent="0.3">
      <c r="A14" s="1" t="s">
        <v>16</v>
      </c>
      <c r="B14" s="1" t="s">
        <v>31</v>
      </c>
      <c r="C14" s="1" t="s">
        <v>13</v>
      </c>
      <c r="D14" s="1" t="s">
        <v>36</v>
      </c>
      <c r="E14" s="1">
        <v>17</v>
      </c>
      <c r="F14" s="1">
        <v>459</v>
      </c>
      <c r="G14" s="1">
        <v>12</v>
      </c>
      <c r="H14" s="2">
        <v>46095</v>
      </c>
      <c r="I14" s="2">
        <v>46105</v>
      </c>
      <c r="J14" s="1" t="s">
        <v>29</v>
      </c>
      <c r="K14" s="1">
        <v>1013</v>
      </c>
    </row>
    <row r="15" spans="1:11" ht="14.4" hidden="1" x14ac:dyDescent="0.3">
      <c r="A15" s="1" t="s">
        <v>40</v>
      </c>
      <c r="B15" s="1" t="s">
        <v>17</v>
      </c>
      <c r="C15" s="1" t="s">
        <v>34</v>
      </c>
      <c r="D15" s="1" t="s">
        <v>41</v>
      </c>
      <c r="E15" s="1">
        <v>19</v>
      </c>
      <c r="F15" s="1">
        <v>53683</v>
      </c>
      <c r="G15" s="1">
        <v>12</v>
      </c>
      <c r="H15" s="2">
        <v>46129</v>
      </c>
      <c r="I15" s="2">
        <v>46134</v>
      </c>
      <c r="J15" s="1" t="s">
        <v>29</v>
      </c>
      <c r="K15" s="1">
        <v>1014</v>
      </c>
    </row>
    <row r="16" spans="1:11" ht="14.4" hidden="1" x14ac:dyDescent="0.3">
      <c r="A16" s="1" t="s">
        <v>42</v>
      </c>
      <c r="B16" s="1" t="s">
        <v>43</v>
      </c>
      <c r="C16" s="1" t="s">
        <v>18</v>
      </c>
      <c r="D16" s="1" t="s">
        <v>44</v>
      </c>
      <c r="E16" s="1">
        <v>11</v>
      </c>
      <c r="F16" s="1">
        <v>14511</v>
      </c>
      <c r="G16" s="1">
        <v>2</v>
      </c>
      <c r="H16" s="2">
        <v>46175</v>
      </c>
      <c r="I16" s="2">
        <v>46185</v>
      </c>
      <c r="J16" s="1" t="s">
        <v>20</v>
      </c>
      <c r="K16" s="1">
        <v>1015</v>
      </c>
    </row>
    <row r="17" spans="1:11" ht="14.4" hidden="1" x14ac:dyDescent="0.3">
      <c r="A17" s="1" t="s">
        <v>32</v>
      </c>
      <c r="B17" s="1" t="s">
        <v>33</v>
      </c>
      <c r="C17" s="1" t="s">
        <v>34</v>
      </c>
      <c r="D17" s="1" t="s">
        <v>45</v>
      </c>
      <c r="E17" s="1">
        <v>16</v>
      </c>
      <c r="F17" s="1">
        <v>30234</v>
      </c>
      <c r="G17" s="1">
        <v>15</v>
      </c>
      <c r="H17" s="2">
        <v>46137</v>
      </c>
      <c r="I17" s="2">
        <v>46140</v>
      </c>
      <c r="J17" s="1" t="s">
        <v>24</v>
      </c>
      <c r="K17" s="1">
        <v>1016</v>
      </c>
    </row>
    <row r="18" spans="1:11" ht="14.4" hidden="1" x14ac:dyDescent="0.3">
      <c r="A18" s="1" t="s">
        <v>46</v>
      </c>
      <c r="B18" s="1" t="s">
        <v>38</v>
      </c>
      <c r="C18" s="1" t="s">
        <v>13</v>
      </c>
      <c r="D18" s="1" t="s">
        <v>36</v>
      </c>
      <c r="E18" s="1">
        <v>8</v>
      </c>
      <c r="F18" s="1">
        <v>179</v>
      </c>
      <c r="G18" s="1">
        <v>15</v>
      </c>
      <c r="H18" s="2">
        <v>46082</v>
      </c>
      <c r="I18" s="2">
        <v>46084</v>
      </c>
      <c r="J18" s="1" t="s">
        <v>15</v>
      </c>
      <c r="K18" s="1">
        <v>1017</v>
      </c>
    </row>
    <row r="19" spans="1:11" ht="14.4" hidden="1" x14ac:dyDescent="0.3">
      <c r="A19" s="1" t="s">
        <v>47</v>
      </c>
      <c r="B19" s="1" t="s">
        <v>25</v>
      </c>
      <c r="C19" s="1" t="s">
        <v>13</v>
      </c>
      <c r="D19" s="1" t="s">
        <v>14</v>
      </c>
      <c r="E19" s="1">
        <v>20</v>
      </c>
      <c r="F19" s="1">
        <v>301</v>
      </c>
      <c r="G19" s="1">
        <v>0</v>
      </c>
      <c r="H19" s="2">
        <v>46089</v>
      </c>
      <c r="I19" s="2">
        <v>46094</v>
      </c>
      <c r="J19" s="1" t="s">
        <v>29</v>
      </c>
      <c r="K19" s="1">
        <v>1018</v>
      </c>
    </row>
    <row r="20" spans="1:11" ht="14.4" x14ac:dyDescent="0.3">
      <c r="A20" s="1" t="s">
        <v>11</v>
      </c>
      <c r="B20" s="1" t="s">
        <v>43</v>
      </c>
      <c r="C20" s="1" t="s">
        <v>34</v>
      </c>
      <c r="D20" s="1" t="s">
        <v>41</v>
      </c>
      <c r="E20" s="1">
        <v>18</v>
      </c>
      <c r="F20" s="1">
        <v>45652</v>
      </c>
      <c r="G20" s="1">
        <v>10</v>
      </c>
      <c r="H20" s="2">
        <v>46023</v>
      </c>
      <c r="I20" s="2">
        <v>46030</v>
      </c>
      <c r="J20" s="1" t="s">
        <v>20</v>
      </c>
      <c r="K20" s="1">
        <v>1019</v>
      </c>
    </row>
    <row r="21" spans="1:11" ht="14.4" hidden="1" x14ac:dyDescent="0.3">
      <c r="A21" s="1" t="s">
        <v>46</v>
      </c>
      <c r="B21" s="1" t="s">
        <v>12</v>
      </c>
      <c r="C21" s="1" t="s">
        <v>18</v>
      </c>
      <c r="D21" s="1" t="s">
        <v>19</v>
      </c>
      <c r="E21" s="1">
        <v>5</v>
      </c>
      <c r="F21" s="1">
        <v>4582</v>
      </c>
      <c r="G21" s="1">
        <v>5</v>
      </c>
      <c r="H21" s="2">
        <v>46078</v>
      </c>
      <c r="I21" s="2">
        <v>46083</v>
      </c>
      <c r="J21" s="1" t="s">
        <v>15</v>
      </c>
      <c r="K21" s="1">
        <v>1020</v>
      </c>
    </row>
    <row r="22" spans="1:11" ht="14.4" hidden="1" x14ac:dyDescent="0.3">
      <c r="A22" s="1" t="s">
        <v>48</v>
      </c>
      <c r="B22" s="1" t="s">
        <v>43</v>
      </c>
      <c r="C22" s="1" t="s">
        <v>13</v>
      </c>
      <c r="D22" s="1" t="s">
        <v>14</v>
      </c>
      <c r="E22" s="1">
        <v>3</v>
      </c>
      <c r="F22" s="1">
        <v>484</v>
      </c>
      <c r="G22" s="1">
        <v>2</v>
      </c>
      <c r="H22" s="2">
        <v>46144</v>
      </c>
      <c r="I22" s="2">
        <v>46148</v>
      </c>
      <c r="J22" s="1" t="s">
        <v>24</v>
      </c>
      <c r="K22" s="1">
        <v>1021</v>
      </c>
    </row>
    <row r="23" spans="1:11" ht="14.4" hidden="1" x14ac:dyDescent="0.3">
      <c r="A23" s="1" t="s">
        <v>26</v>
      </c>
      <c r="B23" s="1" t="s">
        <v>17</v>
      </c>
      <c r="C23" s="1" t="s">
        <v>34</v>
      </c>
      <c r="D23" s="1" t="s">
        <v>45</v>
      </c>
      <c r="E23" s="1">
        <v>15</v>
      </c>
      <c r="F23" s="1">
        <v>11596</v>
      </c>
      <c r="G23" s="1">
        <v>0</v>
      </c>
      <c r="H23" s="2">
        <v>46117</v>
      </c>
      <c r="I23" s="2">
        <v>46121</v>
      </c>
      <c r="J23" s="1" t="s">
        <v>29</v>
      </c>
      <c r="K23" s="1">
        <v>1022</v>
      </c>
    </row>
    <row r="24" spans="1:11" ht="14.4" hidden="1" x14ac:dyDescent="0.3">
      <c r="A24" s="1" t="s">
        <v>40</v>
      </c>
      <c r="B24" s="1" t="s">
        <v>12</v>
      </c>
      <c r="C24" s="1" t="s">
        <v>18</v>
      </c>
      <c r="D24" s="1" t="s">
        <v>44</v>
      </c>
      <c r="E24" s="1">
        <v>15</v>
      </c>
      <c r="F24" s="1">
        <v>3506</v>
      </c>
      <c r="G24" s="1">
        <v>2</v>
      </c>
      <c r="H24" s="2">
        <v>46193</v>
      </c>
      <c r="I24" s="2">
        <v>46194</v>
      </c>
      <c r="J24" s="1" t="s">
        <v>29</v>
      </c>
      <c r="K24" s="1">
        <v>1023</v>
      </c>
    </row>
    <row r="25" spans="1:11" ht="14.4" hidden="1" x14ac:dyDescent="0.3">
      <c r="A25" s="1" t="s">
        <v>32</v>
      </c>
      <c r="B25" s="1" t="s">
        <v>38</v>
      </c>
      <c r="C25" s="1" t="s">
        <v>34</v>
      </c>
      <c r="D25" s="1" t="s">
        <v>41</v>
      </c>
      <c r="E25" s="1">
        <v>12</v>
      </c>
      <c r="F25" s="1">
        <v>1682</v>
      </c>
      <c r="G25" s="1">
        <v>5</v>
      </c>
      <c r="H25" s="2">
        <v>46161</v>
      </c>
      <c r="I25" s="2">
        <v>46165</v>
      </c>
      <c r="J25" s="1" t="s">
        <v>15</v>
      </c>
      <c r="K25" s="1">
        <v>1024</v>
      </c>
    </row>
    <row r="26" spans="1:11" ht="14.4" hidden="1" x14ac:dyDescent="0.3">
      <c r="A26" s="1" t="s">
        <v>21</v>
      </c>
      <c r="B26" s="1" t="s">
        <v>12</v>
      </c>
      <c r="C26" s="1" t="s">
        <v>18</v>
      </c>
      <c r="D26" s="1" t="s">
        <v>19</v>
      </c>
      <c r="E26" s="1">
        <v>18</v>
      </c>
      <c r="F26" s="1">
        <v>7924</v>
      </c>
      <c r="G26" s="1">
        <v>0</v>
      </c>
      <c r="H26" s="2">
        <v>46175</v>
      </c>
      <c r="I26" s="2">
        <v>46181</v>
      </c>
      <c r="J26" s="1" t="s">
        <v>15</v>
      </c>
      <c r="K26" s="1">
        <v>1025</v>
      </c>
    </row>
    <row r="27" spans="1:11" ht="14.4" hidden="1" x14ac:dyDescent="0.3">
      <c r="A27" s="1" t="s">
        <v>49</v>
      </c>
      <c r="B27" s="1" t="s">
        <v>31</v>
      </c>
      <c r="C27" s="1" t="s">
        <v>13</v>
      </c>
      <c r="D27" s="1" t="s">
        <v>50</v>
      </c>
      <c r="E27" s="1">
        <v>17</v>
      </c>
      <c r="F27" s="1">
        <v>323</v>
      </c>
      <c r="G27" s="1">
        <v>10</v>
      </c>
      <c r="H27" s="2">
        <v>46039</v>
      </c>
      <c r="I27" s="2">
        <v>46040</v>
      </c>
      <c r="J27" s="1" t="s">
        <v>29</v>
      </c>
      <c r="K27" s="1">
        <v>1026</v>
      </c>
    </row>
    <row r="28" spans="1:11" ht="14.4" hidden="1" x14ac:dyDescent="0.3">
      <c r="A28" s="1" t="s">
        <v>29</v>
      </c>
      <c r="B28" s="1" t="s">
        <v>43</v>
      </c>
      <c r="C28" s="1" t="s">
        <v>13</v>
      </c>
      <c r="D28" s="1" t="s">
        <v>50</v>
      </c>
      <c r="E28" s="1">
        <v>4</v>
      </c>
      <c r="F28" s="1">
        <v>264</v>
      </c>
      <c r="G28" s="1">
        <v>0</v>
      </c>
      <c r="H28" s="2">
        <v>46155</v>
      </c>
      <c r="I28" s="2">
        <v>46161</v>
      </c>
      <c r="J28" s="1" t="s">
        <v>51</v>
      </c>
      <c r="K28" s="1">
        <v>1027</v>
      </c>
    </row>
    <row r="29" spans="1:11" ht="14.4" hidden="1" x14ac:dyDescent="0.3">
      <c r="A29" s="1" t="s">
        <v>47</v>
      </c>
      <c r="B29" s="1" t="s">
        <v>22</v>
      </c>
      <c r="C29" s="1" t="s">
        <v>13</v>
      </c>
      <c r="D29" s="1" t="s">
        <v>36</v>
      </c>
      <c r="E29" s="1">
        <v>13</v>
      </c>
      <c r="F29" s="1">
        <v>433</v>
      </c>
      <c r="G29" s="1">
        <v>2</v>
      </c>
      <c r="H29" s="2">
        <v>46116</v>
      </c>
      <c r="I29" s="2">
        <v>46121</v>
      </c>
      <c r="J29" s="1" t="s">
        <v>24</v>
      </c>
      <c r="K29" s="1">
        <v>1028</v>
      </c>
    </row>
    <row r="30" spans="1:11" ht="14.4" hidden="1" x14ac:dyDescent="0.3">
      <c r="A30" s="1" t="s">
        <v>30</v>
      </c>
      <c r="B30" s="1" t="s">
        <v>25</v>
      </c>
      <c r="C30" s="1" t="s">
        <v>13</v>
      </c>
      <c r="D30" s="1" t="s">
        <v>36</v>
      </c>
      <c r="E30" s="1">
        <v>18</v>
      </c>
      <c r="F30" s="1">
        <v>443</v>
      </c>
      <c r="G30" s="1">
        <v>5</v>
      </c>
      <c r="H30" s="2">
        <v>46046</v>
      </c>
      <c r="I30" s="2">
        <v>46054</v>
      </c>
      <c r="J30" s="1" t="s">
        <v>24</v>
      </c>
      <c r="K30" s="1">
        <v>1029</v>
      </c>
    </row>
    <row r="31" spans="1:11" ht="14.4" hidden="1" x14ac:dyDescent="0.3">
      <c r="A31" s="1" t="s">
        <v>52</v>
      </c>
      <c r="B31" s="1" t="s">
        <v>12</v>
      </c>
      <c r="C31" s="1" t="s">
        <v>13</v>
      </c>
      <c r="D31" s="1" t="s">
        <v>53</v>
      </c>
      <c r="E31" s="1">
        <v>13</v>
      </c>
      <c r="F31" s="1">
        <v>336</v>
      </c>
      <c r="G31" s="1">
        <v>10</v>
      </c>
      <c r="H31" s="2">
        <v>46098</v>
      </c>
      <c r="I31" s="2">
        <v>46108</v>
      </c>
      <c r="J31" s="1" t="s">
        <v>15</v>
      </c>
      <c r="K31" s="1">
        <v>1030</v>
      </c>
    </row>
    <row r="32" spans="1:11" ht="14.4" hidden="1" x14ac:dyDescent="0.3">
      <c r="A32" s="1" t="s">
        <v>54</v>
      </c>
      <c r="B32" s="1" t="s">
        <v>31</v>
      </c>
      <c r="C32" s="1" t="s">
        <v>13</v>
      </c>
      <c r="D32" s="1" t="s">
        <v>53</v>
      </c>
      <c r="E32" s="1">
        <v>2</v>
      </c>
      <c r="F32" s="1">
        <v>184</v>
      </c>
      <c r="G32" s="1">
        <v>5</v>
      </c>
      <c r="H32" s="2">
        <v>46089</v>
      </c>
      <c r="I32" s="2">
        <v>46093</v>
      </c>
      <c r="J32" s="1" t="s">
        <v>20</v>
      </c>
      <c r="K32" s="1">
        <v>1031</v>
      </c>
    </row>
    <row r="33" spans="1:11" ht="14.4" hidden="1" x14ac:dyDescent="0.3">
      <c r="A33" s="1" t="s">
        <v>54</v>
      </c>
      <c r="B33" s="1" t="s">
        <v>43</v>
      </c>
      <c r="C33" s="1" t="s">
        <v>34</v>
      </c>
      <c r="D33" s="1" t="s">
        <v>39</v>
      </c>
      <c r="E33" s="1">
        <v>20</v>
      </c>
      <c r="F33" s="1">
        <v>11305</v>
      </c>
      <c r="G33" s="1">
        <v>2</v>
      </c>
      <c r="H33" s="2">
        <v>46163</v>
      </c>
      <c r="I33" s="2">
        <v>46165</v>
      </c>
      <c r="J33" s="1" t="s">
        <v>29</v>
      </c>
      <c r="K33" s="1">
        <v>1032</v>
      </c>
    </row>
    <row r="34" spans="1:11" ht="14.4" hidden="1" x14ac:dyDescent="0.3">
      <c r="A34" s="1" t="s">
        <v>11</v>
      </c>
      <c r="B34" s="1" t="s">
        <v>43</v>
      </c>
      <c r="C34" s="1" t="s">
        <v>18</v>
      </c>
      <c r="D34" s="1" t="s">
        <v>19</v>
      </c>
      <c r="E34" s="1">
        <v>9</v>
      </c>
      <c r="F34" s="1">
        <v>4895</v>
      </c>
      <c r="G34" s="1">
        <v>2</v>
      </c>
      <c r="H34" s="2">
        <v>46082</v>
      </c>
      <c r="I34" s="2">
        <v>46084</v>
      </c>
      <c r="J34" s="1" t="s">
        <v>29</v>
      </c>
      <c r="K34" s="1">
        <v>1033</v>
      </c>
    </row>
    <row r="35" spans="1:11" ht="14.4" hidden="1" x14ac:dyDescent="0.3">
      <c r="A35" s="1" t="s">
        <v>55</v>
      </c>
      <c r="B35" s="1" t="s">
        <v>33</v>
      </c>
      <c r="C35" s="1" t="s">
        <v>18</v>
      </c>
      <c r="D35" s="1" t="s">
        <v>28</v>
      </c>
      <c r="E35" s="1">
        <v>17</v>
      </c>
      <c r="F35" s="1">
        <v>5104</v>
      </c>
      <c r="G35" s="1">
        <v>12</v>
      </c>
      <c r="H35" s="2">
        <v>46052</v>
      </c>
      <c r="I35" s="2">
        <v>46061</v>
      </c>
      <c r="J35" s="1" t="s">
        <v>51</v>
      </c>
      <c r="K35" s="1">
        <v>1034</v>
      </c>
    </row>
    <row r="36" spans="1:11" ht="14.4" hidden="1" x14ac:dyDescent="0.3">
      <c r="A36" s="1" t="s">
        <v>49</v>
      </c>
      <c r="B36" s="1" t="s">
        <v>43</v>
      </c>
      <c r="C36" s="1" t="s">
        <v>18</v>
      </c>
      <c r="D36" s="1" t="s">
        <v>56</v>
      </c>
      <c r="E36" s="1">
        <v>3</v>
      </c>
      <c r="F36" s="1">
        <v>9149</v>
      </c>
      <c r="G36" s="1">
        <v>0</v>
      </c>
      <c r="H36" s="2">
        <v>46031</v>
      </c>
      <c r="I36" s="2">
        <v>46034</v>
      </c>
      <c r="J36" s="1" t="s">
        <v>24</v>
      </c>
      <c r="K36" s="1">
        <v>1035</v>
      </c>
    </row>
    <row r="37" spans="1:11" ht="14.4" hidden="1" x14ac:dyDescent="0.3">
      <c r="A37" s="1" t="s">
        <v>11</v>
      </c>
      <c r="B37" s="1" t="s">
        <v>25</v>
      </c>
      <c r="C37" s="1" t="s">
        <v>13</v>
      </c>
      <c r="D37" s="1" t="s">
        <v>36</v>
      </c>
      <c r="E37" s="1">
        <v>20</v>
      </c>
      <c r="F37" s="1">
        <v>161</v>
      </c>
      <c r="G37" s="1">
        <v>7</v>
      </c>
      <c r="H37" s="2">
        <v>46071</v>
      </c>
      <c r="I37" s="2">
        <v>46077</v>
      </c>
      <c r="J37" s="1" t="s">
        <v>24</v>
      </c>
      <c r="K37" s="1">
        <v>1036</v>
      </c>
    </row>
    <row r="38" spans="1:11" ht="14.4" hidden="1" x14ac:dyDescent="0.3">
      <c r="A38" s="1" t="s">
        <v>46</v>
      </c>
      <c r="B38" s="1" t="s">
        <v>43</v>
      </c>
      <c r="C38" s="1" t="s">
        <v>18</v>
      </c>
      <c r="D38" s="1" t="s">
        <v>56</v>
      </c>
      <c r="E38" s="1">
        <v>6</v>
      </c>
      <c r="F38" s="1">
        <v>14385</v>
      </c>
      <c r="G38" s="1">
        <v>12</v>
      </c>
      <c r="H38" s="2">
        <v>46033</v>
      </c>
      <c r="I38" s="2">
        <v>46043</v>
      </c>
      <c r="J38" s="1" t="s">
        <v>24</v>
      </c>
      <c r="K38" s="1">
        <v>1037</v>
      </c>
    </row>
    <row r="39" spans="1:11" ht="14.4" hidden="1" x14ac:dyDescent="0.3">
      <c r="A39" s="1" t="s">
        <v>55</v>
      </c>
      <c r="B39" s="1" t="s">
        <v>17</v>
      </c>
      <c r="C39" s="1" t="s">
        <v>13</v>
      </c>
      <c r="D39" s="1" t="s">
        <v>36</v>
      </c>
      <c r="E39" s="1">
        <v>17</v>
      </c>
      <c r="F39" s="1">
        <v>223</v>
      </c>
      <c r="G39" s="1">
        <v>7</v>
      </c>
      <c r="H39" s="2">
        <v>46030</v>
      </c>
      <c r="I39" s="2">
        <v>46031</v>
      </c>
      <c r="J39" s="1" t="s">
        <v>51</v>
      </c>
      <c r="K39" s="1">
        <v>1038</v>
      </c>
    </row>
    <row r="40" spans="1:11" ht="14.4" hidden="1" x14ac:dyDescent="0.3">
      <c r="A40" s="1" t="s">
        <v>48</v>
      </c>
      <c r="B40" s="1" t="s">
        <v>38</v>
      </c>
      <c r="C40" s="1" t="s">
        <v>34</v>
      </c>
      <c r="D40" s="1" t="s">
        <v>45</v>
      </c>
      <c r="E40" s="1">
        <v>5</v>
      </c>
      <c r="F40" s="1">
        <v>60236</v>
      </c>
      <c r="G40" s="1">
        <v>10</v>
      </c>
      <c r="H40" s="2">
        <v>46107</v>
      </c>
      <c r="I40" s="2">
        <v>46110</v>
      </c>
      <c r="J40" s="1" t="s">
        <v>20</v>
      </c>
      <c r="K40" s="1">
        <v>1039</v>
      </c>
    </row>
    <row r="41" spans="1:11" ht="14.4" hidden="1" x14ac:dyDescent="0.3">
      <c r="A41" s="1" t="s">
        <v>49</v>
      </c>
      <c r="B41" s="1" t="s">
        <v>38</v>
      </c>
      <c r="C41" s="1" t="s">
        <v>18</v>
      </c>
      <c r="D41" s="1" t="s">
        <v>28</v>
      </c>
      <c r="E41" s="1">
        <v>10</v>
      </c>
      <c r="F41" s="1">
        <v>7531</v>
      </c>
      <c r="G41" s="1">
        <v>2</v>
      </c>
      <c r="H41" s="2">
        <v>46171</v>
      </c>
      <c r="I41" s="2">
        <v>46178</v>
      </c>
      <c r="J41" s="1" t="s">
        <v>24</v>
      </c>
      <c r="K41" s="1">
        <v>1040</v>
      </c>
    </row>
    <row r="42" spans="1:11" ht="14.4" hidden="1" x14ac:dyDescent="0.3">
      <c r="A42" s="1" t="s">
        <v>54</v>
      </c>
      <c r="B42" s="1" t="s">
        <v>38</v>
      </c>
      <c r="C42" s="1" t="s">
        <v>13</v>
      </c>
      <c r="D42" s="1" t="s">
        <v>50</v>
      </c>
      <c r="E42" s="1">
        <v>9</v>
      </c>
      <c r="F42" s="1">
        <v>71</v>
      </c>
      <c r="G42" s="1">
        <v>7</v>
      </c>
      <c r="H42" s="2">
        <v>46185</v>
      </c>
      <c r="I42" s="2">
        <v>46188</v>
      </c>
      <c r="J42" s="1" t="s">
        <v>15</v>
      </c>
      <c r="K42" s="1">
        <v>1041</v>
      </c>
    </row>
    <row r="43" spans="1:11" ht="14.4" hidden="1" x14ac:dyDescent="0.3">
      <c r="A43" s="1" t="s">
        <v>46</v>
      </c>
      <c r="B43" s="1" t="s">
        <v>33</v>
      </c>
      <c r="C43" s="1" t="s">
        <v>13</v>
      </c>
      <c r="D43" s="1" t="s">
        <v>53</v>
      </c>
      <c r="E43" s="1">
        <v>16</v>
      </c>
      <c r="F43" s="1">
        <v>232</v>
      </c>
      <c r="G43" s="1">
        <v>0</v>
      </c>
      <c r="H43" s="2">
        <v>46081</v>
      </c>
      <c r="I43" s="2">
        <v>46088</v>
      </c>
      <c r="J43" s="1" t="s">
        <v>29</v>
      </c>
      <c r="K43" s="1">
        <v>1042</v>
      </c>
    </row>
    <row r="44" spans="1:11" ht="14.4" hidden="1" x14ac:dyDescent="0.3">
      <c r="A44" s="1" t="s">
        <v>49</v>
      </c>
      <c r="B44" s="1" t="s">
        <v>38</v>
      </c>
      <c r="C44" s="1" t="s">
        <v>34</v>
      </c>
      <c r="D44" s="1" t="s">
        <v>35</v>
      </c>
      <c r="E44" s="1">
        <v>20</v>
      </c>
      <c r="F44" s="1">
        <v>46093</v>
      </c>
      <c r="G44" s="1">
        <v>5</v>
      </c>
      <c r="H44" s="2">
        <v>46091</v>
      </c>
      <c r="I44" s="2">
        <v>46098</v>
      </c>
      <c r="J44" s="1" t="s">
        <v>29</v>
      </c>
      <c r="K44" s="1">
        <v>1043</v>
      </c>
    </row>
    <row r="45" spans="1:11" ht="14.4" hidden="1" x14ac:dyDescent="0.3">
      <c r="A45" s="1" t="s">
        <v>48</v>
      </c>
      <c r="B45" s="1" t="s">
        <v>38</v>
      </c>
      <c r="C45" s="1" t="s">
        <v>18</v>
      </c>
      <c r="D45" s="1" t="s">
        <v>19</v>
      </c>
      <c r="E45" s="1">
        <v>4</v>
      </c>
      <c r="F45" s="1">
        <v>14731</v>
      </c>
      <c r="G45" s="1">
        <v>2</v>
      </c>
      <c r="H45" s="2">
        <v>46173</v>
      </c>
      <c r="I45" s="2">
        <v>46176</v>
      </c>
      <c r="J45" s="1" t="s">
        <v>20</v>
      </c>
      <c r="K45" s="1">
        <v>1044</v>
      </c>
    </row>
    <row r="46" spans="1:11" ht="14.4" hidden="1" x14ac:dyDescent="0.3">
      <c r="A46" s="1" t="s">
        <v>32</v>
      </c>
      <c r="B46" s="1" t="s">
        <v>38</v>
      </c>
      <c r="C46" s="1" t="s">
        <v>34</v>
      </c>
      <c r="D46" s="1" t="s">
        <v>35</v>
      </c>
      <c r="E46" s="1">
        <v>3</v>
      </c>
      <c r="F46" s="1">
        <v>62762</v>
      </c>
      <c r="G46" s="1">
        <v>7</v>
      </c>
      <c r="H46" s="2">
        <v>46038</v>
      </c>
      <c r="I46" s="2">
        <v>46039</v>
      </c>
      <c r="J46" s="1" t="s">
        <v>29</v>
      </c>
      <c r="K46" s="1">
        <v>1045</v>
      </c>
    </row>
    <row r="47" spans="1:11" ht="14.4" hidden="1" x14ac:dyDescent="0.3">
      <c r="A47" s="1" t="s">
        <v>57</v>
      </c>
      <c r="B47" s="1" t="s">
        <v>38</v>
      </c>
      <c r="C47" s="1" t="s">
        <v>34</v>
      </c>
      <c r="D47" s="1" t="s">
        <v>45</v>
      </c>
      <c r="E47" s="1">
        <v>3</v>
      </c>
      <c r="F47" s="1">
        <v>19443</v>
      </c>
      <c r="G47" s="1">
        <v>10</v>
      </c>
      <c r="H47" s="2">
        <v>46153</v>
      </c>
      <c r="I47" s="2">
        <v>46158</v>
      </c>
      <c r="J47" s="1" t="s">
        <v>29</v>
      </c>
      <c r="K47" s="1">
        <v>1046</v>
      </c>
    </row>
    <row r="48" spans="1:11" ht="14.4" hidden="1" x14ac:dyDescent="0.3">
      <c r="A48" s="1" t="s">
        <v>58</v>
      </c>
      <c r="B48" s="1" t="s">
        <v>38</v>
      </c>
      <c r="C48" s="1" t="s">
        <v>18</v>
      </c>
      <c r="D48" s="1" t="s">
        <v>56</v>
      </c>
      <c r="E48" s="1">
        <v>11</v>
      </c>
      <c r="F48" s="1">
        <v>9976</v>
      </c>
      <c r="G48" s="1">
        <v>12</v>
      </c>
      <c r="H48" s="2">
        <v>46200</v>
      </c>
      <c r="I48" s="2">
        <v>46209</v>
      </c>
      <c r="J48" s="1" t="s">
        <v>15</v>
      </c>
      <c r="K48" s="1">
        <v>1047</v>
      </c>
    </row>
    <row r="49" spans="1:11" ht="14.4" hidden="1" x14ac:dyDescent="0.3">
      <c r="A49" s="1" t="s">
        <v>59</v>
      </c>
      <c r="B49" s="1" t="s">
        <v>25</v>
      </c>
      <c r="C49" s="1" t="s">
        <v>34</v>
      </c>
      <c r="D49" s="1" t="s">
        <v>60</v>
      </c>
      <c r="E49" s="1">
        <v>14</v>
      </c>
      <c r="F49" s="1">
        <v>11762</v>
      </c>
      <c r="G49" s="1">
        <v>7</v>
      </c>
      <c r="H49" s="2">
        <v>46180</v>
      </c>
      <c r="I49" s="2">
        <v>46186</v>
      </c>
      <c r="J49" s="1" t="s">
        <v>24</v>
      </c>
      <c r="K49" s="1">
        <v>1048</v>
      </c>
    </row>
    <row r="50" spans="1:11" ht="14.4" hidden="1" x14ac:dyDescent="0.3">
      <c r="A50" s="1" t="s">
        <v>52</v>
      </c>
      <c r="B50" s="1" t="s">
        <v>25</v>
      </c>
      <c r="C50" s="1" t="s">
        <v>34</v>
      </c>
      <c r="D50" s="1" t="s">
        <v>45</v>
      </c>
      <c r="E50" s="1">
        <v>2</v>
      </c>
      <c r="F50" s="1">
        <v>40789</v>
      </c>
      <c r="G50" s="1">
        <v>0</v>
      </c>
      <c r="H50" s="2">
        <v>46102</v>
      </c>
      <c r="I50" s="2">
        <v>46108</v>
      </c>
      <c r="J50" s="1" t="s">
        <v>24</v>
      </c>
      <c r="K50" s="1">
        <v>1049</v>
      </c>
    </row>
    <row r="51" spans="1:11" ht="14.4" hidden="1" x14ac:dyDescent="0.3">
      <c r="A51" s="1" t="s">
        <v>32</v>
      </c>
      <c r="B51" s="1" t="s">
        <v>25</v>
      </c>
      <c r="C51" s="1" t="s">
        <v>13</v>
      </c>
      <c r="D51" s="1" t="s">
        <v>53</v>
      </c>
      <c r="E51" s="1">
        <v>12</v>
      </c>
      <c r="F51" s="1">
        <v>360</v>
      </c>
      <c r="G51" s="1">
        <v>5</v>
      </c>
      <c r="H51" s="2">
        <v>46127</v>
      </c>
      <c r="I51" s="2">
        <v>46137</v>
      </c>
      <c r="J51" s="1" t="s">
        <v>29</v>
      </c>
      <c r="K51" s="1">
        <v>1050</v>
      </c>
    </row>
    <row r="52" spans="1:11" ht="14.4" hidden="1" x14ac:dyDescent="0.3">
      <c r="A52" s="1" t="s">
        <v>58</v>
      </c>
      <c r="B52" s="1" t="s">
        <v>17</v>
      </c>
      <c r="C52" s="1" t="s">
        <v>13</v>
      </c>
      <c r="D52" s="1" t="s">
        <v>36</v>
      </c>
      <c r="E52" s="1">
        <v>12</v>
      </c>
      <c r="F52" s="1">
        <v>47</v>
      </c>
      <c r="G52" s="1">
        <v>2</v>
      </c>
      <c r="H52" s="2">
        <v>46037</v>
      </c>
      <c r="I52" s="2">
        <v>46045</v>
      </c>
      <c r="J52" s="1" t="s">
        <v>15</v>
      </c>
      <c r="K52" s="1">
        <v>1051</v>
      </c>
    </row>
    <row r="53" spans="1:11" ht="14.4" hidden="1" x14ac:dyDescent="0.3">
      <c r="A53" s="1" t="s">
        <v>55</v>
      </c>
      <c r="B53" s="1" t="s">
        <v>12</v>
      </c>
      <c r="C53" s="1" t="s">
        <v>13</v>
      </c>
      <c r="D53" s="1" t="s">
        <v>14</v>
      </c>
      <c r="E53" s="1">
        <v>17</v>
      </c>
      <c r="F53" s="1">
        <v>172</v>
      </c>
      <c r="G53" s="1">
        <v>10</v>
      </c>
      <c r="H53" s="2">
        <v>46159</v>
      </c>
      <c r="I53" s="2">
        <v>46165</v>
      </c>
      <c r="J53" s="1" t="s">
        <v>20</v>
      </c>
      <c r="K53" s="1">
        <v>1052</v>
      </c>
    </row>
    <row r="54" spans="1:11" ht="14.4" hidden="1" x14ac:dyDescent="0.3">
      <c r="A54" s="1" t="s">
        <v>16</v>
      </c>
      <c r="B54" s="1" t="s">
        <v>33</v>
      </c>
      <c r="C54" s="1" t="s">
        <v>18</v>
      </c>
      <c r="D54" s="1" t="s">
        <v>28</v>
      </c>
      <c r="E54" s="1">
        <v>1</v>
      </c>
      <c r="F54" s="1">
        <v>9749</v>
      </c>
      <c r="G54" s="1">
        <v>15</v>
      </c>
      <c r="H54" s="2">
        <v>46064</v>
      </c>
      <c r="I54" s="2">
        <v>46070</v>
      </c>
      <c r="J54" s="1" t="s">
        <v>24</v>
      </c>
      <c r="K54" s="1">
        <v>1053</v>
      </c>
    </row>
    <row r="55" spans="1:11" ht="14.4" hidden="1" x14ac:dyDescent="0.3">
      <c r="A55" s="1" t="s">
        <v>26</v>
      </c>
      <c r="B55" s="1" t="s">
        <v>25</v>
      </c>
      <c r="C55" s="1" t="s">
        <v>18</v>
      </c>
      <c r="D55" s="1" t="s">
        <v>23</v>
      </c>
      <c r="E55" s="1">
        <v>8</v>
      </c>
      <c r="F55" s="1">
        <v>9798</v>
      </c>
      <c r="G55" s="1">
        <v>12</v>
      </c>
      <c r="H55" s="2">
        <v>46200</v>
      </c>
      <c r="I55" s="2">
        <v>46201</v>
      </c>
      <c r="J55" s="1" t="s">
        <v>51</v>
      </c>
      <c r="K55" s="1">
        <v>1054</v>
      </c>
    </row>
    <row r="56" spans="1:11" ht="14.4" hidden="1" x14ac:dyDescent="0.3">
      <c r="A56" s="1" t="s">
        <v>48</v>
      </c>
      <c r="B56" s="1" t="s">
        <v>12</v>
      </c>
      <c r="C56" s="1" t="s">
        <v>13</v>
      </c>
      <c r="D56" s="1" t="s">
        <v>37</v>
      </c>
      <c r="E56" s="1">
        <v>18</v>
      </c>
      <c r="F56" s="1">
        <v>185</v>
      </c>
      <c r="G56" s="1">
        <v>15</v>
      </c>
      <c r="H56" s="2">
        <v>46077</v>
      </c>
      <c r="I56" s="2">
        <v>46078</v>
      </c>
      <c r="J56" s="1" t="s">
        <v>15</v>
      </c>
      <c r="K56" s="1">
        <v>1055</v>
      </c>
    </row>
    <row r="57" spans="1:11" ht="14.4" hidden="1" x14ac:dyDescent="0.3">
      <c r="A57" s="1" t="s">
        <v>11</v>
      </c>
      <c r="B57" s="1" t="s">
        <v>22</v>
      </c>
      <c r="C57" s="1" t="s">
        <v>18</v>
      </c>
      <c r="D57" s="1" t="s">
        <v>19</v>
      </c>
      <c r="E57" s="1">
        <v>3</v>
      </c>
      <c r="F57" s="1">
        <v>9771</v>
      </c>
      <c r="G57" s="1">
        <v>5</v>
      </c>
      <c r="H57" s="2">
        <v>46133</v>
      </c>
      <c r="I57" s="2">
        <v>46139</v>
      </c>
      <c r="J57" s="1" t="s">
        <v>24</v>
      </c>
      <c r="K57" s="1">
        <v>1056</v>
      </c>
    </row>
    <row r="58" spans="1:11" ht="14.4" hidden="1" x14ac:dyDescent="0.3">
      <c r="A58" s="1" t="s">
        <v>59</v>
      </c>
      <c r="B58" s="1" t="s">
        <v>22</v>
      </c>
      <c r="C58" s="1" t="s">
        <v>18</v>
      </c>
      <c r="D58" s="1" t="s">
        <v>28</v>
      </c>
      <c r="E58" s="1">
        <v>2</v>
      </c>
      <c r="F58" s="1">
        <v>9531</v>
      </c>
      <c r="G58" s="1">
        <v>15</v>
      </c>
      <c r="H58" s="2">
        <v>46067</v>
      </c>
      <c r="I58" s="2">
        <v>46076</v>
      </c>
      <c r="J58" s="1" t="s">
        <v>51</v>
      </c>
      <c r="K58" s="1">
        <v>1057</v>
      </c>
    </row>
    <row r="59" spans="1:11" ht="14.4" hidden="1" x14ac:dyDescent="0.3">
      <c r="A59" s="1" t="s">
        <v>52</v>
      </c>
      <c r="B59" s="1" t="s">
        <v>38</v>
      </c>
      <c r="C59" s="1" t="s">
        <v>18</v>
      </c>
      <c r="D59" s="1" t="s">
        <v>28</v>
      </c>
      <c r="E59" s="1">
        <v>10</v>
      </c>
      <c r="F59" s="1">
        <v>5532</v>
      </c>
      <c r="G59" s="1">
        <v>7</v>
      </c>
      <c r="H59" s="2">
        <v>46074</v>
      </c>
      <c r="I59" s="2">
        <v>46084</v>
      </c>
      <c r="J59" s="1" t="s">
        <v>24</v>
      </c>
      <c r="K59" s="1">
        <v>1058</v>
      </c>
    </row>
    <row r="60" spans="1:11" ht="14.4" hidden="1" x14ac:dyDescent="0.3">
      <c r="A60" s="1" t="s">
        <v>54</v>
      </c>
      <c r="B60" s="1" t="s">
        <v>25</v>
      </c>
      <c r="C60" s="1" t="s">
        <v>13</v>
      </c>
      <c r="D60" s="1" t="s">
        <v>50</v>
      </c>
      <c r="E60" s="1">
        <v>20</v>
      </c>
      <c r="F60" s="1">
        <v>112</v>
      </c>
      <c r="G60" s="1">
        <v>10</v>
      </c>
      <c r="H60" s="2">
        <v>46113</v>
      </c>
      <c r="I60" s="2">
        <v>46122</v>
      </c>
      <c r="J60" s="1" t="s">
        <v>51</v>
      </c>
      <c r="K60" s="1">
        <v>1059</v>
      </c>
    </row>
    <row r="61" spans="1:11" ht="14.4" hidden="1" x14ac:dyDescent="0.3">
      <c r="A61" s="1" t="s">
        <v>49</v>
      </c>
      <c r="B61" s="1" t="s">
        <v>12</v>
      </c>
      <c r="C61" s="1" t="s">
        <v>18</v>
      </c>
      <c r="D61" s="1" t="s">
        <v>44</v>
      </c>
      <c r="E61" s="1">
        <v>9</v>
      </c>
      <c r="F61" s="1">
        <v>9727</v>
      </c>
      <c r="G61" s="1">
        <v>2</v>
      </c>
      <c r="H61" s="2">
        <v>46024</v>
      </c>
      <c r="I61" s="2">
        <v>46030</v>
      </c>
      <c r="J61" s="1" t="s">
        <v>20</v>
      </c>
      <c r="K61" s="1">
        <v>1060</v>
      </c>
    </row>
    <row r="62" spans="1:11" ht="14.4" hidden="1" x14ac:dyDescent="0.3">
      <c r="A62" s="1" t="s">
        <v>57</v>
      </c>
      <c r="B62" s="1" t="s">
        <v>12</v>
      </c>
      <c r="C62" s="1" t="s">
        <v>34</v>
      </c>
      <c r="D62" s="1" t="s">
        <v>41</v>
      </c>
      <c r="E62" s="1">
        <v>16</v>
      </c>
      <c r="F62" s="1">
        <v>59084</v>
      </c>
      <c r="G62" s="1">
        <v>0</v>
      </c>
      <c r="H62" s="2">
        <v>46060</v>
      </c>
      <c r="I62" s="2">
        <v>46069</v>
      </c>
      <c r="J62" s="1" t="s">
        <v>20</v>
      </c>
      <c r="K62" s="1">
        <v>1061</v>
      </c>
    </row>
    <row r="63" spans="1:11" ht="14.4" hidden="1" x14ac:dyDescent="0.3">
      <c r="A63" s="1" t="s">
        <v>40</v>
      </c>
      <c r="B63" s="1" t="s">
        <v>43</v>
      </c>
      <c r="C63" s="1" t="s">
        <v>18</v>
      </c>
      <c r="D63" s="1" t="s">
        <v>23</v>
      </c>
      <c r="E63" s="1">
        <v>8</v>
      </c>
      <c r="F63" s="1">
        <v>8360</v>
      </c>
      <c r="G63" s="1">
        <v>2</v>
      </c>
      <c r="H63" s="2">
        <v>46190</v>
      </c>
      <c r="I63" s="2">
        <v>46200</v>
      </c>
      <c r="J63" s="1" t="s">
        <v>51</v>
      </c>
      <c r="K63" s="1">
        <v>1062</v>
      </c>
    </row>
    <row r="64" spans="1:11" ht="14.4" hidden="1" x14ac:dyDescent="0.3">
      <c r="A64" s="1" t="s">
        <v>54</v>
      </c>
      <c r="B64" s="1" t="s">
        <v>22</v>
      </c>
      <c r="C64" s="1" t="s">
        <v>34</v>
      </c>
      <c r="D64" s="1" t="s">
        <v>45</v>
      </c>
      <c r="E64" s="1">
        <v>7</v>
      </c>
      <c r="F64" s="1">
        <v>66744</v>
      </c>
      <c r="G64" s="1">
        <v>7</v>
      </c>
      <c r="H64" s="2">
        <v>46148</v>
      </c>
      <c r="I64" s="2">
        <v>46155</v>
      </c>
      <c r="J64" s="1" t="s">
        <v>15</v>
      </c>
      <c r="K64" s="1">
        <v>1063</v>
      </c>
    </row>
    <row r="65" spans="1:11" ht="14.4" hidden="1" x14ac:dyDescent="0.3">
      <c r="A65" s="1" t="s">
        <v>26</v>
      </c>
      <c r="B65" s="1" t="s">
        <v>17</v>
      </c>
      <c r="C65" s="1" t="s">
        <v>13</v>
      </c>
      <c r="D65" s="1" t="s">
        <v>50</v>
      </c>
      <c r="E65" s="1">
        <v>20</v>
      </c>
      <c r="F65" s="1">
        <v>191</v>
      </c>
      <c r="G65" s="1">
        <v>7</v>
      </c>
      <c r="H65" s="2">
        <v>46185</v>
      </c>
      <c r="I65" s="2">
        <v>46195</v>
      </c>
      <c r="J65" s="1" t="s">
        <v>29</v>
      </c>
      <c r="K65" s="1">
        <v>1064</v>
      </c>
    </row>
    <row r="66" spans="1:11" ht="14.4" hidden="1" x14ac:dyDescent="0.3">
      <c r="A66" s="1" t="s">
        <v>42</v>
      </c>
      <c r="B66" s="1" t="s">
        <v>43</v>
      </c>
      <c r="C66" s="1" t="s">
        <v>18</v>
      </c>
      <c r="D66" s="1" t="s">
        <v>44</v>
      </c>
      <c r="E66" s="1">
        <v>1</v>
      </c>
      <c r="F66" s="1">
        <v>7730</v>
      </c>
      <c r="G66" s="1">
        <v>5</v>
      </c>
      <c r="H66" s="2">
        <v>46192</v>
      </c>
      <c r="I66" s="2">
        <v>46195</v>
      </c>
      <c r="J66" s="1" t="s">
        <v>51</v>
      </c>
      <c r="K66" s="1">
        <v>1065</v>
      </c>
    </row>
    <row r="67" spans="1:11" ht="14.4" hidden="1" x14ac:dyDescent="0.3">
      <c r="A67" s="1" t="s">
        <v>47</v>
      </c>
      <c r="B67" s="1" t="s">
        <v>25</v>
      </c>
      <c r="C67" s="1" t="s">
        <v>18</v>
      </c>
      <c r="D67" s="1" t="s">
        <v>44</v>
      </c>
      <c r="E67" s="1">
        <v>15</v>
      </c>
      <c r="F67" s="1">
        <v>11987</v>
      </c>
      <c r="G67" s="1">
        <v>5</v>
      </c>
      <c r="H67" s="2">
        <v>46082</v>
      </c>
      <c r="I67" s="2">
        <v>46083</v>
      </c>
      <c r="J67" s="1" t="s">
        <v>15</v>
      </c>
      <c r="K67" s="1">
        <v>1066</v>
      </c>
    </row>
    <row r="68" spans="1:11" ht="14.4" hidden="1" x14ac:dyDescent="0.3">
      <c r="A68" s="1" t="s">
        <v>32</v>
      </c>
      <c r="B68" s="1" t="s">
        <v>43</v>
      </c>
      <c r="C68" s="1" t="s">
        <v>18</v>
      </c>
      <c r="D68" s="1" t="s">
        <v>56</v>
      </c>
      <c r="E68" s="1">
        <v>14</v>
      </c>
      <c r="F68" s="1">
        <v>10869</v>
      </c>
      <c r="G68" s="1">
        <v>0</v>
      </c>
      <c r="H68" s="2">
        <v>46058</v>
      </c>
      <c r="I68" s="2">
        <v>46062</v>
      </c>
      <c r="J68" s="1" t="s">
        <v>29</v>
      </c>
      <c r="K68" s="1">
        <v>1067</v>
      </c>
    </row>
    <row r="69" spans="1:11" ht="14.4" hidden="1" x14ac:dyDescent="0.3">
      <c r="A69" s="1" t="s">
        <v>52</v>
      </c>
      <c r="B69" s="1" t="s">
        <v>43</v>
      </c>
      <c r="C69" s="1" t="s">
        <v>34</v>
      </c>
      <c r="D69" s="1" t="s">
        <v>60</v>
      </c>
      <c r="E69" s="1">
        <v>15</v>
      </c>
      <c r="F69" s="1">
        <v>14534</v>
      </c>
      <c r="G69" s="1">
        <v>5</v>
      </c>
      <c r="H69" s="2">
        <v>46196</v>
      </c>
      <c r="I69" s="2">
        <v>46199</v>
      </c>
      <c r="J69" s="1" t="s">
        <v>29</v>
      </c>
      <c r="K69" s="1">
        <v>1068</v>
      </c>
    </row>
    <row r="70" spans="1:11" ht="14.4" hidden="1" x14ac:dyDescent="0.3">
      <c r="A70" s="1" t="s">
        <v>52</v>
      </c>
      <c r="B70" s="1" t="s">
        <v>31</v>
      </c>
      <c r="C70" s="1" t="s">
        <v>18</v>
      </c>
      <c r="D70" s="1" t="s">
        <v>28</v>
      </c>
      <c r="E70" s="1">
        <v>9</v>
      </c>
      <c r="F70" s="1">
        <v>4415</v>
      </c>
      <c r="G70" s="1">
        <v>5</v>
      </c>
      <c r="H70" s="2">
        <v>46039</v>
      </c>
      <c r="I70" s="2">
        <v>46046</v>
      </c>
      <c r="J70" s="1" t="s">
        <v>15</v>
      </c>
      <c r="K70" s="1">
        <v>1069</v>
      </c>
    </row>
    <row r="71" spans="1:11" ht="14.4" hidden="1" x14ac:dyDescent="0.3">
      <c r="A71" s="1" t="s">
        <v>52</v>
      </c>
      <c r="B71" s="1" t="s">
        <v>43</v>
      </c>
      <c r="C71" s="1" t="s">
        <v>13</v>
      </c>
      <c r="D71" s="1" t="s">
        <v>36</v>
      </c>
      <c r="E71" s="1">
        <v>10</v>
      </c>
      <c r="F71" s="1">
        <v>233</v>
      </c>
      <c r="G71" s="1">
        <v>7</v>
      </c>
      <c r="H71" s="2">
        <v>46076</v>
      </c>
      <c r="I71" s="2">
        <v>46077</v>
      </c>
      <c r="J71" s="1" t="s">
        <v>29</v>
      </c>
      <c r="K71" s="1">
        <v>1070</v>
      </c>
    </row>
    <row r="72" spans="1:11" ht="14.4" hidden="1" x14ac:dyDescent="0.3">
      <c r="A72" s="1" t="s">
        <v>59</v>
      </c>
      <c r="B72" s="1" t="s">
        <v>22</v>
      </c>
      <c r="C72" s="1" t="s">
        <v>34</v>
      </c>
      <c r="D72" s="1" t="s">
        <v>61</v>
      </c>
      <c r="E72" s="1">
        <v>18</v>
      </c>
      <c r="F72" s="1">
        <v>32197</v>
      </c>
      <c r="G72" s="1">
        <v>5</v>
      </c>
      <c r="H72" s="2">
        <v>46129</v>
      </c>
      <c r="I72" s="2">
        <v>46137</v>
      </c>
      <c r="J72" s="1" t="s">
        <v>20</v>
      </c>
      <c r="K72" s="1">
        <v>1071</v>
      </c>
    </row>
    <row r="73" spans="1:11" ht="14.4" hidden="1" x14ac:dyDescent="0.3">
      <c r="A73" s="1" t="s">
        <v>16</v>
      </c>
      <c r="B73" s="1" t="s">
        <v>25</v>
      </c>
      <c r="C73" s="1" t="s">
        <v>34</v>
      </c>
      <c r="D73" s="1" t="s">
        <v>61</v>
      </c>
      <c r="E73" s="1">
        <v>20</v>
      </c>
      <c r="F73" s="1">
        <v>58779</v>
      </c>
      <c r="G73" s="1">
        <v>0</v>
      </c>
      <c r="H73" s="2">
        <v>46035</v>
      </c>
      <c r="I73" s="2">
        <v>46036</v>
      </c>
      <c r="J73" s="1" t="s">
        <v>24</v>
      </c>
      <c r="K73" s="1">
        <v>1072</v>
      </c>
    </row>
    <row r="74" spans="1:11" ht="14.4" hidden="1" x14ac:dyDescent="0.3">
      <c r="A74" s="1" t="s">
        <v>58</v>
      </c>
      <c r="B74" s="1" t="s">
        <v>17</v>
      </c>
      <c r="C74" s="1" t="s">
        <v>18</v>
      </c>
      <c r="D74" s="1" t="s">
        <v>56</v>
      </c>
      <c r="E74" s="1">
        <v>4</v>
      </c>
      <c r="F74" s="1">
        <v>2453</v>
      </c>
      <c r="G74" s="1">
        <v>7</v>
      </c>
      <c r="H74" s="2">
        <v>46126</v>
      </c>
      <c r="I74" s="2">
        <v>46129</v>
      </c>
      <c r="J74" s="1" t="s">
        <v>51</v>
      </c>
      <c r="K74" s="1">
        <v>1073</v>
      </c>
    </row>
    <row r="75" spans="1:11" ht="14.4" hidden="1" x14ac:dyDescent="0.3">
      <c r="A75" s="1" t="s">
        <v>26</v>
      </c>
      <c r="B75" s="1" t="s">
        <v>31</v>
      </c>
      <c r="C75" s="1" t="s">
        <v>13</v>
      </c>
      <c r="D75" s="1" t="s">
        <v>50</v>
      </c>
      <c r="E75" s="1">
        <v>11</v>
      </c>
      <c r="F75" s="1">
        <v>390</v>
      </c>
      <c r="G75" s="1">
        <v>15</v>
      </c>
      <c r="H75" s="2">
        <v>46114</v>
      </c>
      <c r="I75" s="2">
        <v>46123</v>
      </c>
      <c r="J75" s="1" t="s">
        <v>29</v>
      </c>
      <c r="K75" s="1">
        <v>1074</v>
      </c>
    </row>
    <row r="76" spans="1:11" ht="14.4" x14ac:dyDescent="0.3">
      <c r="A76" s="1" t="s">
        <v>42</v>
      </c>
      <c r="B76" s="1" t="s">
        <v>43</v>
      </c>
      <c r="C76" s="1" t="s">
        <v>34</v>
      </c>
      <c r="D76" s="1" t="s">
        <v>61</v>
      </c>
      <c r="E76" s="1">
        <v>4</v>
      </c>
      <c r="F76" s="1">
        <v>64773</v>
      </c>
      <c r="G76" s="1">
        <v>10</v>
      </c>
      <c r="H76" s="2">
        <v>46185</v>
      </c>
      <c r="I76" s="2">
        <v>46186</v>
      </c>
      <c r="J76" s="1" t="s">
        <v>51</v>
      </c>
      <c r="K76" s="1">
        <v>1075</v>
      </c>
    </row>
    <row r="77" spans="1:11" ht="14.4" hidden="1" x14ac:dyDescent="0.3">
      <c r="A77" s="1" t="s">
        <v>29</v>
      </c>
      <c r="B77" s="1" t="s">
        <v>17</v>
      </c>
      <c r="C77" s="1" t="s">
        <v>34</v>
      </c>
      <c r="D77" s="1" t="s">
        <v>35</v>
      </c>
      <c r="E77" s="1">
        <v>19</v>
      </c>
      <c r="F77" s="1">
        <v>26714</v>
      </c>
      <c r="G77" s="1">
        <v>5</v>
      </c>
      <c r="H77" s="2">
        <v>46045</v>
      </c>
      <c r="I77" s="2">
        <v>46055</v>
      </c>
      <c r="J77" s="1" t="s">
        <v>29</v>
      </c>
      <c r="K77" s="1">
        <v>1076</v>
      </c>
    </row>
    <row r="78" spans="1:11" ht="14.4" hidden="1" x14ac:dyDescent="0.3">
      <c r="A78" s="1" t="s">
        <v>55</v>
      </c>
      <c r="B78" s="1" t="s">
        <v>25</v>
      </c>
      <c r="C78" s="1" t="s">
        <v>13</v>
      </c>
      <c r="D78" s="1" t="s">
        <v>14</v>
      </c>
      <c r="E78" s="1">
        <v>1</v>
      </c>
      <c r="F78" s="1">
        <v>123</v>
      </c>
      <c r="G78" s="1">
        <v>10</v>
      </c>
      <c r="H78" s="2">
        <v>46113</v>
      </c>
      <c r="I78" s="2">
        <v>46121</v>
      </c>
      <c r="J78" s="1" t="s">
        <v>51</v>
      </c>
      <c r="K78" s="1">
        <v>1077</v>
      </c>
    </row>
    <row r="79" spans="1:11" ht="14.4" hidden="1" x14ac:dyDescent="0.3">
      <c r="A79" s="1" t="s">
        <v>52</v>
      </c>
      <c r="B79" s="1" t="s">
        <v>17</v>
      </c>
      <c r="C79" s="1" t="s">
        <v>34</v>
      </c>
      <c r="D79" s="1" t="s">
        <v>39</v>
      </c>
      <c r="E79" s="1">
        <v>11</v>
      </c>
      <c r="F79" s="1">
        <v>24278</v>
      </c>
      <c r="G79" s="1">
        <v>12</v>
      </c>
      <c r="H79" s="2">
        <v>46084</v>
      </c>
      <c r="I79" s="2">
        <v>46090</v>
      </c>
      <c r="J79" s="1" t="s">
        <v>29</v>
      </c>
      <c r="K79" s="1">
        <v>1078</v>
      </c>
    </row>
    <row r="80" spans="1:11" ht="14.4" hidden="1" x14ac:dyDescent="0.3">
      <c r="A80" s="1" t="s">
        <v>26</v>
      </c>
      <c r="B80" s="1" t="s">
        <v>38</v>
      </c>
      <c r="C80" s="1" t="s">
        <v>34</v>
      </c>
      <c r="D80" s="1" t="s">
        <v>41</v>
      </c>
      <c r="E80" s="1">
        <v>19</v>
      </c>
      <c r="F80" s="1">
        <v>48956</v>
      </c>
      <c r="G80" s="1">
        <v>12</v>
      </c>
      <c r="H80" s="2">
        <v>46170</v>
      </c>
      <c r="I80" s="2">
        <v>46177</v>
      </c>
      <c r="J80" s="1" t="s">
        <v>51</v>
      </c>
      <c r="K80" s="1">
        <v>1079</v>
      </c>
    </row>
    <row r="81" spans="1:11" ht="14.4" hidden="1" x14ac:dyDescent="0.3">
      <c r="A81" s="1" t="s">
        <v>21</v>
      </c>
      <c r="B81" s="1" t="s">
        <v>22</v>
      </c>
      <c r="C81" s="1" t="s">
        <v>34</v>
      </c>
      <c r="D81" s="1" t="s">
        <v>41</v>
      </c>
      <c r="E81" s="1">
        <v>12</v>
      </c>
      <c r="F81" s="1">
        <v>54161</v>
      </c>
      <c r="G81" s="1">
        <v>15</v>
      </c>
      <c r="H81" s="2">
        <v>46133</v>
      </c>
      <c r="I81" s="2">
        <v>46143</v>
      </c>
      <c r="J81" s="1" t="s">
        <v>24</v>
      </c>
      <c r="K81" s="1">
        <v>1080</v>
      </c>
    </row>
    <row r="82" spans="1:11" ht="14.4" hidden="1" x14ac:dyDescent="0.3">
      <c r="A82" s="1" t="s">
        <v>47</v>
      </c>
      <c r="B82" s="1" t="s">
        <v>12</v>
      </c>
      <c r="C82" s="1" t="s">
        <v>34</v>
      </c>
      <c r="D82" s="1" t="s">
        <v>35</v>
      </c>
      <c r="E82" s="1">
        <v>15</v>
      </c>
      <c r="F82" s="1">
        <v>59912</v>
      </c>
      <c r="G82" s="1">
        <v>7</v>
      </c>
      <c r="H82" s="2">
        <v>46058</v>
      </c>
      <c r="I82" s="2">
        <v>46060</v>
      </c>
      <c r="J82" s="1" t="s">
        <v>51</v>
      </c>
      <c r="K82" s="1">
        <v>1081</v>
      </c>
    </row>
    <row r="83" spans="1:11" ht="14.4" hidden="1" x14ac:dyDescent="0.3">
      <c r="A83" s="1" t="s">
        <v>21</v>
      </c>
      <c r="B83" s="1" t="s">
        <v>12</v>
      </c>
      <c r="C83" s="1" t="s">
        <v>13</v>
      </c>
      <c r="D83" s="1" t="s">
        <v>14</v>
      </c>
      <c r="E83" s="1">
        <v>7</v>
      </c>
      <c r="F83" s="1">
        <v>133</v>
      </c>
      <c r="G83" s="1">
        <v>10</v>
      </c>
      <c r="H83" s="2">
        <v>46075</v>
      </c>
      <c r="I83" s="2">
        <v>46085</v>
      </c>
      <c r="J83" s="1" t="s">
        <v>51</v>
      </c>
      <c r="K83" s="1">
        <v>1082</v>
      </c>
    </row>
    <row r="84" spans="1:11" ht="14.4" hidden="1" x14ac:dyDescent="0.3">
      <c r="A84" s="1" t="s">
        <v>55</v>
      </c>
      <c r="B84" s="1" t="s">
        <v>33</v>
      </c>
      <c r="C84" s="1" t="s">
        <v>13</v>
      </c>
      <c r="D84" s="1" t="s">
        <v>53</v>
      </c>
      <c r="E84" s="1">
        <v>4</v>
      </c>
      <c r="F84" s="1">
        <v>397</v>
      </c>
      <c r="G84" s="1">
        <v>7</v>
      </c>
      <c r="H84" s="2">
        <v>46185</v>
      </c>
      <c r="I84" s="2">
        <v>46193</v>
      </c>
      <c r="J84" s="1" t="s">
        <v>15</v>
      </c>
      <c r="K84" s="1">
        <v>1083</v>
      </c>
    </row>
    <row r="85" spans="1:11" ht="14.4" hidden="1" x14ac:dyDescent="0.3">
      <c r="A85" s="1" t="s">
        <v>49</v>
      </c>
      <c r="B85" s="1" t="s">
        <v>31</v>
      </c>
      <c r="C85" s="1" t="s">
        <v>18</v>
      </c>
      <c r="D85" s="1" t="s">
        <v>28</v>
      </c>
      <c r="E85" s="1">
        <v>4</v>
      </c>
      <c r="F85" s="1">
        <v>6901</v>
      </c>
      <c r="G85" s="1">
        <v>10</v>
      </c>
      <c r="H85" s="2">
        <v>46047</v>
      </c>
      <c r="I85" s="2">
        <v>46057</v>
      </c>
      <c r="J85" s="1" t="s">
        <v>20</v>
      </c>
      <c r="K85" s="1">
        <v>1084</v>
      </c>
    </row>
    <row r="86" spans="1:11" ht="14.4" hidden="1" x14ac:dyDescent="0.3">
      <c r="A86" s="1" t="s">
        <v>32</v>
      </c>
      <c r="B86" s="1" t="s">
        <v>38</v>
      </c>
      <c r="C86" s="1" t="s">
        <v>34</v>
      </c>
      <c r="D86" s="1" t="s">
        <v>60</v>
      </c>
      <c r="E86" s="1">
        <v>19</v>
      </c>
      <c r="F86" s="1">
        <v>45307</v>
      </c>
      <c r="G86" s="1">
        <v>12</v>
      </c>
      <c r="H86" s="2">
        <v>46146</v>
      </c>
      <c r="I86" s="2">
        <v>46150</v>
      </c>
      <c r="J86" s="1" t="s">
        <v>24</v>
      </c>
      <c r="K86" s="1">
        <v>1085</v>
      </c>
    </row>
    <row r="87" spans="1:11" ht="14.4" hidden="1" x14ac:dyDescent="0.3">
      <c r="A87" s="1" t="s">
        <v>32</v>
      </c>
      <c r="B87" s="1" t="s">
        <v>12</v>
      </c>
      <c r="C87" s="1" t="s">
        <v>13</v>
      </c>
      <c r="D87" s="1" t="s">
        <v>53</v>
      </c>
      <c r="E87" s="1">
        <v>15</v>
      </c>
      <c r="F87" s="1">
        <v>40</v>
      </c>
      <c r="G87" s="1">
        <v>10</v>
      </c>
      <c r="H87" s="2">
        <v>46045</v>
      </c>
      <c r="I87" s="2">
        <v>46049</v>
      </c>
      <c r="J87" s="1" t="s">
        <v>24</v>
      </c>
      <c r="K87" s="1">
        <v>1086</v>
      </c>
    </row>
    <row r="88" spans="1:11" ht="14.4" hidden="1" x14ac:dyDescent="0.3">
      <c r="A88" s="1" t="s">
        <v>11</v>
      </c>
      <c r="B88" s="1" t="s">
        <v>31</v>
      </c>
      <c r="C88" s="1" t="s">
        <v>13</v>
      </c>
      <c r="D88" s="1" t="s">
        <v>37</v>
      </c>
      <c r="E88" s="1">
        <v>13</v>
      </c>
      <c r="F88" s="1">
        <v>387</v>
      </c>
      <c r="G88" s="1">
        <v>7</v>
      </c>
      <c r="H88" s="2">
        <v>46171</v>
      </c>
      <c r="I88" s="2">
        <v>46176</v>
      </c>
      <c r="J88" s="1" t="s">
        <v>24</v>
      </c>
      <c r="K88" s="1">
        <v>1087</v>
      </c>
    </row>
    <row r="89" spans="1:11" ht="14.4" hidden="1" x14ac:dyDescent="0.3">
      <c r="A89" s="1" t="s">
        <v>40</v>
      </c>
      <c r="B89" s="1" t="s">
        <v>33</v>
      </c>
      <c r="C89" s="1" t="s">
        <v>34</v>
      </c>
      <c r="D89" s="1" t="s">
        <v>41</v>
      </c>
      <c r="E89" s="1">
        <v>20</v>
      </c>
      <c r="F89" s="1">
        <v>41165</v>
      </c>
      <c r="G89" s="1">
        <v>0</v>
      </c>
      <c r="H89" s="2">
        <v>46068</v>
      </c>
      <c r="I89" s="2">
        <v>46069</v>
      </c>
      <c r="J89" s="1" t="s">
        <v>20</v>
      </c>
      <c r="K89" s="1">
        <v>1088</v>
      </c>
    </row>
    <row r="90" spans="1:11" ht="14.4" hidden="1" x14ac:dyDescent="0.3">
      <c r="A90" s="1" t="s">
        <v>46</v>
      </c>
      <c r="B90" s="1" t="s">
        <v>12</v>
      </c>
      <c r="C90" s="1" t="s">
        <v>34</v>
      </c>
      <c r="D90" s="1" t="s">
        <v>35</v>
      </c>
      <c r="E90" s="1">
        <v>10</v>
      </c>
      <c r="F90" s="1">
        <v>17041</v>
      </c>
      <c r="G90" s="1">
        <v>2</v>
      </c>
      <c r="H90" s="2">
        <v>46066</v>
      </c>
      <c r="I90" s="2">
        <v>46071</v>
      </c>
      <c r="J90" s="1" t="s">
        <v>24</v>
      </c>
      <c r="K90" s="1">
        <v>1089</v>
      </c>
    </row>
    <row r="91" spans="1:11" ht="14.4" hidden="1" x14ac:dyDescent="0.3">
      <c r="A91" s="1" t="s">
        <v>49</v>
      </c>
      <c r="B91" s="1" t="s">
        <v>31</v>
      </c>
      <c r="C91" s="1" t="s">
        <v>34</v>
      </c>
      <c r="D91" s="1" t="s">
        <v>45</v>
      </c>
      <c r="E91" s="1">
        <v>19</v>
      </c>
      <c r="F91" s="1">
        <v>66139</v>
      </c>
      <c r="G91" s="1">
        <v>5</v>
      </c>
      <c r="H91" s="2">
        <v>46088</v>
      </c>
      <c r="I91" s="2">
        <v>46095</v>
      </c>
      <c r="J91" s="1" t="s">
        <v>24</v>
      </c>
      <c r="K91" s="1">
        <v>1090</v>
      </c>
    </row>
    <row r="92" spans="1:11" ht="14.4" hidden="1" x14ac:dyDescent="0.3">
      <c r="A92" s="1" t="s">
        <v>55</v>
      </c>
      <c r="B92" s="1" t="s">
        <v>17</v>
      </c>
      <c r="C92" s="1" t="s">
        <v>13</v>
      </c>
      <c r="D92" s="1" t="s">
        <v>53</v>
      </c>
      <c r="E92" s="1">
        <v>2</v>
      </c>
      <c r="F92" s="1">
        <v>305</v>
      </c>
      <c r="G92" s="1">
        <v>0</v>
      </c>
      <c r="H92" s="2">
        <v>46136</v>
      </c>
      <c r="I92" s="2">
        <v>46144</v>
      </c>
      <c r="J92" s="1" t="s">
        <v>15</v>
      </c>
      <c r="K92" s="1">
        <v>1091</v>
      </c>
    </row>
    <row r="93" spans="1:11" ht="14.4" hidden="1" x14ac:dyDescent="0.3">
      <c r="A93" s="1" t="s">
        <v>21</v>
      </c>
      <c r="B93" s="1" t="s">
        <v>22</v>
      </c>
      <c r="C93" s="1" t="s">
        <v>34</v>
      </c>
      <c r="D93" s="1" t="s">
        <v>41</v>
      </c>
      <c r="E93" s="1">
        <v>9</v>
      </c>
      <c r="F93" s="1">
        <v>23438</v>
      </c>
      <c r="G93" s="1">
        <v>2</v>
      </c>
      <c r="H93" s="2">
        <v>46049</v>
      </c>
      <c r="I93" s="2">
        <v>46055</v>
      </c>
      <c r="J93" s="1" t="s">
        <v>29</v>
      </c>
      <c r="K93" s="1">
        <v>1092</v>
      </c>
    </row>
    <row r="94" spans="1:11" ht="14.4" hidden="1" x14ac:dyDescent="0.3">
      <c r="A94" s="1" t="s">
        <v>47</v>
      </c>
      <c r="B94" s="1" t="s">
        <v>25</v>
      </c>
      <c r="C94" s="1" t="s">
        <v>18</v>
      </c>
      <c r="D94" s="1" t="s">
        <v>23</v>
      </c>
      <c r="E94" s="1">
        <v>6</v>
      </c>
      <c r="F94" s="1">
        <v>8224</v>
      </c>
      <c r="G94" s="1">
        <v>15</v>
      </c>
      <c r="H94" s="2">
        <v>46175</v>
      </c>
      <c r="I94" s="2">
        <v>46185</v>
      </c>
      <c r="J94" s="1" t="s">
        <v>51</v>
      </c>
      <c r="K94" s="1">
        <v>1093</v>
      </c>
    </row>
    <row r="95" spans="1:11" ht="14.4" hidden="1" x14ac:dyDescent="0.3">
      <c r="A95" s="1" t="s">
        <v>47</v>
      </c>
      <c r="B95" s="1" t="s">
        <v>43</v>
      </c>
      <c r="C95" s="1" t="s">
        <v>34</v>
      </c>
      <c r="D95" s="1" t="s">
        <v>61</v>
      </c>
      <c r="E95" s="1">
        <v>4</v>
      </c>
      <c r="F95" s="1">
        <v>7073</v>
      </c>
      <c r="G95" s="1">
        <v>0</v>
      </c>
      <c r="H95" s="2">
        <v>46101</v>
      </c>
      <c r="I95" s="2">
        <v>46105</v>
      </c>
      <c r="J95" s="1" t="s">
        <v>29</v>
      </c>
      <c r="K95" s="1">
        <v>1094</v>
      </c>
    </row>
    <row r="96" spans="1:11" ht="14.4" hidden="1" x14ac:dyDescent="0.3">
      <c r="A96" s="1" t="s">
        <v>47</v>
      </c>
      <c r="B96" s="1" t="s">
        <v>25</v>
      </c>
      <c r="C96" s="1" t="s">
        <v>34</v>
      </c>
      <c r="D96" s="1" t="s">
        <v>41</v>
      </c>
      <c r="E96" s="1">
        <v>18</v>
      </c>
      <c r="F96" s="1">
        <v>587</v>
      </c>
      <c r="G96" s="1">
        <v>2</v>
      </c>
      <c r="H96" s="2">
        <v>46167</v>
      </c>
      <c r="I96" s="2">
        <v>46171</v>
      </c>
      <c r="J96" s="1" t="s">
        <v>20</v>
      </c>
      <c r="K96" s="1">
        <v>1095</v>
      </c>
    </row>
    <row r="97" spans="1:11" ht="14.4" hidden="1" x14ac:dyDescent="0.3">
      <c r="A97" s="1" t="s">
        <v>49</v>
      </c>
      <c r="B97" s="1" t="s">
        <v>17</v>
      </c>
      <c r="C97" s="1" t="s">
        <v>18</v>
      </c>
      <c r="D97" s="1" t="s">
        <v>23</v>
      </c>
      <c r="E97" s="1">
        <v>15</v>
      </c>
      <c r="F97" s="1">
        <v>14724</v>
      </c>
      <c r="G97" s="1">
        <v>15</v>
      </c>
      <c r="H97" s="2">
        <v>46054</v>
      </c>
      <c r="I97" s="2">
        <v>46061</v>
      </c>
      <c r="J97" s="1" t="s">
        <v>20</v>
      </c>
      <c r="K97" s="1">
        <v>1096</v>
      </c>
    </row>
    <row r="98" spans="1:11" ht="14.4" hidden="1" x14ac:dyDescent="0.3">
      <c r="A98" s="1" t="s">
        <v>52</v>
      </c>
      <c r="B98" s="1" t="s">
        <v>22</v>
      </c>
      <c r="C98" s="1" t="s">
        <v>34</v>
      </c>
      <c r="D98" s="1" t="s">
        <v>61</v>
      </c>
      <c r="E98" s="1">
        <v>10</v>
      </c>
      <c r="F98" s="1">
        <v>28980</v>
      </c>
      <c r="G98" s="1">
        <v>10</v>
      </c>
      <c r="H98" s="2">
        <v>46089</v>
      </c>
      <c r="I98" s="2">
        <v>46094</v>
      </c>
      <c r="J98" s="1" t="s">
        <v>24</v>
      </c>
      <c r="K98" s="1">
        <v>1097</v>
      </c>
    </row>
    <row r="99" spans="1:11" ht="14.4" hidden="1" x14ac:dyDescent="0.3">
      <c r="A99" s="1" t="s">
        <v>26</v>
      </c>
      <c r="B99" s="1" t="s">
        <v>25</v>
      </c>
      <c r="C99" s="1" t="s">
        <v>13</v>
      </c>
      <c r="D99" s="1" t="s">
        <v>53</v>
      </c>
      <c r="E99" s="1">
        <v>17</v>
      </c>
      <c r="F99" s="1">
        <v>345</v>
      </c>
      <c r="G99" s="1">
        <v>2</v>
      </c>
      <c r="H99" s="2">
        <v>46126</v>
      </c>
      <c r="I99" s="2">
        <v>46127</v>
      </c>
      <c r="J99" s="1" t="s">
        <v>51</v>
      </c>
      <c r="K99" s="1">
        <v>1098</v>
      </c>
    </row>
    <row r="100" spans="1:11" ht="14.4" hidden="1" x14ac:dyDescent="0.3">
      <c r="A100" s="1" t="s">
        <v>26</v>
      </c>
      <c r="B100" s="1" t="s">
        <v>31</v>
      </c>
      <c r="C100" s="1" t="s">
        <v>18</v>
      </c>
      <c r="D100" s="1" t="s">
        <v>19</v>
      </c>
      <c r="E100" s="1">
        <v>1</v>
      </c>
      <c r="F100" s="1">
        <v>5165</v>
      </c>
      <c r="G100" s="1">
        <v>2</v>
      </c>
      <c r="H100" s="2">
        <v>46058</v>
      </c>
      <c r="I100" s="2">
        <v>46060</v>
      </c>
      <c r="J100" s="1" t="s">
        <v>15</v>
      </c>
      <c r="K100" s="1">
        <v>1099</v>
      </c>
    </row>
    <row r="101" spans="1:11" ht="14.4" hidden="1" x14ac:dyDescent="0.3">
      <c r="A101" s="1" t="s">
        <v>11</v>
      </c>
      <c r="B101" s="1" t="s">
        <v>31</v>
      </c>
      <c r="C101" s="1" t="s">
        <v>13</v>
      </c>
      <c r="D101" s="1" t="s">
        <v>14</v>
      </c>
      <c r="E101" s="1">
        <v>11</v>
      </c>
      <c r="F101" s="1">
        <v>296</v>
      </c>
      <c r="G101" s="1">
        <v>10</v>
      </c>
      <c r="H101" s="2">
        <v>46027</v>
      </c>
      <c r="I101" s="2">
        <v>46031</v>
      </c>
      <c r="J101" s="1" t="s">
        <v>51</v>
      </c>
      <c r="K101" s="1">
        <v>1100</v>
      </c>
    </row>
    <row r="102" spans="1:11" ht="14.4" hidden="1" x14ac:dyDescent="0.3">
      <c r="A102" s="1" t="s">
        <v>27</v>
      </c>
      <c r="B102" s="1" t="s">
        <v>22</v>
      </c>
      <c r="C102" s="1" t="s">
        <v>34</v>
      </c>
      <c r="D102" s="1" t="s">
        <v>61</v>
      </c>
      <c r="E102" s="1">
        <v>9</v>
      </c>
      <c r="F102" s="1">
        <v>37361</v>
      </c>
      <c r="G102" s="1">
        <v>10</v>
      </c>
      <c r="H102" s="2">
        <v>46141</v>
      </c>
      <c r="I102" s="2">
        <v>46142</v>
      </c>
      <c r="J102" s="1" t="s">
        <v>24</v>
      </c>
      <c r="K102" s="1">
        <v>1101</v>
      </c>
    </row>
    <row r="103" spans="1:11" ht="14.4" hidden="1" x14ac:dyDescent="0.3">
      <c r="A103" s="1" t="s">
        <v>54</v>
      </c>
      <c r="B103" s="1" t="s">
        <v>25</v>
      </c>
      <c r="C103" s="1" t="s">
        <v>34</v>
      </c>
      <c r="D103" s="1" t="s">
        <v>45</v>
      </c>
      <c r="E103" s="1">
        <v>12</v>
      </c>
      <c r="F103" s="1">
        <v>63402</v>
      </c>
      <c r="G103" s="1">
        <v>7</v>
      </c>
      <c r="H103" s="2">
        <v>46106</v>
      </c>
      <c r="I103" s="2">
        <v>46113</v>
      </c>
      <c r="J103" s="1" t="s">
        <v>51</v>
      </c>
      <c r="K103" s="1">
        <v>1102</v>
      </c>
    </row>
    <row r="104" spans="1:11" ht="14.4" hidden="1" x14ac:dyDescent="0.3">
      <c r="A104" s="1" t="s">
        <v>16</v>
      </c>
      <c r="B104" s="1" t="s">
        <v>12</v>
      </c>
      <c r="C104" s="1" t="s">
        <v>18</v>
      </c>
      <c r="D104" s="1" t="s">
        <v>23</v>
      </c>
      <c r="E104" s="1">
        <v>7</v>
      </c>
      <c r="F104" s="1">
        <v>11925</v>
      </c>
      <c r="G104" s="1">
        <v>5</v>
      </c>
      <c r="H104" s="2">
        <v>46040</v>
      </c>
      <c r="I104" s="2">
        <v>46041</v>
      </c>
      <c r="J104" s="1" t="s">
        <v>29</v>
      </c>
      <c r="K104" s="1">
        <v>1103</v>
      </c>
    </row>
    <row r="105" spans="1:11" ht="14.4" hidden="1" x14ac:dyDescent="0.3">
      <c r="A105" s="1" t="s">
        <v>16</v>
      </c>
      <c r="B105" s="1" t="s">
        <v>43</v>
      </c>
      <c r="C105" s="1" t="s">
        <v>18</v>
      </c>
      <c r="D105" s="1" t="s">
        <v>19</v>
      </c>
      <c r="E105" s="1">
        <v>10</v>
      </c>
      <c r="F105" s="1">
        <v>12848</v>
      </c>
      <c r="G105" s="1">
        <v>15</v>
      </c>
      <c r="H105" s="2">
        <v>46060</v>
      </c>
      <c r="I105" s="2">
        <v>46064</v>
      </c>
      <c r="J105" s="1" t="s">
        <v>29</v>
      </c>
      <c r="K105" s="1">
        <v>1104</v>
      </c>
    </row>
    <row r="106" spans="1:11" ht="14.4" hidden="1" x14ac:dyDescent="0.3">
      <c r="A106" s="1" t="s">
        <v>59</v>
      </c>
      <c r="B106" s="1" t="s">
        <v>25</v>
      </c>
      <c r="C106" s="1" t="s">
        <v>13</v>
      </c>
      <c r="D106" s="1" t="s">
        <v>50</v>
      </c>
      <c r="E106" s="1">
        <v>2</v>
      </c>
      <c r="F106" s="1">
        <v>493</v>
      </c>
      <c r="G106" s="1">
        <v>12</v>
      </c>
      <c r="H106" s="2">
        <v>46057</v>
      </c>
      <c r="I106" s="2">
        <v>46066</v>
      </c>
      <c r="J106" s="1" t="s">
        <v>51</v>
      </c>
      <c r="K106" s="1">
        <v>1105</v>
      </c>
    </row>
    <row r="107" spans="1:11" ht="14.4" hidden="1" x14ac:dyDescent="0.3">
      <c r="A107" s="1" t="s">
        <v>27</v>
      </c>
      <c r="B107" s="1" t="s">
        <v>43</v>
      </c>
      <c r="C107" s="1" t="s">
        <v>18</v>
      </c>
      <c r="D107" s="1" t="s">
        <v>23</v>
      </c>
      <c r="E107" s="1">
        <v>20</v>
      </c>
      <c r="F107" s="1">
        <v>2141</v>
      </c>
      <c r="G107" s="1">
        <v>2</v>
      </c>
      <c r="H107" s="2">
        <v>46091</v>
      </c>
      <c r="I107" s="2">
        <v>46097</v>
      </c>
      <c r="J107" s="1" t="s">
        <v>29</v>
      </c>
      <c r="K107" s="1">
        <v>1106</v>
      </c>
    </row>
    <row r="108" spans="1:11" ht="14.4" hidden="1" x14ac:dyDescent="0.3">
      <c r="A108" s="1" t="s">
        <v>52</v>
      </c>
      <c r="B108" s="1" t="s">
        <v>17</v>
      </c>
      <c r="C108" s="1" t="s">
        <v>34</v>
      </c>
      <c r="D108" s="1" t="s">
        <v>60</v>
      </c>
      <c r="E108" s="1">
        <v>4</v>
      </c>
      <c r="F108" s="1">
        <v>14291</v>
      </c>
      <c r="G108" s="1">
        <v>2</v>
      </c>
      <c r="H108" s="2">
        <v>46076</v>
      </c>
      <c r="I108" s="2">
        <v>46078</v>
      </c>
      <c r="J108" s="1" t="s">
        <v>15</v>
      </c>
      <c r="K108" s="1">
        <v>1107</v>
      </c>
    </row>
    <row r="109" spans="1:11" ht="14.4" hidden="1" x14ac:dyDescent="0.3">
      <c r="A109" s="1" t="s">
        <v>42</v>
      </c>
      <c r="B109" s="1" t="s">
        <v>33</v>
      </c>
      <c r="C109" s="1" t="s">
        <v>18</v>
      </c>
      <c r="D109" s="1" t="s">
        <v>28</v>
      </c>
      <c r="E109" s="1">
        <v>15</v>
      </c>
      <c r="F109" s="1">
        <v>13843</v>
      </c>
      <c r="G109" s="1">
        <v>7</v>
      </c>
      <c r="H109" s="2">
        <v>46119</v>
      </c>
      <c r="I109" s="2">
        <v>46127</v>
      </c>
      <c r="J109" s="1" t="s">
        <v>20</v>
      </c>
      <c r="K109" s="1">
        <v>1108</v>
      </c>
    </row>
    <row r="110" spans="1:11" ht="14.4" hidden="1" x14ac:dyDescent="0.3">
      <c r="A110" s="1" t="s">
        <v>21</v>
      </c>
      <c r="B110" s="1" t="s">
        <v>31</v>
      </c>
      <c r="C110" s="1" t="s">
        <v>18</v>
      </c>
      <c r="D110" s="1" t="s">
        <v>44</v>
      </c>
      <c r="E110" s="1">
        <v>19</v>
      </c>
      <c r="F110" s="1">
        <v>6512</v>
      </c>
      <c r="G110" s="1">
        <v>10</v>
      </c>
      <c r="H110" s="2">
        <v>46033</v>
      </c>
      <c r="I110" s="2">
        <v>46037</v>
      </c>
      <c r="J110" s="1" t="s">
        <v>20</v>
      </c>
      <c r="K110" s="1">
        <v>1109</v>
      </c>
    </row>
    <row r="111" spans="1:11" ht="14.4" hidden="1" x14ac:dyDescent="0.3">
      <c r="A111" s="1" t="s">
        <v>49</v>
      </c>
      <c r="B111" s="1" t="s">
        <v>38</v>
      </c>
      <c r="C111" s="1" t="s">
        <v>18</v>
      </c>
      <c r="D111" s="1" t="s">
        <v>23</v>
      </c>
      <c r="E111" s="1">
        <v>14</v>
      </c>
      <c r="F111" s="1">
        <v>6793</v>
      </c>
      <c r="G111" s="1">
        <v>7</v>
      </c>
      <c r="H111" s="2">
        <v>46077</v>
      </c>
      <c r="I111" s="2">
        <v>46082</v>
      </c>
      <c r="J111" s="1" t="s">
        <v>29</v>
      </c>
      <c r="K111" s="1">
        <v>1110</v>
      </c>
    </row>
    <row r="112" spans="1:11" ht="14.4" hidden="1" x14ac:dyDescent="0.3">
      <c r="A112" s="1" t="s">
        <v>47</v>
      </c>
      <c r="B112" s="1" t="s">
        <v>17</v>
      </c>
      <c r="C112" s="1" t="s">
        <v>34</v>
      </c>
      <c r="D112" s="1" t="s">
        <v>35</v>
      </c>
      <c r="E112" s="1">
        <v>5</v>
      </c>
      <c r="F112" s="1">
        <v>49945</v>
      </c>
      <c r="G112" s="1">
        <v>12</v>
      </c>
      <c r="H112" s="2">
        <v>46133</v>
      </c>
      <c r="I112" s="2">
        <v>46141</v>
      </c>
      <c r="J112" s="1" t="s">
        <v>29</v>
      </c>
      <c r="K112" s="1">
        <v>1111</v>
      </c>
    </row>
    <row r="113" spans="1:11" ht="14.4" hidden="1" x14ac:dyDescent="0.3">
      <c r="A113" s="1" t="s">
        <v>21</v>
      </c>
      <c r="B113" s="1" t="s">
        <v>43</v>
      </c>
      <c r="C113" s="1" t="s">
        <v>18</v>
      </c>
      <c r="D113" s="1" t="s">
        <v>44</v>
      </c>
      <c r="E113" s="1">
        <v>7</v>
      </c>
      <c r="F113" s="1">
        <v>1959</v>
      </c>
      <c r="G113" s="1">
        <v>15</v>
      </c>
      <c r="H113" s="2">
        <v>46090</v>
      </c>
      <c r="I113" s="2">
        <v>46100</v>
      </c>
      <c r="J113" s="1" t="s">
        <v>15</v>
      </c>
      <c r="K113" s="1">
        <v>1112</v>
      </c>
    </row>
    <row r="114" spans="1:11" ht="14.4" hidden="1" x14ac:dyDescent="0.3">
      <c r="A114" s="1" t="s">
        <v>26</v>
      </c>
      <c r="B114" s="1" t="s">
        <v>43</v>
      </c>
      <c r="C114" s="1" t="s">
        <v>18</v>
      </c>
      <c r="D114" s="1" t="s">
        <v>56</v>
      </c>
      <c r="E114" s="1">
        <v>13</v>
      </c>
      <c r="F114" s="1">
        <v>6719</v>
      </c>
      <c r="G114" s="1">
        <v>15</v>
      </c>
      <c r="H114" s="2">
        <v>46076</v>
      </c>
      <c r="I114" s="2">
        <v>46081</v>
      </c>
      <c r="J114" s="1" t="s">
        <v>24</v>
      </c>
      <c r="K114" s="1">
        <v>1113</v>
      </c>
    </row>
    <row r="115" spans="1:11" ht="14.4" hidden="1" x14ac:dyDescent="0.3">
      <c r="A115" s="1" t="s">
        <v>16</v>
      </c>
      <c r="B115" s="1" t="s">
        <v>25</v>
      </c>
      <c r="C115" s="1" t="s">
        <v>13</v>
      </c>
      <c r="D115" s="1" t="s">
        <v>50</v>
      </c>
      <c r="E115" s="1">
        <v>13</v>
      </c>
      <c r="F115" s="1">
        <v>32</v>
      </c>
      <c r="G115" s="1">
        <v>15</v>
      </c>
      <c r="H115" s="2">
        <v>46066</v>
      </c>
      <c r="I115" s="2">
        <v>46069</v>
      </c>
      <c r="J115" s="1" t="s">
        <v>15</v>
      </c>
      <c r="K115" s="1">
        <v>1114</v>
      </c>
    </row>
    <row r="116" spans="1:11" ht="14.4" x14ac:dyDescent="0.3">
      <c r="A116" s="1" t="s">
        <v>59</v>
      </c>
      <c r="B116" s="1" t="s">
        <v>43</v>
      </c>
      <c r="C116" s="1" t="s">
        <v>13</v>
      </c>
      <c r="D116" s="1" t="s">
        <v>50</v>
      </c>
      <c r="E116" s="1">
        <v>9</v>
      </c>
      <c r="F116" s="1">
        <v>303</v>
      </c>
      <c r="G116" s="1">
        <v>10</v>
      </c>
      <c r="H116" s="2">
        <v>46149</v>
      </c>
      <c r="I116" s="2">
        <v>46157</v>
      </c>
      <c r="J116" s="1" t="s">
        <v>29</v>
      </c>
      <c r="K116" s="1">
        <v>1115</v>
      </c>
    </row>
    <row r="117" spans="1:11" ht="14.4" hidden="1" x14ac:dyDescent="0.3">
      <c r="A117" s="1" t="s">
        <v>16</v>
      </c>
      <c r="B117" s="1" t="s">
        <v>25</v>
      </c>
      <c r="C117" s="1" t="s">
        <v>18</v>
      </c>
      <c r="D117" s="1" t="s">
        <v>56</v>
      </c>
      <c r="E117" s="1">
        <v>2</v>
      </c>
      <c r="F117" s="1">
        <v>12692</v>
      </c>
      <c r="G117" s="1">
        <v>15</v>
      </c>
      <c r="H117" s="2">
        <v>46049</v>
      </c>
      <c r="I117" s="2">
        <v>46051</v>
      </c>
      <c r="J117" s="1" t="s">
        <v>15</v>
      </c>
      <c r="K117" s="1">
        <v>1116</v>
      </c>
    </row>
    <row r="118" spans="1:11" ht="14.4" hidden="1" x14ac:dyDescent="0.3">
      <c r="A118" s="1" t="s">
        <v>55</v>
      </c>
      <c r="B118" s="1" t="s">
        <v>43</v>
      </c>
      <c r="C118" s="1" t="s">
        <v>34</v>
      </c>
      <c r="D118" s="1" t="s">
        <v>39</v>
      </c>
      <c r="E118" s="1">
        <v>16</v>
      </c>
      <c r="F118" s="1">
        <v>33162</v>
      </c>
      <c r="G118" s="1">
        <v>7</v>
      </c>
      <c r="H118" s="2">
        <v>46147</v>
      </c>
      <c r="I118" s="2">
        <v>46155</v>
      </c>
      <c r="J118" s="1" t="s">
        <v>29</v>
      </c>
      <c r="K118" s="1">
        <v>1117</v>
      </c>
    </row>
    <row r="119" spans="1:11" ht="14.4" hidden="1" x14ac:dyDescent="0.3">
      <c r="A119" s="1" t="s">
        <v>21</v>
      </c>
      <c r="B119" s="1" t="s">
        <v>22</v>
      </c>
      <c r="C119" s="1" t="s">
        <v>18</v>
      </c>
      <c r="D119" s="1" t="s">
        <v>23</v>
      </c>
      <c r="E119" s="1">
        <v>18</v>
      </c>
      <c r="F119" s="1">
        <v>9118</v>
      </c>
      <c r="G119" s="1">
        <v>5</v>
      </c>
      <c r="H119" s="2">
        <v>46178</v>
      </c>
      <c r="I119" s="2">
        <v>46187</v>
      </c>
      <c r="J119" s="1" t="s">
        <v>29</v>
      </c>
      <c r="K119" s="1">
        <v>1118</v>
      </c>
    </row>
    <row r="120" spans="1:11" ht="14.4" hidden="1" x14ac:dyDescent="0.3">
      <c r="A120" s="1" t="s">
        <v>30</v>
      </c>
      <c r="B120" s="1" t="s">
        <v>43</v>
      </c>
      <c r="C120" s="1" t="s">
        <v>18</v>
      </c>
      <c r="D120" s="1" t="s">
        <v>28</v>
      </c>
      <c r="E120" s="1">
        <v>2</v>
      </c>
      <c r="F120" s="1">
        <v>3706</v>
      </c>
      <c r="G120" s="1">
        <v>5</v>
      </c>
      <c r="H120" s="2">
        <v>46184</v>
      </c>
      <c r="I120" s="2">
        <v>46192</v>
      </c>
      <c r="J120" s="1" t="s">
        <v>51</v>
      </c>
      <c r="K120" s="1">
        <v>1119</v>
      </c>
    </row>
    <row r="121" spans="1:11" ht="14.4" hidden="1" x14ac:dyDescent="0.3">
      <c r="A121" s="1" t="s">
        <v>32</v>
      </c>
      <c r="B121" s="1" t="s">
        <v>38</v>
      </c>
      <c r="C121" s="1" t="s">
        <v>13</v>
      </c>
      <c r="D121" s="1" t="s">
        <v>36</v>
      </c>
      <c r="E121" s="1">
        <v>10</v>
      </c>
      <c r="F121" s="1">
        <v>438</v>
      </c>
      <c r="G121" s="1">
        <v>10</v>
      </c>
      <c r="H121" s="2">
        <v>46061</v>
      </c>
      <c r="I121" s="2">
        <v>46065</v>
      </c>
      <c r="J121" s="1" t="s">
        <v>51</v>
      </c>
      <c r="K121" s="1">
        <v>1120</v>
      </c>
    </row>
    <row r="122" spans="1:11" ht="14.4" hidden="1" x14ac:dyDescent="0.3">
      <c r="A122" s="1" t="s">
        <v>29</v>
      </c>
      <c r="B122" s="1" t="s">
        <v>12</v>
      </c>
      <c r="C122" s="1" t="s">
        <v>34</v>
      </c>
      <c r="D122" s="1" t="s">
        <v>39</v>
      </c>
      <c r="E122" s="1">
        <v>4</v>
      </c>
      <c r="F122" s="1">
        <v>55809</v>
      </c>
      <c r="G122" s="1">
        <v>2</v>
      </c>
      <c r="H122" s="2">
        <v>46103</v>
      </c>
      <c r="I122" s="2">
        <v>46108</v>
      </c>
      <c r="J122" s="1" t="s">
        <v>29</v>
      </c>
      <c r="K122" s="1">
        <v>1121</v>
      </c>
    </row>
    <row r="123" spans="1:11" ht="14.4" hidden="1" x14ac:dyDescent="0.3">
      <c r="A123" s="1" t="s">
        <v>40</v>
      </c>
      <c r="B123" s="1" t="s">
        <v>22</v>
      </c>
      <c r="C123" s="1" t="s">
        <v>34</v>
      </c>
      <c r="D123" s="1" t="s">
        <v>39</v>
      </c>
      <c r="E123" s="1">
        <v>14</v>
      </c>
      <c r="F123" s="1">
        <v>49990</v>
      </c>
      <c r="G123" s="1">
        <v>10</v>
      </c>
      <c r="H123" s="2">
        <v>46132</v>
      </c>
      <c r="I123" s="2">
        <v>46135</v>
      </c>
      <c r="J123" s="1" t="s">
        <v>29</v>
      </c>
      <c r="K123" s="1">
        <v>1122</v>
      </c>
    </row>
    <row r="124" spans="1:11" ht="14.4" hidden="1" x14ac:dyDescent="0.3">
      <c r="A124" s="1" t="s">
        <v>32</v>
      </c>
      <c r="B124" s="1" t="s">
        <v>31</v>
      </c>
      <c r="C124" s="1" t="s">
        <v>34</v>
      </c>
      <c r="D124" s="1" t="s">
        <v>45</v>
      </c>
      <c r="E124" s="1">
        <v>16</v>
      </c>
      <c r="F124" s="1">
        <v>1332</v>
      </c>
      <c r="G124" s="1">
        <v>7</v>
      </c>
      <c r="H124" s="2">
        <v>46107</v>
      </c>
      <c r="I124" s="2">
        <v>46109</v>
      </c>
      <c r="J124" s="1" t="s">
        <v>29</v>
      </c>
      <c r="K124" s="1">
        <v>1123</v>
      </c>
    </row>
    <row r="125" spans="1:11" ht="14.4" hidden="1" x14ac:dyDescent="0.3">
      <c r="A125" s="1" t="s">
        <v>27</v>
      </c>
      <c r="B125" s="1" t="s">
        <v>38</v>
      </c>
      <c r="C125" s="1" t="s">
        <v>18</v>
      </c>
      <c r="D125" s="1" t="s">
        <v>56</v>
      </c>
      <c r="E125" s="1">
        <v>4</v>
      </c>
      <c r="F125" s="1">
        <v>14195</v>
      </c>
      <c r="G125" s="1">
        <v>15</v>
      </c>
      <c r="H125" s="2">
        <v>46182</v>
      </c>
      <c r="I125" s="2">
        <v>46189</v>
      </c>
      <c r="J125" s="1" t="s">
        <v>51</v>
      </c>
      <c r="K125" s="1">
        <v>1124</v>
      </c>
    </row>
    <row r="126" spans="1:11" ht="14.4" hidden="1" x14ac:dyDescent="0.3">
      <c r="A126" s="1" t="s">
        <v>49</v>
      </c>
      <c r="B126" s="1" t="s">
        <v>33</v>
      </c>
      <c r="C126" s="1" t="s">
        <v>13</v>
      </c>
      <c r="D126" s="1" t="s">
        <v>14</v>
      </c>
      <c r="E126" s="1">
        <v>6</v>
      </c>
      <c r="F126" s="1">
        <v>30</v>
      </c>
      <c r="G126" s="1">
        <v>2</v>
      </c>
      <c r="H126" s="2">
        <v>46133</v>
      </c>
      <c r="I126" s="2">
        <v>46138</v>
      </c>
      <c r="J126" s="1" t="s">
        <v>24</v>
      </c>
      <c r="K126" s="1">
        <v>1125</v>
      </c>
    </row>
    <row r="127" spans="1:11" ht="14.4" hidden="1" x14ac:dyDescent="0.3">
      <c r="A127" s="1" t="s">
        <v>46</v>
      </c>
      <c r="B127" s="1" t="s">
        <v>22</v>
      </c>
      <c r="C127" s="1" t="s">
        <v>34</v>
      </c>
      <c r="D127" s="1" t="s">
        <v>39</v>
      </c>
      <c r="E127" s="1">
        <v>17</v>
      </c>
      <c r="F127" s="1">
        <v>19390</v>
      </c>
      <c r="G127" s="1">
        <v>12</v>
      </c>
      <c r="H127" s="2">
        <v>46201</v>
      </c>
      <c r="I127" s="2">
        <v>46206</v>
      </c>
      <c r="J127" s="1" t="s">
        <v>29</v>
      </c>
      <c r="K127" s="1">
        <v>1126</v>
      </c>
    </row>
    <row r="128" spans="1:11" ht="14.4" hidden="1" x14ac:dyDescent="0.3">
      <c r="A128" s="1" t="s">
        <v>26</v>
      </c>
      <c r="B128" s="1" t="s">
        <v>33</v>
      </c>
      <c r="C128" s="1" t="s">
        <v>18</v>
      </c>
      <c r="D128" s="1" t="s">
        <v>28</v>
      </c>
      <c r="E128" s="1">
        <v>15</v>
      </c>
      <c r="F128" s="1">
        <v>11694</v>
      </c>
      <c r="G128" s="1">
        <v>12</v>
      </c>
      <c r="H128" s="2">
        <v>46170</v>
      </c>
      <c r="I128" s="2">
        <v>46179</v>
      </c>
      <c r="J128" s="1" t="s">
        <v>29</v>
      </c>
      <c r="K128" s="1">
        <v>1127</v>
      </c>
    </row>
    <row r="129" spans="1:11" ht="14.4" hidden="1" x14ac:dyDescent="0.3">
      <c r="A129" s="1" t="s">
        <v>30</v>
      </c>
      <c r="B129" s="1" t="s">
        <v>22</v>
      </c>
      <c r="C129" s="1" t="s">
        <v>34</v>
      </c>
      <c r="D129" s="1" t="s">
        <v>61</v>
      </c>
      <c r="E129" s="1">
        <v>6</v>
      </c>
      <c r="F129" s="1">
        <v>5001</v>
      </c>
      <c r="G129" s="1">
        <v>7</v>
      </c>
      <c r="H129" s="2">
        <v>46044</v>
      </c>
      <c r="I129" s="2">
        <v>46050</v>
      </c>
      <c r="J129" s="1" t="s">
        <v>29</v>
      </c>
      <c r="K129" s="1">
        <v>1128</v>
      </c>
    </row>
    <row r="130" spans="1:11" ht="14.4" hidden="1" x14ac:dyDescent="0.3">
      <c r="A130" s="1" t="s">
        <v>58</v>
      </c>
      <c r="B130" s="1" t="s">
        <v>17</v>
      </c>
      <c r="C130" s="1" t="s">
        <v>13</v>
      </c>
      <c r="D130" s="1" t="s">
        <v>50</v>
      </c>
      <c r="E130" s="1">
        <v>15</v>
      </c>
      <c r="F130" s="1">
        <v>75</v>
      </c>
      <c r="G130" s="1">
        <v>7</v>
      </c>
      <c r="H130" s="2">
        <v>46160</v>
      </c>
      <c r="I130" s="2">
        <v>46164</v>
      </c>
      <c r="J130" s="1" t="s">
        <v>29</v>
      </c>
      <c r="K130" s="1">
        <v>1129</v>
      </c>
    </row>
    <row r="131" spans="1:11" ht="14.4" hidden="1" x14ac:dyDescent="0.3">
      <c r="A131" s="1" t="s">
        <v>48</v>
      </c>
      <c r="B131" s="1" t="s">
        <v>33</v>
      </c>
      <c r="C131" s="1" t="s">
        <v>13</v>
      </c>
      <c r="D131" s="1" t="s">
        <v>14</v>
      </c>
      <c r="E131" s="1">
        <v>12</v>
      </c>
      <c r="F131" s="1">
        <v>50</v>
      </c>
      <c r="G131" s="1">
        <v>2</v>
      </c>
      <c r="H131" s="2">
        <v>46125</v>
      </c>
      <c r="I131" s="2">
        <v>46131</v>
      </c>
      <c r="J131" s="1" t="s">
        <v>24</v>
      </c>
      <c r="K131" s="1">
        <v>1130</v>
      </c>
    </row>
    <row r="132" spans="1:11" ht="14.4" hidden="1" x14ac:dyDescent="0.3">
      <c r="A132" s="1" t="s">
        <v>21</v>
      </c>
      <c r="B132" s="1" t="s">
        <v>31</v>
      </c>
      <c r="C132" s="1" t="s">
        <v>18</v>
      </c>
      <c r="D132" s="1" t="s">
        <v>23</v>
      </c>
      <c r="E132" s="1">
        <v>13</v>
      </c>
      <c r="F132" s="1">
        <v>3083</v>
      </c>
      <c r="G132" s="1">
        <v>7</v>
      </c>
      <c r="H132" s="2">
        <v>46168</v>
      </c>
      <c r="I132" s="2">
        <v>46173</v>
      </c>
      <c r="J132" s="1" t="s">
        <v>51</v>
      </c>
      <c r="K132" s="1">
        <v>1131</v>
      </c>
    </row>
    <row r="133" spans="1:11" ht="14.4" hidden="1" x14ac:dyDescent="0.3">
      <c r="A133" s="1" t="s">
        <v>11</v>
      </c>
      <c r="B133" s="1" t="s">
        <v>31</v>
      </c>
      <c r="C133" s="1" t="s">
        <v>13</v>
      </c>
      <c r="D133" s="1" t="s">
        <v>50</v>
      </c>
      <c r="E133" s="1">
        <v>10</v>
      </c>
      <c r="F133" s="1">
        <v>270</v>
      </c>
      <c r="G133" s="1">
        <v>7</v>
      </c>
      <c r="H133" s="2">
        <v>46024</v>
      </c>
      <c r="I133" s="2">
        <v>46034</v>
      </c>
      <c r="J133" s="1" t="s">
        <v>24</v>
      </c>
      <c r="K133" s="1">
        <v>1132</v>
      </c>
    </row>
    <row r="134" spans="1:11" ht="14.4" hidden="1" x14ac:dyDescent="0.3">
      <c r="A134" s="1" t="s">
        <v>11</v>
      </c>
      <c r="B134" s="1" t="s">
        <v>12</v>
      </c>
      <c r="C134" s="1" t="s">
        <v>18</v>
      </c>
      <c r="D134" s="1" t="s">
        <v>56</v>
      </c>
      <c r="E134" s="1">
        <v>6</v>
      </c>
      <c r="F134" s="1">
        <v>9037</v>
      </c>
      <c r="G134" s="1">
        <v>2</v>
      </c>
      <c r="H134" s="2">
        <v>46112</v>
      </c>
      <c r="I134" s="2">
        <v>46121</v>
      </c>
      <c r="J134" s="1" t="s">
        <v>51</v>
      </c>
      <c r="K134" s="1">
        <v>1133</v>
      </c>
    </row>
    <row r="135" spans="1:11" ht="14.4" hidden="1" x14ac:dyDescent="0.3">
      <c r="A135" s="1" t="s">
        <v>57</v>
      </c>
      <c r="B135" s="1" t="s">
        <v>31</v>
      </c>
      <c r="C135" s="1" t="s">
        <v>34</v>
      </c>
      <c r="D135" s="1" t="s">
        <v>61</v>
      </c>
      <c r="E135" s="1">
        <v>10</v>
      </c>
      <c r="F135" s="1">
        <v>29217</v>
      </c>
      <c r="G135" s="1">
        <v>15</v>
      </c>
      <c r="H135" s="2">
        <v>46148</v>
      </c>
      <c r="I135" s="2">
        <v>46150</v>
      </c>
      <c r="J135" s="1" t="s">
        <v>24</v>
      </c>
      <c r="K135" s="1">
        <v>1134</v>
      </c>
    </row>
    <row r="136" spans="1:11" ht="14.4" hidden="1" x14ac:dyDescent="0.3">
      <c r="A136" s="1" t="s">
        <v>49</v>
      </c>
      <c r="B136" s="1" t="s">
        <v>43</v>
      </c>
      <c r="C136" s="1" t="s">
        <v>34</v>
      </c>
      <c r="D136" s="1" t="s">
        <v>39</v>
      </c>
      <c r="E136" s="1">
        <v>14</v>
      </c>
      <c r="F136" s="1">
        <v>68534</v>
      </c>
      <c r="G136" s="1">
        <v>0</v>
      </c>
      <c r="H136" s="2">
        <v>46041</v>
      </c>
      <c r="I136" s="2">
        <v>46042</v>
      </c>
      <c r="J136" s="1" t="s">
        <v>15</v>
      </c>
      <c r="K136" s="1">
        <v>1135</v>
      </c>
    </row>
    <row r="137" spans="1:11" ht="14.4" hidden="1" x14ac:dyDescent="0.3">
      <c r="A137" s="1" t="s">
        <v>27</v>
      </c>
      <c r="B137" s="1" t="s">
        <v>43</v>
      </c>
      <c r="C137" s="1" t="s">
        <v>18</v>
      </c>
      <c r="D137" s="1" t="s">
        <v>56</v>
      </c>
      <c r="E137" s="1">
        <v>19</v>
      </c>
      <c r="F137" s="1">
        <v>14528</v>
      </c>
      <c r="G137" s="1">
        <v>12</v>
      </c>
      <c r="H137" s="2">
        <v>46056</v>
      </c>
      <c r="I137" s="2">
        <v>46062</v>
      </c>
      <c r="J137" s="1" t="s">
        <v>24</v>
      </c>
      <c r="K137" s="1">
        <v>1136</v>
      </c>
    </row>
    <row r="138" spans="1:11" ht="14.4" hidden="1" x14ac:dyDescent="0.3">
      <c r="A138" s="1" t="s">
        <v>52</v>
      </c>
      <c r="B138" s="1" t="s">
        <v>12</v>
      </c>
      <c r="C138" s="1" t="s">
        <v>13</v>
      </c>
      <c r="D138" s="1" t="s">
        <v>37</v>
      </c>
      <c r="E138" s="1">
        <v>16</v>
      </c>
      <c r="F138" s="1">
        <v>270</v>
      </c>
      <c r="G138" s="1">
        <v>10</v>
      </c>
      <c r="H138" s="2">
        <v>46184</v>
      </c>
      <c r="I138" s="2">
        <v>46190</v>
      </c>
      <c r="J138" s="1" t="s">
        <v>29</v>
      </c>
      <c r="K138" s="1">
        <v>1137</v>
      </c>
    </row>
    <row r="139" spans="1:11" ht="14.4" hidden="1" x14ac:dyDescent="0.3">
      <c r="A139" s="1" t="s">
        <v>55</v>
      </c>
      <c r="B139" s="1" t="s">
        <v>43</v>
      </c>
      <c r="C139" s="1" t="s">
        <v>18</v>
      </c>
      <c r="D139" s="1" t="s">
        <v>19</v>
      </c>
      <c r="E139" s="1">
        <v>5</v>
      </c>
      <c r="F139" s="1">
        <v>14466</v>
      </c>
      <c r="G139" s="1">
        <v>2</v>
      </c>
      <c r="H139" s="2">
        <v>46084</v>
      </c>
      <c r="I139" s="2">
        <v>46092</v>
      </c>
      <c r="J139" s="1" t="s">
        <v>51</v>
      </c>
      <c r="K139" s="1">
        <v>1138</v>
      </c>
    </row>
    <row r="140" spans="1:11" ht="14.4" hidden="1" x14ac:dyDescent="0.3">
      <c r="A140" s="1" t="s">
        <v>55</v>
      </c>
      <c r="B140" s="1" t="s">
        <v>33</v>
      </c>
      <c r="C140" s="1" t="s">
        <v>34</v>
      </c>
      <c r="D140" s="1" t="s">
        <v>61</v>
      </c>
      <c r="E140" s="1">
        <v>17</v>
      </c>
      <c r="F140" s="1">
        <v>28839</v>
      </c>
      <c r="G140" s="1">
        <v>10</v>
      </c>
      <c r="H140" s="2">
        <v>46093</v>
      </c>
      <c r="I140" s="2">
        <v>46099</v>
      </c>
      <c r="J140" s="1" t="s">
        <v>15</v>
      </c>
      <c r="K140" s="1">
        <v>1139</v>
      </c>
    </row>
    <row r="141" spans="1:11" ht="14.4" hidden="1" x14ac:dyDescent="0.3">
      <c r="A141" s="1" t="s">
        <v>57</v>
      </c>
      <c r="B141" s="1" t="s">
        <v>38</v>
      </c>
      <c r="C141" s="1" t="s">
        <v>34</v>
      </c>
      <c r="D141" s="1" t="s">
        <v>41</v>
      </c>
      <c r="E141" s="1">
        <v>5</v>
      </c>
      <c r="F141" s="1">
        <v>68012</v>
      </c>
      <c r="G141" s="1">
        <v>5</v>
      </c>
      <c r="H141" s="2">
        <v>46061</v>
      </c>
      <c r="I141" s="2">
        <v>46065</v>
      </c>
      <c r="J141" s="1" t="s">
        <v>15</v>
      </c>
      <c r="K141" s="1">
        <v>1140</v>
      </c>
    </row>
    <row r="142" spans="1:11" ht="14.4" hidden="1" x14ac:dyDescent="0.3">
      <c r="A142" s="1" t="s">
        <v>11</v>
      </c>
      <c r="B142" s="1" t="s">
        <v>17</v>
      </c>
      <c r="C142" s="1" t="s">
        <v>18</v>
      </c>
      <c r="D142" s="1" t="s">
        <v>44</v>
      </c>
      <c r="E142" s="1">
        <v>20</v>
      </c>
      <c r="F142" s="1">
        <v>6835</v>
      </c>
      <c r="G142" s="1">
        <v>2</v>
      </c>
      <c r="H142" s="2">
        <v>46043</v>
      </c>
      <c r="I142" s="2">
        <v>46053</v>
      </c>
      <c r="J142" s="1" t="s">
        <v>15</v>
      </c>
      <c r="K142" s="1">
        <v>1141</v>
      </c>
    </row>
    <row r="143" spans="1:11" ht="14.4" hidden="1" x14ac:dyDescent="0.3">
      <c r="A143" s="1" t="s">
        <v>40</v>
      </c>
      <c r="B143" s="1" t="s">
        <v>25</v>
      </c>
      <c r="C143" s="1" t="s">
        <v>34</v>
      </c>
      <c r="D143" s="1" t="s">
        <v>60</v>
      </c>
      <c r="E143" s="1">
        <v>9</v>
      </c>
      <c r="F143" s="1">
        <v>59788</v>
      </c>
      <c r="G143" s="1">
        <v>7</v>
      </c>
      <c r="H143" s="2">
        <v>46064</v>
      </c>
      <c r="I143" s="2">
        <v>46071</v>
      </c>
      <c r="J143" s="1" t="s">
        <v>29</v>
      </c>
      <c r="K143" s="1">
        <v>1142</v>
      </c>
    </row>
    <row r="144" spans="1:11" ht="14.4" hidden="1" x14ac:dyDescent="0.3">
      <c r="A144" s="1" t="s">
        <v>29</v>
      </c>
      <c r="B144" s="1" t="s">
        <v>17</v>
      </c>
      <c r="C144" s="1" t="s">
        <v>13</v>
      </c>
      <c r="D144" s="1" t="s">
        <v>37</v>
      </c>
      <c r="E144" s="1">
        <v>13</v>
      </c>
      <c r="F144" s="1">
        <v>456</v>
      </c>
      <c r="G144" s="1">
        <v>2</v>
      </c>
      <c r="H144" s="2">
        <v>46160</v>
      </c>
      <c r="I144" s="2">
        <v>46167</v>
      </c>
      <c r="J144" s="1" t="s">
        <v>24</v>
      </c>
      <c r="K144" s="1">
        <v>1143</v>
      </c>
    </row>
    <row r="145" spans="1:11" ht="14.4" hidden="1" x14ac:dyDescent="0.3">
      <c r="A145" s="1" t="s">
        <v>42</v>
      </c>
      <c r="B145" s="1" t="s">
        <v>25</v>
      </c>
      <c r="C145" s="1" t="s">
        <v>13</v>
      </c>
      <c r="D145" s="1" t="s">
        <v>14</v>
      </c>
      <c r="E145" s="1">
        <v>16</v>
      </c>
      <c r="F145" s="1">
        <v>219</v>
      </c>
      <c r="G145" s="1">
        <v>7</v>
      </c>
      <c r="H145" s="2">
        <v>46138</v>
      </c>
      <c r="I145" s="2">
        <v>46140</v>
      </c>
      <c r="J145" s="1" t="s">
        <v>20</v>
      </c>
      <c r="K145" s="1">
        <v>1144</v>
      </c>
    </row>
    <row r="146" spans="1:11" ht="14.4" hidden="1" x14ac:dyDescent="0.3">
      <c r="A146" s="1" t="s">
        <v>42</v>
      </c>
      <c r="B146" s="1" t="s">
        <v>33</v>
      </c>
      <c r="C146" s="1" t="s">
        <v>34</v>
      </c>
      <c r="D146" s="1" t="s">
        <v>39</v>
      </c>
      <c r="E146" s="1">
        <v>2</v>
      </c>
      <c r="F146" s="1">
        <v>34429</v>
      </c>
      <c r="G146" s="1">
        <v>12</v>
      </c>
      <c r="H146" s="2">
        <v>46102</v>
      </c>
      <c r="I146" s="2">
        <v>46112</v>
      </c>
      <c r="J146" s="1" t="s">
        <v>24</v>
      </c>
      <c r="K146" s="1">
        <v>1145</v>
      </c>
    </row>
    <row r="147" spans="1:11" ht="14.4" hidden="1" x14ac:dyDescent="0.3">
      <c r="A147" s="1" t="s">
        <v>16</v>
      </c>
      <c r="B147" s="1" t="s">
        <v>43</v>
      </c>
      <c r="C147" s="1" t="s">
        <v>34</v>
      </c>
      <c r="D147" s="1" t="s">
        <v>45</v>
      </c>
      <c r="E147" s="1">
        <v>7</v>
      </c>
      <c r="F147" s="1">
        <v>68217</v>
      </c>
      <c r="G147" s="1">
        <v>0</v>
      </c>
      <c r="H147" s="2">
        <v>46190</v>
      </c>
      <c r="I147" s="2">
        <v>46197</v>
      </c>
      <c r="J147" s="1" t="s">
        <v>29</v>
      </c>
      <c r="K147" s="1">
        <v>1146</v>
      </c>
    </row>
    <row r="148" spans="1:11" ht="14.4" hidden="1" x14ac:dyDescent="0.3">
      <c r="A148" s="1" t="s">
        <v>11</v>
      </c>
      <c r="B148" s="1" t="s">
        <v>22</v>
      </c>
      <c r="C148" s="1" t="s">
        <v>18</v>
      </c>
      <c r="D148" s="1" t="s">
        <v>28</v>
      </c>
      <c r="E148" s="1">
        <v>7</v>
      </c>
      <c r="F148" s="1">
        <v>9581</v>
      </c>
      <c r="G148" s="1">
        <v>5</v>
      </c>
      <c r="H148" s="2">
        <v>46154</v>
      </c>
      <c r="I148" s="2">
        <v>46155</v>
      </c>
      <c r="J148" s="1" t="s">
        <v>20</v>
      </c>
      <c r="K148" s="1">
        <v>1147</v>
      </c>
    </row>
    <row r="149" spans="1:11" ht="14.4" hidden="1" x14ac:dyDescent="0.3">
      <c r="A149" s="1" t="s">
        <v>59</v>
      </c>
      <c r="B149" s="1" t="s">
        <v>33</v>
      </c>
      <c r="C149" s="1" t="s">
        <v>18</v>
      </c>
      <c r="D149" s="1" t="s">
        <v>28</v>
      </c>
      <c r="E149" s="1">
        <v>11</v>
      </c>
      <c r="F149" s="1">
        <v>3023</v>
      </c>
      <c r="G149" s="1">
        <v>7</v>
      </c>
      <c r="H149" s="2">
        <v>46030</v>
      </c>
      <c r="I149" s="2">
        <v>46032</v>
      </c>
      <c r="J149" s="1" t="s">
        <v>24</v>
      </c>
      <c r="K149" s="1">
        <v>1148</v>
      </c>
    </row>
    <row r="150" spans="1:11" ht="14.4" hidden="1" x14ac:dyDescent="0.3">
      <c r="A150" s="1" t="s">
        <v>26</v>
      </c>
      <c r="B150" s="1" t="s">
        <v>38</v>
      </c>
      <c r="C150" s="1" t="s">
        <v>34</v>
      </c>
      <c r="D150" s="1" t="s">
        <v>35</v>
      </c>
      <c r="E150" s="1">
        <v>10</v>
      </c>
      <c r="F150" s="1">
        <v>22853</v>
      </c>
      <c r="G150" s="1">
        <v>7</v>
      </c>
      <c r="H150" s="2">
        <v>46053</v>
      </c>
      <c r="I150" s="2">
        <v>46054</v>
      </c>
      <c r="J150" s="1" t="s">
        <v>29</v>
      </c>
      <c r="K150" s="1">
        <v>1149</v>
      </c>
    </row>
    <row r="151" spans="1:11" ht="14.4" hidden="1" x14ac:dyDescent="0.3">
      <c r="A151" s="1" t="s">
        <v>42</v>
      </c>
      <c r="B151" s="1" t="s">
        <v>12</v>
      </c>
      <c r="C151" s="1" t="s">
        <v>18</v>
      </c>
      <c r="D151" s="1" t="s">
        <v>56</v>
      </c>
      <c r="E151" s="1">
        <v>10</v>
      </c>
      <c r="F151" s="1">
        <v>5323</v>
      </c>
      <c r="G151" s="1">
        <v>7</v>
      </c>
      <c r="H151" s="2">
        <v>46143</v>
      </c>
      <c r="I151" s="2">
        <v>46153</v>
      </c>
      <c r="J151" s="1" t="s">
        <v>24</v>
      </c>
      <c r="K151" s="1">
        <v>1150</v>
      </c>
    </row>
    <row r="152" spans="1:11" ht="14.4" hidden="1" x14ac:dyDescent="0.3">
      <c r="A152" s="1" t="s">
        <v>46</v>
      </c>
      <c r="B152" s="1" t="s">
        <v>43</v>
      </c>
      <c r="C152" s="1" t="s">
        <v>13</v>
      </c>
      <c r="D152" s="1" t="s">
        <v>50</v>
      </c>
      <c r="E152" s="1">
        <v>20</v>
      </c>
      <c r="F152" s="1">
        <v>272</v>
      </c>
      <c r="G152" s="1">
        <v>15</v>
      </c>
      <c r="H152" s="2">
        <v>46024</v>
      </c>
      <c r="I152" s="2">
        <v>46029</v>
      </c>
      <c r="J152" s="1" t="s">
        <v>51</v>
      </c>
      <c r="K152" s="1">
        <v>1151</v>
      </c>
    </row>
    <row r="153" spans="1:11" ht="14.4" hidden="1" x14ac:dyDescent="0.3">
      <c r="A153" s="1" t="s">
        <v>27</v>
      </c>
      <c r="B153" s="1" t="s">
        <v>31</v>
      </c>
      <c r="C153" s="1" t="s">
        <v>34</v>
      </c>
      <c r="D153" s="1" t="s">
        <v>61</v>
      </c>
      <c r="E153" s="1">
        <v>14</v>
      </c>
      <c r="F153" s="1">
        <v>8150</v>
      </c>
      <c r="G153" s="1">
        <v>10</v>
      </c>
      <c r="H153" s="2">
        <v>46062</v>
      </c>
      <c r="I153" s="2">
        <v>46070</v>
      </c>
      <c r="J153" s="1" t="s">
        <v>15</v>
      </c>
      <c r="K153" s="1">
        <v>1152</v>
      </c>
    </row>
    <row r="154" spans="1:11" ht="14.4" hidden="1" x14ac:dyDescent="0.3">
      <c r="A154" s="1" t="s">
        <v>42</v>
      </c>
      <c r="B154" s="1" t="s">
        <v>25</v>
      </c>
      <c r="C154" s="1" t="s">
        <v>18</v>
      </c>
      <c r="D154" s="1" t="s">
        <v>23</v>
      </c>
      <c r="E154" s="1">
        <v>19</v>
      </c>
      <c r="F154" s="1">
        <v>10273</v>
      </c>
      <c r="G154" s="1">
        <v>12</v>
      </c>
      <c r="H154" s="2">
        <v>46069</v>
      </c>
      <c r="I154" s="2">
        <v>46072</v>
      </c>
      <c r="J154" s="1" t="s">
        <v>29</v>
      </c>
      <c r="K154" s="1">
        <v>1153</v>
      </c>
    </row>
    <row r="155" spans="1:11" ht="14.4" hidden="1" x14ac:dyDescent="0.3">
      <c r="A155" s="1" t="s">
        <v>32</v>
      </c>
      <c r="B155" s="1" t="s">
        <v>17</v>
      </c>
      <c r="C155" s="1" t="s">
        <v>18</v>
      </c>
      <c r="D155" s="1" t="s">
        <v>56</v>
      </c>
      <c r="E155" s="1">
        <v>15</v>
      </c>
      <c r="F155" s="1">
        <v>6101</v>
      </c>
      <c r="G155" s="1">
        <v>0</v>
      </c>
      <c r="H155" s="2">
        <v>46178</v>
      </c>
      <c r="I155" s="2">
        <v>46183</v>
      </c>
      <c r="J155" s="1" t="s">
        <v>51</v>
      </c>
      <c r="K155" s="1">
        <v>1154</v>
      </c>
    </row>
    <row r="156" spans="1:11" ht="14.4" hidden="1" x14ac:dyDescent="0.3">
      <c r="A156" s="1" t="s">
        <v>11</v>
      </c>
      <c r="B156" s="1" t="s">
        <v>31</v>
      </c>
      <c r="C156" s="1" t="s">
        <v>18</v>
      </c>
      <c r="D156" s="1" t="s">
        <v>28</v>
      </c>
      <c r="E156" s="1">
        <v>13</v>
      </c>
      <c r="F156" s="1">
        <v>4341</v>
      </c>
      <c r="G156" s="1">
        <v>15</v>
      </c>
      <c r="H156" s="2">
        <v>46093</v>
      </c>
      <c r="I156" s="2">
        <v>46096</v>
      </c>
      <c r="J156" s="1" t="s">
        <v>24</v>
      </c>
      <c r="K156" s="1">
        <v>1155</v>
      </c>
    </row>
    <row r="157" spans="1:11" ht="14.4" hidden="1" x14ac:dyDescent="0.3">
      <c r="A157" s="1" t="s">
        <v>54</v>
      </c>
      <c r="B157" s="1" t="s">
        <v>38</v>
      </c>
      <c r="C157" s="1" t="s">
        <v>13</v>
      </c>
      <c r="D157" s="1" t="s">
        <v>36</v>
      </c>
      <c r="E157" s="1">
        <v>5</v>
      </c>
      <c r="F157" s="1">
        <v>466</v>
      </c>
      <c r="G157" s="1">
        <v>15</v>
      </c>
      <c r="H157" s="2">
        <v>46025</v>
      </c>
      <c r="I157" s="2">
        <v>46029</v>
      </c>
      <c r="J157" s="1" t="s">
        <v>15</v>
      </c>
      <c r="K157" s="1">
        <v>1156</v>
      </c>
    </row>
    <row r="158" spans="1:11" ht="14.4" hidden="1" x14ac:dyDescent="0.3">
      <c r="A158" s="1" t="s">
        <v>52</v>
      </c>
      <c r="B158" s="1" t="s">
        <v>33</v>
      </c>
      <c r="C158" s="1" t="s">
        <v>13</v>
      </c>
      <c r="D158" s="1" t="s">
        <v>50</v>
      </c>
      <c r="E158" s="1">
        <v>3</v>
      </c>
      <c r="F158" s="1">
        <v>203</v>
      </c>
      <c r="G158" s="1">
        <v>15</v>
      </c>
      <c r="H158" s="2">
        <v>46076</v>
      </c>
      <c r="I158" s="2">
        <v>46080</v>
      </c>
      <c r="J158" s="1" t="s">
        <v>29</v>
      </c>
      <c r="K158" s="1">
        <v>1157</v>
      </c>
    </row>
    <row r="159" spans="1:11" ht="14.4" hidden="1" x14ac:dyDescent="0.3">
      <c r="A159" s="1" t="s">
        <v>26</v>
      </c>
      <c r="B159" s="1" t="s">
        <v>38</v>
      </c>
      <c r="C159" s="1" t="s">
        <v>34</v>
      </c>
      <c r="D159" s="1" t="s">
        <v>41</v>
      </c>
      <c r="E159" s="1">
        <v>13</v>
      </c>
      <c r="F159" s="1">
        <v>12518</v>
      </c>
      <c r="G159" s="1">
        <v>2</v>
      </c>
      <c r="H159" s="2">
        <v>46079</v>
      </c>
      <c r="I159" s="2">
        <v>46082</v>
      </c>
      <c r="J159" s="1" t="s">
        <v>51</v>
      </c>
      <c r="K159" s="1">
        <v>1158</v>
      </c>
    </row>
    <row r="160" spans="1:11" ht="14.4" hidden="1" x14ac:dyDescent="0.3">
      <c r="A160" s="1" t="s">
        <v>32</v>
      </c>
      <c r="B160" s="1" t="s">
        <v>43</v>
      </c>
      <c r="C160" s="1" t="s">
        <v>18</v>
      </c>
      <c r="D160" s="1" t="s">
        <v>28</v>
      </c>
      <c r="E160" s="1">
        <v>20</v>
      </c>
      <c r="F160" s="1">
        <v>14000</v>
      </c>
      <c r="G160" s="1">
        <v>15</v>
      </c>
      <c r="H160" s="2">
        <v>46184</v>
      </c>
      <c r="I160" s="2">
        <v>46187</v>
      </c>
      <c r="J160" s="1" t="s">
        <v>15</v>
      </c>
      <c r="K160" s="1">
        <v>1159</v>
      </c>
    </row>
    <row r="161" spans="1:11" ht="14.4" hidden="1" x14ac:dyDescent="0.3">
      <c r="A161" s="1" t="s">
        <v>59</v>
      </c>
      <c r="B161" s="1" t="s">
        <v>22</v>
      </c>
      <c r="C161" s="1" t="s">
        <v>34</v>
      </c>
      <c r="D161" s="1" t="s">
        <v>39</v>
      </c>
      <c r="E161" s="1">
        <v>7</v>
      </c>
      <c r="F161" s="1">
        <v>53986</v>
      </c>
      <c r="G161" s="1">
        <v>10</v>
      </c>
      <c r="H161" s="2">
        <v>46142</v>
      </c>
      <c r="I161" s="2">
        <v>46147</v>
      </c>
      <c r="J161" s="1" t="s">
        <v>51</v>
      </c>
      <c r="K161" s="1">
        <v>1160</v>
      </c>
    </row>
    <row r="162" spans="1:11" ht="14.4" hidden="1" x14ac:dyDescent="0.3">
      <c r="A162" s="1" t="s">
        <v>27</v>
      </c>
      <c r="B162" s="1" t="s">
        <v>25</v>
      </c>
      <c r="C162" s="1" t="s">
        <v>34</v>
      </c>
      <c r="D162" s="1" t="s">
        <v>39</v>
      </c>
      <c r="E162" s="1">
        <v>4</v>
      </c>
      <c r="F162" s="1">
        <v>54659</v>
      </c>
      <c r="G162" s="1">
        <v>7</v>
      </c>
      <c r="H162" s="2">
        <v>46105</v>
      </c>
      <c r="I162" s="2">
        <v>46109</v>
      </c>
      <c r="J162" s="1" t="s">
        <v>20</v>
      </c>
      <c r="K162" s="1">
        <v>1161</v>
      </c>
    </row>
    <row r="163" spans="1:11" ht="14.4" hidden="1" x14ac:dyDescent="0.3">
      <c r="A163" s="1" t="s">
        <v>57</v>
      </c>
      <c r="B163" s="1" t="s">
        <v>31</v>
      </c>
      <c r="C163" s="1" t="s">
        <v>34</v>
      </c>
      <c r="D163" s="1" t="s">
        <v>45</v>
      </c>
      <c r="E163" s="1">
        <v>2</v>
      </c>
      <c r="F163" s="1">
        <v>28176</v>
      </c>
      <c r="G163" s="1">
        <v>10</v>
      </c>
      <c r="H163" s="2">
        <v>46100</v>
      </c>
      <c r="I163" s="2">
        <v>46101</v>
      </c>
      <c r="J163" s="1" t="s">
        <v>20</v>
      </c>
      <c r="K163" s="1">
        <v>1162</v>
      </c>
    </row>
    <row r="164" spans="1:11" ht="14.4" hidden="1" x14ac:dyDescent="0.3">
      <c r="A164" s="1" t="s">
        <v>29</v>
      </c>
      <c r="B164" s="1" t="s">
        <v>38</v>
      </c>
      <c r="C164" s="1" t="s">
        <v>34</v>
      </c>
      <c r="D164" s="1" t="s">
        <v>39</v>
      </c>
      <c r="E164" s="1">
        <v>9</v>
      </c>
      <c r="F164" s="1">
        <v>62440</v>
      </c>
      <c r="G164" s="1">
        <v>2</v>
      </c>
      <c r="H164" s="2">
        <v>46081</v>
      </c>
      <c r="I164" s="2">
        <v>46086</v>
      </c>
      <c r="J164" s="1" t="s">
        <v>29</v>
      </c>
      <c r="K164" s="1">
        <v>1163</v>
      </c>
    </row>
    <row r="165" spans="1:11" ht="14.4" hidden="1" x14ac:dyDescent="0.3">
      <c r="A165" s="1" t="s">
        <v>40</v>
      </c>
      <c r="B165" s="1" t="s">
        <v>43</v>
      </c>
      <c r="C165" s="1" t="s">
        <v>34</v>
      </c>
      <c r="D165" s="1" t="s">
        <v>61</v>
      </c>
      <c r="E165" s="1">
        <v>7</v>
      </c>
      <c r="F165" s="1">
        <v>24615</v>
      </c>
      <c r="G165" s="1">
        <v>12</v>
      </c>
      <c r="H165" s="2">
        <v>46196</v>
      </c>
      <c r="I165" s="2">
        <v>46203</v>
      </c>
      <c r="J165" s="1" t="s">
        <v>51</v>
      </c>
      <c r="K165" s="1">
        <v>1164</v>
      </c>
    </row>
    <row r="166" spans="1:11" ht="14.4" hidden="1" x14ac:dyDescent="0.3">
      <c r="A166" s="1" t="s">
        <v>48</v>
      </c>
      <c r="B166" s="1" t="s">
        <v>25</v>
      </c>
      <c r="C166" s="1" t="s">
        <v>13</v>
      </c>
      <c r="D166" s="1" t="s">
        <v>37</v>
      </c>
      <c r="E166" s="1">
        <v>1</v>
      </c>
      <c r="F166" s="1">
        <v>427</v>
      </c>
      <c r="G166" s="1">
        <v>0</v>
      </c>
      <c r="H166" s="2">
        <v>46042</v>
      </c>
      <c r="I166" s="2">
        <v>46050</v>
      </c>
      <c r="J166" s="1" t="s">
        <v>51</v>
      </c>
      <c r="K166" s="1">
        <v>1165</v>
      </c>
    </row>
    <row r="167" spans="1:11" ht="14.4" hidden="1" x14ac:dyDescent="0.3">
      <c r="A167" s="1" t="s">
        <v>32</v>
      </c>
      <c r="B167" s="1" t="s">
        <v>31</v>
      </c>
      <c r="C167" s="1" t="s">
        <v>13</v>
      </c>
      <c r="D167" s="1" t="s">
        <v>37</v>
      </c>
      <c r="E167" s="1">
        <v>1</v>
      </c>
      <c r="F167" s="1">
        <v>396</v>
      </c>
      <c r="G167" s="1">
        <v>5</v>
      </c>
      <c r="H167" s="2">
        <v>46092</v>
      </c>
      <c r="I167" s="2">
        <v>46093</v>
      </c>
      <c r="J167" s="1" t="s">
        <v>20</v>
      </c>
      <c r="K167" s="1">
        <v>1166</v>
      </c>
    </row>
    <row r="168" spans="1:11" ht="14.4" hidden="1" x14ac:dyDescent="0.3">
      <c r="A168" s="1" t="s">
        <v>48</v>
      </c>
      <c r="B168" s="1" t="s">
        <v>17</v>
      </c>
      <c r="C168" s="1" t="s">
        <v>13</v>
      </c>
      <c r="D168" s="1" t="s">
        <v>37</v>
      </c>
      <c r="E168" s="1">
        <v>20</v>
      </c>
      <c r="F168" s="1">
        <v>251</v>
      </c>
      <c r="G168" s="1">
        <v>5</v>
      </c>
      <c r="H168" s="2">
        <v>46160</v>
      </c>
      <c r="I168" s="2">
        <v>46170</v>
      </c>
      <c r="J168" s="1" t="s">
        <v>29</v>
      </c>
      <c r="K168" s="1">
        <v>1167</v>
      </c>
    </row>
    <row r="169" spans="1:11" ht="14.4" hidden="1" x14ac:dyDescent="0.3">
      <c r="A169" s="1" t="s">
        <v>54</v>
      </c>
      <c r="B169" s="1" t="s">
        <v>12</v>
      </c>
      <c r="C169" s="1" t="s">
        <v>13</v>
      </c>
      <c r="D169" s="1" t="s">
        <v>37</v>
      </c>
      <c r="E169" s="1">
        <v>18</v>
      </c>
      <c r="F169" s="1">
        <v>335</v>
      </c>
      <c r="G169" s="1">
        <v>15</v>
      </c>
      <c r="H169" s="2">
        <v>46130</v>
      </c>
      <c r="I169" s="2">
        <v>46140</v>
      </c>
      <c r="J169" s="1" t="s">
        <v>29</v>
      </c>
      <c r="K169" s="1">
        <v>1168</v>
      </c>
    </row>
    <row r="170" spans="1:11" ht="14.4" hidden="1" x14ac:dyDescent="0.3">
      <c r="A170" s="1" t="s">
        <v>47</v>
      </c>
      <c r="B170" s="1" t="s">
        <v>12</v>
      </c>
      <c r="C170" s="1" t="s">
        <v>18</v>
      </c>
      <c r="D170" s="1" t="s">
        <v>56</v>
      </c>
      <c r="E170" s="1">
        <v>12</v>
      </c>
      <c r="F170" s="1">
        <v>12104</v>
      </c>
      <c r="G170" s="1">
        <v>7</v>
      </c>
      <c r="H170" s="2">
        <v>46121</v>
      </c>
      <c r="I170" s="2">
        <v>46130</v>
      </c>
      <c r="J170" s="1" t="s">
        <v>24</v>
      </c>
      <c r="K170" s="1">
        <v>1169</v>
      </c>
    </row>
    <row r="171" spans="1:11" ht="14.4" hidden="1" x14ac:dyDescent="0.3">
      <c r="A171" s="1" t="s">
        <v>49</v>
      </c>
      <c r="B171" s="1" t="s">
        <v>38</v>
      </c>
      <c r="C171" s="1" t="s">
        <v>13</v>
      </c>
      <c r="D171" s="1" t="s">
        <v>14</v>
      </c>
      <c r="E171" s="1">
        <v>6</v>
      </c>
      <c r="F171" s="1">
        <v>339</v>
      </c>
      <c r="G171" s="1">
        <v>12</v>
      </c>
      <c r="H171" s="2">
        <v>46105</v>
      </c>
      <c r="I171" s="2">
        <v>46106</v>
      </c>
      <c r="J171" s="1" t="s">
        <v>24</v>
      </c>
      <c r="K171" s="1">
        <v>1170</v>
      </c>
    </row>
    <row r="172" spans="1:11" ht="14.4" hidden="1" x14ac:dyDescent="0.3">
      <c r="A172" s="1" t="s">
        <v>57</v>
      </c>
      <c r="B172" s="1" t="s">
        <v>25</v>
      </c>
      <c r="C172" s="1" t="s">
        <v>13</v>
      </c>
      <c r="D172" s="1" t="s">
        <v>50</v>
      </c>
      <c r="E172" s="1">
        <v>17</v>
      </c>
      <c r="F172" s="1">
        <v>147</v>
      </c>
      <c r="G172" s="1">
        <v>12</v>
      </c>
      <c r="H172" s="2">
        <v>46155</v>
      </c>
      <c r="I172" s="2">
        <v>46160</v>
      </c>
      <c r="J172" s="1" t="s">
        <v>20</v>
      </c>
      <c r="K172" s="1">
        <v>1171</v>
      </c>
    </row>
    <row r="173" spans="1:11" ht="14.4" hidden="1" x14ac:dyDescent="0.3">
      <c r="A173" s="1" t="s">
        <v>16</v>
      </c>
      <c r="B173" s="1" t="s">
        <v>12</v>
      </c>
      <c r="C173" s="1" t="s">
        <v>34</v>
      </c>
      <c r="D173" s="1" t="s">
        <v>45</v>
      </c>
      <c r="E173" s="1">
        <v>13</v>
      </c>
      <c r="F173" s="1">
        <v>43163</v>
      </c>
      <c r="G173" s="1">
        <v>12</v>
      </c>
      <c r="H173" s="2">
        <v>46120</v>
      </c>
      <c r="I173" s="2">
        <v>46129</v>
      </c>
      <c r="J173" s="1" t="s">
        <v>24</v>
      </c>
      <c r="K173" s="1">
        <v>1172</v>
      </c>
    </row>
    <row r="174" spans="1:11" ht="14.4" hidden="1" x14ac:dyDescent="0.3">
      <c r="A174" s="1" t="s">
        <v>40</v>
      </c>
      <c r="B174" s="1" t="s">
        <v>17</v>
      </c>
      <c r="C174" s="1" t="s">
        <v>13</v>
      </c>
      <c r="D174" s="1" t="s">
        <v>37</v>
      </c>
      <c r="E174" s="1">
        <v>15</v>
      </c>
      <c r="F174" s="1">
        <v>214</v>
      </c>
      <c r="G174" s="1">
        <v>10</v>
      </c>
      <c r="H174" s="2">
        <v>46050</v>
      </c>
      <c r="I174" s="2">
        <v>46060</v>
      </c>
      <c r="J174" s="1" t="s">
        <v>51</v>
      </c>
      <c r="K174" s="1">
        <v>1173</v>
      </c>
    </row>
    <row r="175" spans="1:11" ht="14.4" hidden="1" x14ac:dyDescent="0.3">
      <c r="A175" s="1" t="s">
        <v>58</v>
      </c>
      <c r="B175" s="1" t="s">
        <v>38</v>
      </c>
      <c r="C175" s="1" t="s">
        <v>13</v>
      </c>
      <c r="D175" s="1" t="s">
        <v>14</v>
      </c>
      <c r="E175" s="1">
        <v>13</v>
      </c>
      <c r="F175" s="1">
        <v>155</v>
      </c>
      <c r="G175" s="1">
        <v>2</v>
      </c>
      <c r="H175" s="2">
        <v>46066</v>
      </c>
      <c r="I175" s="2">
        <v>46069</v>
      </c>
      <c r="J175" s="1" t="s">
        <v>24</v>
      </c>
      <c r="K175" s="1">
        <v>1174</v>
      </c>
    </row>
    <row r="176" spans="1:11" ht="14.4" hidden="1" x14ac:dyDescent="0.3">
      <c r="A176" s="1" t="s">
        <v>26</v>
      </c>
      <c r="B176" s="1" t="s">
        <v>17</v>
      </c>
      <c r="C176" s="1" t="s">
        <v>34</v>
      </c>
      <c r="D176" s="1" t="s">
        <v>41</v>
      </c>
      <c r="E176" s="1">
        <v>10</v>
      </c>
      <c r="F176" s="1">
        <v>20339</v>
      </c>
      <c r="G176" s="1">
        <v>2</v>
      </c>
      <c r="H176" s="2">
        <v>46088</v>
      </c>
      <c r="I176" s="2">
        <v>46094</v>
      </c>
      <c r="J176" s="1" t="s">
        <v>20</v>
      </c>
      <c r="K176" s="1">
        <v>1175</v>
      </c>
    </row>
    <row r="177" spans="1:11" ht="14.4" hidden="1" x14ac:dyDescent="0.3">
      <c r="A177" s="1" t="s">
        <v>58</v>
      </c>
      <c r="B177" s="1" t="s">
        <v>38</v>
      </c>
      <c r="C177" s="1" t="s">
        <v>34</v>
      </c>
      <c r="D177" s="1" t="s">
        <v>41</v>
      </c>
      <c r="E177" s="1">
        <v>17</v>
      </c>
      <c r="F177" s="1">
        <v>46937</v>
      </c>
      <c r="G177" s="1">
        <v>12</v>
      </c>
      <c r="H177" s="2">
        <v>46048</v>
      </c>
      <c r="I177" s="2">
        <v>46056</v>
      </c>
      <c r="J177" s="1" t="s">
        <v>29</v>
      </c>
      <c r="K177" s="1">
        <v>1176</v>
      </c>
    </row>
    <row r="178" spans="1:11" ht="14.4" hidden="1" x14ac:dyDescent="0.3">
      <c r="A178" s="1" t="s">
        <v>29</v>
      </c>
      <c r="B178" s="1" t="s">
        <v>22</v>
      </c>
      <c r="C178" s="1" t="s">
        <v>18</v>
      </c>
      <c r="D178" s="1" t="s">
        <v>19</v>
      </c>
      <c r="E178" s="1">
        <v>14</v>
      </c>
      <c r="F178" s="1">
        <v>7501</v>
      </c>
      <c r="G178" s="1">
        <v>7</v>
      </c>
      <c r="H178" s="2">
        <v>46169</v>
      </c>
      <c r="I178" s="2">
        <v>46179</v>
      </c>
      <c r="J178" s="1" t="s">
        <v>20</v>
      </c>
      <c r="K178" s="1">
        <v>1177</v>
      </c>
    </row>
    <row r="179" spans="1:11" ht="14.4" hidden="1" x14ac:dyDescent="0.3">
      <c r="A179" s="1" t="s">
        <v>57</v>
      </c>
      <c r="B179" s="1" t="s">
        <v>17</v>
      </c>
      <c r="C179" s="1" t="s">
        <v>13</v>
      </c>
      <c r="D179" s="1" t="s">
        <v>50</v>
      </c>
      <c r="E179" s="1">
        <v>5</v>
      </c>
      <c r="F179" s="1">
        <v>50</v>
      </c>
      <c r="G179" s="1">
        <v>0</v>
      </c>
      <c r="H179" s="2">
        <v>46111</v>
      </c>
      <c r="I179" s="2">
        <v>46117</v>
      </c>
      <c r="J179" s="1" t="s">
        <v>20</v>
      </c>
      <c r="K179" s="1">
        <v>1178</v>
      </c>
    </row>
    <row r="180" spans="1:11" ht="14.4" hidden="1" x14ac:dyDescent="0.3">
      <c r="A180" s="1" t="s">
        <v>47</v>
      </c>
      <c r="B180" s="1" t="s">
        <v>17</v>
      </c>
      <c r="C180" s="1" t="s">
        <v>34</v>
      </c>
      <c r="D180" s="1" t="s">
        <v>39</v>
      </c>
      <c r="E180" s="1">
        <v>6</v>
      </c>
      <c r="F180" s="1">
        <v>10400</v>
      </c>
      <c r="G180" s="1">
        <v>2</v>
      </c>
      <c r="H180" s="2">
        <v>46155</v>
      </c>
      <c r="I180" s="2">
        <v>46158</v>
      </c>
      <c r="J180" s="1" t="s">
        <v>15</v>
      </c>
      <c r="K180" s="1">
        <v>1179</v>
      </c>
    </row>
    <row r="181" spans="1:11" ht="14.4" hidden="1" x14ac:dyDescent="0.3">
      <c r="A181" s="1" t="s">
        <v>40</v>
      </c>
      <c r="B181" s="1" t="s">
        <v>31</v>
      </c>
      <c r="C181" s="1" t="s">
        <v>18</v>
      </c>
      <c r="D181" s="1" t="s">
        <v>28</v>
      </c>
      <c r="E181" s="1">
        <v>2</v>
      </c>
      <c r="F181" s="1">
        <v>2076</v>
      </c>
      <c r="G181" s="1">
        <v>2</v>
      </c>
      <c r="H181" s="2">
        <v>46111</v>
      </c>
      <c r="I181" s="2">
        <v>46121</v>
      </c>
      <c r="J181" s="1" t="s">
        <v>29</v>
      </c>
      <c r="K181" s="1">
        <v>1180</v>
      </c>
    </row>
    <row r="182" spans="1:11" ht="14.4" hidden="1" x14ac:dyDescent="0.3">
      <c r="A182" s="1" t="s">
        <v>58</v>
      </c>
      <c r="B182" s="1" t="s">
        <v>33</v>
      </c>
      <c r="C182" s="1" t="s">
        <v>13</v>
      </c>
      <c r="D182" s="1" t="s">
        <v>36</v>
      </c>
      <c r="E182" s="1">
        <v>4</v>
      </c>
      <c r="F182" s="1">
        <v>357</v>
      </c>
      <c r="G182" s="1">
        <v>2</v>
      </c>
      <c r="H182" s="2">
        <v>46033</v>
      </c>
      <c r="I182" s="2">
        <v>46035</v>
      </c>
      <c r="J182" s="1" t="s">
        <v>15</v>
      </c>
      <c r="K182" s="1">
        <v>1181</v>
      </c>
    </row>
    <row r="183" spans="1:11" ht="14.4" hidden="1" x14ac:dyDescent="0.3">
      <c r="A183" s="1" t="s">
        <v>42</v>
      </c>
      <c r="B183" s="1" t="s">
        <v>12</v>
      </c>
      <c r="C183" s="1" t="s">
        <v>34</v>
      </c>
      <c r="D183" s="1" t="s">
        <v>39</v>
      </c>
      <c r="E183" s="1">
        <v>8</v>
      </c>
      <c r="F183" s="1">
        <v>66022</v>
      </c>
      <c r="G183" s="1">
        <v>12</v>
      </c>
      <c r="H183" s="2">
        <v>46108</v>
      </c>
      <c r="I183" s="2">
        <v>46114</v>
      </c>
      <c r="J183" s="1" t="s">
        <v>24</v>
      </c>
      <c r="K183" s="1">
        <v>1182</v>
      </c>
    </row>
    <row r="184" spans="1:11" ht="14.4" hidden="1" x14ac:dyDescent="0.3">
      <c r="A184" s="1" t="s">
        <v>52</v>
      </c>
      <c r="B184" s="1" t="s">
        <v>43</v>
      </c>
      <c r="C184" s="1" t="s">
        <v>13</v>
      </c>
      <c r="D184" s="1" t="s">
        <v>14</v>
      </c>
      <c r="E184" s="1">
        <v>2</v>
      </c>
      <c r="F184" s="1">
        <v>309</v>
      </c>
      <c r="G184" s="1">
        <v>2</v>
      </c>
      <c r="H184" s="2">
        <v>46109</v>
      </c>
      <c r="I184" s="2">
        <v>46111</v>
      </c>
      <c r="J184" s="1" t="s">
        <v>20</v>
      </c>
      <c r="K184" s="1">
        <v>1183</v>
      </c>
    </row>
    <row r="185" spans="1:11" ht="14.4" hidden="1" x14ac:dyDescent="0.3">
      <c r="A185" s="1" t="s">
        <v>40</v>
      </c>
      <c r="B185" s="1" t="s">
        <v>31</v>
      </c>
      <c r="C185" s="1" t="s">
        <v>34</v>
      </c>
      <c r="D185" s="1" t="s">
        <v>39</v>
      </c>
      <c r="E185" s="1">
        <v>12</v>
      </c>
      <c r="F185" s="1">
        <v>50517</v>
      </c>
      <c r="G185" s="1">
        <v>15</v>
      </c>
      <c r="H185" s="2">
        <v>46145</v>
      </c>
      <c r="I185" s="2">
        <v>46153</v>
      </c>
      <c r="J185" s="1" t="s">
        <v>29</v>
      </c>
      <c r="K185" s="1">
        <v>1184</v>
      </c>
    </row>
    <row r="186" spans="1:11" ht="14.4" hidden="1" x14ac:dyDescent="0.3">
      <c r="A186" s="1" t="s">
        <v>58</v>
      </c>
      <c r="B186" s="1" t="s">
        <v>22</v>
      </c>
      <c r="C186" s="1" t="s">
        <v>34</v>
      </c>
      <c r="D186" s="1" t="s">
        <v>60</v>
      </c>
      <c r="E186" s="1">
        <v>16</v>
      </c>
      <c r="F186" s="1">
        <v>15536</v>
      </c>
      <c r="G186" s="1">
        <v>2</v>
      </c>
      <c r="H186" s="2">
        <v>46153</v>
      </c>
      <c r="I186" s="2">
        <v>46156</v>
      </c>
      <c r="J186" s="1" t="s">
        <v>15</v>
      </c>
      <c r="K186" s="1">
        <v>1185</v>
      </c>
    </row>
    <row r="187" spans="1:11" ht="14.4" hidden="1" x14ac:dyDescent="0.3">
      <c r="A187" s="1" t="s">
        <v>16</v>
      </c>
      <c r="B187" s="1" t="s">
        <v>25</v>
      </c>
      <c r="C187" s="1" t="s">
        <v>18</v>
      </c>
      <c r="D187" s="1" t="s">
        <v>44</v>
      </c>
      <c r="E187" s="1">
        <v>10</v>
      </c>
      <c r="F187" s="1">
        <v>14951</v>
      </c>
      <c r="G187" s="1">
        <v>2</v>
      </c>
      <c r="H187" s="2">
        <v>46188</v>
      </c>
      <c r="I187" s="2">
        <v>46196</v>
      </c>
      <c r="J187" s="1" t="s">
        <v>24</v>
      </c>
      <c r="K187" s="1">
        <v>1186</v>
      </c>
    </row>
    <row r="188" spans="1:11" ht="14.4" hidden="1" x14ac:dyDescent="0.3">
      <c r="A188" s="1" t="s">
        <v>54</v>
      </c>
      <c r="B188" s="1" t="s">
        <v>22</v>
      </c>
      <c r="C188" s="1" t="s">
        <v>34</v>
      </c>
      <c r="D188" s="1" t="s">
        <v>45</v>
      </c>
      <c r="E188" s="1">
        <v>18</v>
      </c>
      <c r="F188" s="1">
        <v>68527</v>
      </c>
      <c r="G188" s="1">
        <v>12</v>
      </c>
      <c r="H188" s="2">
        <v>46178</v>
      </c>
      <c r="I188" s="2">
        <v>46184</v>
      </c>
      <c r="J188" s="1" t="s">
        <v>51</v>
      </c>
      <c r="K188" s="1">
        <v>1187</v>
      </c>
    </row>
    <row r="189" spans="1:11" ht="14.4" hidden="1" x14ac:dyDescent="0.3">
      <c r="A189" s="1" t="s">
        <v>29</v>
      </c>
      <c r="B189" s="1" t="s">
        <v>22</v>
      </c>
      <c r="C189" s="1" t="s">
        <v>18</v>
      </c>
      <c r="D189" s="1" t="s">
        <v>56</v>
      </c>
      <c r="E189" s="1">
        <v>6</v>
      </c>
      <c r="F189" s="1">
        <v>10368</v>
      </c>
      <c r="G189" s="1">
        <v>7</v>
      </c>
      <c r="H189" s="2">
        <v>46137</v>
      </c>
      <c r="I189" s="2">
        <v>46142</v>
      </c>
      <c r="J189" s="1" t="s">
        <v>15</v>
      </c>
      <c r="K189" s="1">
        <v>1188</v>
      </c>
    </row>
    <row r="190" spans="1:11" ht="14.4" hidden="1" x14ac:dyDescent="0.3">
      <c r="A190" s="1" t="s">
        <v>49</v>
      </c>
      <c r="B190" s="1" t="s">
        <v>31</v>
      </c>
      <c r="C190" s="1" t="s">
        <v>18</v>
      </c>
      <c r="D190" s="1" t="s">
        <v>56</v>
      </c>
      <c r="E190" s="1">
        <v>12</v>
      </c>
      <c r="F190" s="1">
        <v>8327</v>
      </c>
      <c r="G190" s="1">
        <v>10</v>
      </c>
      <c r="H190" s="2">
        <v>46184</v>
      </c>
      <c r="I190" s="2">
        <v>46185</v>
      </c>
      <c r="J190" s="1" t="s">
        <v>29</v>
      </c>
      <c r="K190" s="1">
        <v>1189</v>
      </c>
    </row>
    <row r="191" spans="1:11" ht="14.4" hidden="1" x14ac:dyDescent="0.3">
      <c r="A191" s="1" t="s">
        <v>57</v>
      </c>
      <c r="B191" s="1" t="s">
        <v>17</v>
      </c>
      <c r="C191" s="1" t="s">
        <v>18</v>
      </c>
      <c r="D191" s="1" t="s">
        <v>28</v>
      </c>
      <c r="E191" s="1">
        <v>4</v>
      </c>
      <c r="F191" s="1">
        <v>10154</v>
      </c>
      <c r="G191" s="1">
        <v>7</v>
      </c>
      <c r="H191" s="2">
        <v>46052</v>
      </c>
      <c r="I191" s="2">
        <v>46062</v>
      </c>
      <c r="J191" s="1" t="s">
        <v>20</v>
      </c>
      <c r="K191" s="1">
        <v>1190</v>
      </c>
    </row>
    <row r="192" spans="1:11" ht="14.4" hidden="1" x14ac:dyDescent="0.3">
      <c r="A192" s="1" t="s">
        <v>52</v>
      </c>
      <c r="B192" s="1" t="s">
        <v>33</v>
      </c>
      <c r="C192" s="1" t="s">
        <v>18</v>
      </c>
      <c r="D192" s="1" t="s">
        <v>56</v>
      </c>
      <c r="E192" s="1">
        <v>9</v>
      </c>
      <c r="F192" s="1">
        <v>8631</v>
      </c>
      <c r="G192" s="1">
        <v>10</v>
      </c>
      <c r="H192" s="2">
        <v>46149</v>
      </c>
      <c r="I192" s="2">
        <v>46156</v>
      </c>
      <c r="J192" s="1" t="s">
        <v>20</v>
      </c>
      <c r="K192" s="1">
        <v>1191</v>
      </c>
    </row>
    <row r="193" spans="1:11" ht="14.4" hidden="1" x14ac:dyDescent="0.3">
      <c r="A193" s="1" t="s">
        <v>21</v>
      </c>
      <c r="B193" s="1" t="s">
        <v>33</v>
      </c>
      <c r="C193" s="1" t="s">
        <v>13</v>
      </c>
      <c r="D193" s="1" t="s">
        <v>53</v>
      </c>
      <c r="E193" s="1">
        <v>18</v>
      </c>
      <c r="F193" s="1">
        <v>49</v>
      </c>
      <c r="G193" s="1">
        <v>12</v>
      </c>
      <c r="H193" s="2">
        <v>46089</v>
      </c>
      <c r="I193" s="2">
        <v>46095</v>
      </c>
      <c r="J193" s="1" t="s">
        <v>24</v>
      </c>
      <c r="K193" s="1">
        <v>1192</v>
      </c>
    </row>
    <row r="194" spans="1:11" ht="14.4" hidden="1" x14ac:dyDescent="0.3">
      <c r="A194" s="1" t="s">
        <v>57</v>
      </c>
      <c r="B194" s="1" t="s">
        <v>12</v>
      </c>
      <c r="C194" s="1" t="s">
        <v>18</v>
      </c>
      <c r="D194" s="1" t="s">
        <v>23</v>
      </c>
      <c r="E194" s="1">
        <v>19</v>
      </c>
      <c r="F194" s="1">
        <v>2699</v>
      </c>
      <c r="G194" s="1">
        <v>7</v>
      </c>
      <c r="H194" s="2">
        <v>46110</v>
      </c>
      <c r="I194" s="2">
        <v>46112</v>
      </c>
      <c r="J194" s="1" t="s">
        <v>29</v>
      </c>
      <c r="K194" s="1">
        <v>1193</v>
      </c>
    </row>
    <row r="195" spans="1:11" ht="14.4" hidden="1" x14ac:dyDescent="0.3">
      <c r="A195" s="1" t="s">
        <v>57</v>
      </c>
      <c r="B195" s="1" t="s">
        <v>43</v>
      </c>
      <c r="C195" s="1" t="s">
        <v>18</v>
      </c>
      <c r="D195" s="1" t="s">
        <v>28</v>
      </c>
      <c r="E195" s="1">
        <v>13</v>
      </c>
      <c r="F195" s="1">
        <v>12856</v>
      </c>
      <c r="G195" s="1">
        <v>15</v>
      </c>
      <c r="H195" s="2">
        <v>46129</v>
      </c>
      <c r="I195" s="2">
        <v>46133</v>
      </c>
      <c r="J195" s="1" t="s">
        <v>51</v>
      </c>
      <c r="K195" s="1">
        <v>1194</v>
      </c>
    </row>
    <row r="196" spans="1:11" ht="14.4" hidden="1" x14ac:dyDescent="0.3">
      <c r="A196" s="1" t="s">
        <v>59</v>
      </c>
      <c r="B196" s="1" t="s">
        <v>17</v>
      </c>
      <c r="C196" s="1" t="s">
        <v>13</v>
      </c>
      <c r="D196" s="1" t="s">
        <v>50</v>
      </c>
      <c r="E196" s="1">
        <v>19</v>
      </c>
      <c r="F196" s="1">
        <v>313</v>
      </c>
      <c r="G196" s="1">
        <v>2</v>
      </c>
      <c r="H196" s="2">
        <v>46198</v>
      </c>
      <c r="I196" s="2">
        <v>46206</v>
      </c>
      <c r="J196" s="1" t="s">
        <v>51</v>
      </c>
      <c r="K196" s="1">
        <v>1195</v>
      </c>
    </row>
    <row r="197" spans="1:11" ht="14.4" hidden="1" x14ac:dyDescent="0.3">
      <c r="A197" s="1" t="s">
        <v>48</v>
      </c>
      <c r="B197" s="1" t="s">
        <v>22</v>
      </c>
      <c r="C197" s="1" t="s">
        <v>34</v>
      </c>
      <c r="D197" s="1" t="s">
        <v>35</v>
      </c>
      <c r="E197" s="1">
        <v>20</v>
      </c>
      <c r="F197" s="1">
        <v>3172</v>
      </c>
      <c r="G197" s="1">
        <v>5</v>
      </c>
      <c r="H197" s="2">
        <v>46155</v>
      </c>
      <c r="I197" s="2">
        <v>46159</v>
      </c>
      <c r="J197" s="1" t="s">
        <v>20</v>
      </c>
      <c r="K197" s="1">
        <v>1196</v>
      </c>
    </row>
    <row r="198" spans="1:11" ht="14.4" hidden="1" x14ac:dyDescent="0.3">
      <c r="A198" s="1" t="s">
        <v>52</v>
      </c>
      <c r="B198" s="1" t="s">
        <v>31</v>
      </c>
      <c r="C198" s="1" t="s">
        <v>34</v>
      </c>
      <c r="D198" s="1" t="s">
        <v>35</v>
      </c>
      <c r="E198" s="1">
        <v>5</v>
      </c>
      <c r="F198" s="1">
        <v>45352</v>
      </c>
      <c r="G198" s="1">
        <v>12</v>
      </c>
      <c r="H198" s="2">
        <v>46045</v>
      </c>
      <c r="I198" s="2">
        <v>46048</v>
      </c>
      <c r="J198" s="1" t="s">
        <v>15</v>
      </c>
      <c r="K198" s="1">
        <v>1197</v>
      </c>
    </row>
    <row r="199" spans="1:11" ht="14.4" hidden="1" x14ac:dyDescent="0.3">
      <c r="A199" s="1" t="s">
        <v>58</v>
      </c>
      <c r="B199" s="1" t="s">
        <v>12</v>
      </c>
      <c r="C199" s="1" t="s">
        <v>13</v>
      </c>
      <c r="D199" s="1" t="s">
        <v>14</v>
      </c>
      <c r="E199" s="1">
        <v>12</v>
      </c>
      <c r="F199" s="1">
        <v>491</v>
      </c>
      <c r="G199" s="1">
        <v>2</v>
      </c>
      <c r="H199" s="2">
        <v>46106</v>
      </c>
      <c r="I199" s="2">
        <v>46109</v>
      </c>
      <c r="J199" s="1" t="s">
        <v>51</v>
      </c>
      <c r="K199" s="1">
        <v>1198</v>
      </c>
    </row>
    <row r="200" spans="1:11" ht="14.4" hidden="1" x14ac:dyDescent="0.3">
      <c r="A200" s="1" t="s">
        <v>11</v>
      </c>
      <c r="B200" s="1" t="s">
        <v>25</v>
      </c>
      <c r="C200" s="1" t="s">
        <v>34</v>
      </c>
      <c r="D200" s="1" t="s">
        <v>45</v>
      </c>
      <c r="E200" s="1">
        <v>2</v>
      </c>
      <c r="F200" s="1">
        <v>4375</v>
      </c>
      <c r="G200" s="1">
        <v>7</v>
      </c>
      <c r="H200" s="2">
        <v>46178</v>
      </c>
      <c r="I200" s="2">
        <v>46180</v>
      </c>
      <c r="J200" s="1" t="s">
        <v>24</v>
      </c>
      <c r="K200" s="1">
        <v>1199</v>
      </c>
    </row>
    <row r="201" spans="1:11" ht="14.4" hidden="1" x14ac:dyDescent="0.3">
      <c r="A201" s="1" t="s">
        <v>29</v>
      </c>
      <c r="B201" s="1" t="s">
        <v>31</v>
      </c>
      <c r="C201" s="1" t="s">
        <v>34</v>
      </c>
      <c r="D201" s="1" t="s">
        <v>45</v>
      </c>
      <c r="E201" s="1">
        <v>13</v>
      </c>
      <c r="F201" s="1">
        <v>69422</v>
      </c>
      <c r="G201" s="1">
        <v>0</v>
      </c>
      <c r="H201" s="2">
        <v>46134</v>
      </c>
      <c r="I201" s="2">
        <v>46143</v>
      </c>
      <c r="J201" s="1" t="s">
        <v>29</v>
      </c>
      <c r="K201" s="1">
        <v>1200</v>
      </c>
    </row>
    <row r="202" spans="1:11" ht="14.4" hidden="1" x14ac:dyDescent="0.3">
      <c r="A202" s="1" t="s">
        <v>54</v>
      </c>
      <c r="B202" s="1" t="s">
        <v>31</v>
      </c>
      <c r="C202" s="1" t="s">
        <v>13</v>
      </c>
      <c r="D202" s="1" t="s">
        <v>53</v>
      </c>
      <c r="E202" s="1">
        <v>18</v>
      </c>
      <c r="F202" s="1">
        <v>139</v>
      </c>
      <c r="G202" s="1">
        <v>12</v>
      </c>
      <c r="H202" s="2">
        <v>46075</v>
      </c>
      <c r="I202" s="2">
        <v>46076</v>
      </c>
      <c r="J202" s="1" t="s">
        <v>20</v>
      </c>
      <c r="K202" s="1">
        <v>1201</v>
      </c>
    </row>
    <row r="203" spans="1:11" ht="14.4" hidden="1" x14ac:dyDescent="0.3">
      <c r="A203" s="1" t="s">
        <v>57</v>
      </c>
      <c r="B203" s="1" t="s">
        <v>22</v>
      </c>
      <c r="C203" s="1" t="s">
        <v>34</v>
      </c>
      <c r="D203" s="1" t="s">
        <v>35</v>
      </c>
      <c r="E203" s="1">
        <v>2</v>
      </c>
      <c r="F203" s="1">
        <v>20312</v>
      </c>
      <c r="G203" s="1">
        <v>12</v>
      </c>
      <c r="H203" s="2">
        <v>46082</v>
      </c>
      <c r="I203" s="2">
        <v>46091</v>
      </c>
      <c r="J203" s="1" t="s">
        <v>15</v>
      </c>
      <c r="K203" s="1">
        <v>1202</v>
      </c>
    </row>
    <row r="204" spans="1:11" ht="14.4" hidden="1" x14ac:dyDescent="0.3">
      <c r="A204" s="1" t="s">
        <v>40</v>
      </c>
      <c r="B204" s="1" t="s">
        <v>22</v>
      </c>
      <c r="C204" s="1" t="s">
        <v>18</v>
      </c>
      <c r="D204" s="1" t="s">
        <v>23</v>
      </c>
      <c r="E204" s="1">
        <v>17</v>
      </c>
      <c r="F204" s="1">
        <v>6695</v>
      </c>
      <c r="G204" s="1">
        <v>2</v>
      </c>
      <c r="H204" s="2">
        <v>46119</v>
      </c>
      <c r="I204" s="2">
        <v>46122</v>
      </c>
      <c r="J204" s="1" t="s">
        <v>51</v>
      </c>
      <c r="K204" s="1">
        <v>1203</v>
      </c>
    </row>
    <row r="205" spans="1:11" ht="14.4" hidden="1" x14ac:dyDescent="0.3">
      <c r="A205" s="1" t="s">
        <v>16</v>
      </c>
      <c r="B205" s="1" t="s">
        <v>31</v>
      </c>
      <c r="C205" s="1" t="s">
        <v>13</v>
      </c>
      <c r="D205" s="1" t="s">
        <v>37</v>
      </c>
      <c r="E205" s="1">
        <v>13</v>
      </c>
      <c r="F205" s="1">
        <v>416</v>
      </c>
      <c r="G205" s="1">
        <v>10</v>
      </c>
      <c r="H205" s="2">
        <v>46123</v>
      </c>
      <c r="I205" s="2">
        <v>46132</v>
      </c>
      <c r="J205" s="1" t="s">
        <v>20</v>
      </c>
      <c r="K205" s="1">
        <v>1204</v>
      </c>
    </row>
    <row r="206" spans="1:11" ht="14.4" hidden="1" x14ac:dyDescent="0.3">
      <c r="A206" s="1" t="s">
        <v>21</v>
      </c>
      <c r="B206" s="1" t="s">
        <v>38</v>
      </c>
      <c r="C206" s="1" t="s">
        <v>13</v>
      </c>
      <c r="D206" s="1" t="s">
        <v>36</v>
      </c>
      <c r="E206" s="1">
        <v>1</v>
      </c>
      <c r="F206" s="1">
        <v>112</v>
      </c>
      <c r="G206" s="1">
        <v>7</v>
      </c>
      <c r="H206" s="2">
        <v>46033</v>
      </c>
      <c r="I206" s="2">
        <v>46040</v>
      </c>
      <c r="J206" s="1" t="s">
        <v>51</v>
      </c>
      <c r="K206" s="1">
        <v>1205</v>
      </c>
    </row>
    <row r="207" spans="1:11" ht="14.4" hidden="1" x14ac:dyDescent="0.3">
      <c r="A207" s="1" t="s">
        <v>55</v>
      </c>
      <c r="B207" s="1" t="s">
        <v>33</v>
      </c>
      <c r="C207" s="1" t="s">
        <v>13</v>
      </c>
      <c r="D207" s="1" t="s">
        <v>14</v>
      </c>
      <c r="E207" s="1">
        <v>9</v>
      </c>
      <c r="F207" s="1">
        <v>60</v>
      </c>
      <c r="G207" s="1">
        <v>0</v>
      </c>
      <c r="H207" s="2">
        <v>46166</v>
      </c>
      <c r="I207" s="2">
        <v>46174</v>
      </c>
      <c r="J207" s="1" t="s">
        <v>15</v>
      </c>
      <c r="K207" s="1">
        <v>1206</v>
      </c>
    </row>
    <row r="208" spans="1:11" ht="14.4" hidden="1" x14ac:dyDescent="0.3">
      <c r="A208" s="1" t="s">
        <v>55</v>
      </c>
      <c r="B208" s="1" t="s">
        <v>25</v>
      </c>
      <c r="C208" s="1" t="s">
        <v>13</v>
      </c>
      <c r="D208" s="1" t="s">
        <v>53</v>
      </c>
      <c r="E208" s="1">
        <v>7</v>
      </c>
      <c r="F208" s="1">
        <v>244</v>
      </c>
      <c r="G208" s="1">
        <v>2</v>
      </c>
      <c r="H208" s="2">
        <v>46164</v>
      </c>
      <c r="I208" s="2">
        <v>46173</v>
      </c>
      <c r="J208" s="1" t="s">
        <v>24</v>
      </c>
      <c r="K208" s="1">
        <v>1207</v>
      </c>
    </row>
    <row r="209" spans="1:11" ht="14.4" x14ac:dyDescent="0.3">
      <c r="A209" s="1" t="s">
        <v>54</v>
      </c>
      <c r="B209" s="1" t="s">
        <v>43</v>
      </c>
      <c r="C209" s="1" t="s">
        <v>18</v>
      </c>
      <c r="D209" s="1" t="s">
        <v>44</v>
      </c>
      <c r="E209" s="1">
        <v>6</v>
      </c>
      <c r="F209" s="1">
        <v>7627</v>
      </c>
      <c r="G209" s="1">
        <v>10</v>
      </c>
      <c r="H209" s="2">
        <v>46042</v>
      </c>
      <c r="I209" s="2">
        <v>46047</v>
      </c>
      <c r="J209" s="1" t="s">
        <v>20</v>
      </c>
      <c r="K209" s="1">
        <v>1208</v>
      </c>
    </row>
    <row r="210" spans="1:11" ht="14.4" hidden="1" x14ac:dyDescent="0.3">
      <c r="A210" s="1" t="s">
        <v>48</v>
      </c>
      <c r="B210" s="1" t="s">
        <v>38</v>
      </c>
      <c r="C210" s="1" t="s">
        <v>34</v>
      </c>
      <c r="D210" s="1" t="s">
        <v>35</v>
      </c>
      <c r="E210" s="1">
        <v>19</v>
      </c>
      <c r="F210" s="1">
        <v>20284</v>
      </c>
      <c r="G210" s="1">
        <v>10</v>
      </c>
      <c r="H210" s="2">
        <v>46103</v>
      </c>
      <c r="I210" s="2">
        <v>46110</v>
      </c>
      <c r="J210" s="1" t="s">
        <v>20</v>
      </c>
      <c r="K210" s="1">
        <v>1209</v>
      </c>
    </row>
    <row r="211" spans="1:11" ht="14.4" hidden="1" x14ac:dyDescent="0.3">
      <c r="A211" s="1" t="s">
        <v>30</v>
      </c>
      <c r="B211" s="1" t="s">
        <v>31</v>
      </c>
      <c r="C211" s="1" t="s">
        <v>13</v>
      </c>
      <c r="D211" s="1" t="s">
        <v>53</v>
      </c>
      <c r="E211" s="1">
        <v>10</v>
      </c>
      <c r="F211" s="1">
        <v>349</v>
      </c>
      <c r="G211" s="1">
        <v>0</v>
      </c>
      <c r="H211" s="2">
        <v>46052</v>
      </c>
      <c r="I211" s="2">
        <v>46060</v>
      </c>
      <c r="J211" s="1" t="s">
        <v>29</v>
      </c>
      <c r="K211" s="1">
        <v>1210</v>
      </c>
    </row>
    <row r="212" spans="1:11" ht="14.4" hidden="1" x14ac:dyDescent="0.3">
      <c r="A212" s="1" t="s">
        <v>48</v>
      </c>
      <c r="B212" s="1" t="s">
        <v>17</v>
      </c>
      <c r="C212" s="1" t="s">
        <v>34</v>
      </c>
      <c r="D212" s="1" t="s">
        <v>35</v>
      </c>
      <c r="E212" s="1">
        <v>3</v>
      </c>
      <c r="F212" s="1">
        <v>5962</v>
      </c>
      <c r="G212" s="1">
        <v>7</v>
      </c>
      <c r="H212" s="2">
        <v>46175</v>
      </c>
      <c r="I212" s="2">
        <v>46183</v>
      </c>
      <c r="J212" s="1" t="s">
        <v>15</v>
      </c>
      <c r="K212" s="1">
        <v>1211</v>
      </c>
    </row>
    <row r="213" spans="1:11" ht="14.4" hidden="1" x14ac:dyDescent="0.3">
      <c r="A213" s="1" t="s">
        <v>59</v>
      </c>
      <c r="B213" s="1" t="s">
        <v>25</v>
      </c>
      <c r="C213" s="1" t="s">
        <v>34</v>
      </c>
      <c r="D213" s="1" t="s">
        <v>60</v>
      </c>
      <c r="E213" s="1">
        <v>10</v>
      </c>
      <c r="F213" s="1">
        <v>34380</v>
      </c>
      <c r="G213" s="1">
        <v>7</v>
      </c>
      <c r="H213" s="2">
        <v>46194</v>
      </c>
      <c r="I213" s="2">
        <v>46195</v>
      </c>
      <c r="J213" s="1" t="s">
        <v>29</v>
      </c>
      <c r="K213" s="1">
        <v>1212</v>
      </c>
    </row>
    <row r="214" spans="1:11" ht="14.4" hidden="1" x14ac:dyDescent="0.3">
      <c r="A214" s="1" t="s">
        <v>32</v>
      </c>
      <c r="B214" s="1" t="s">
        <v>38</v>
      </c>
      <c r="C214" s="1" t="s">
        <v>34</v>
      </c>
      <c r="D214" s="1" t="s">
        <v>45</v>
      </c>
      <c r="E214" s="1">
        <v>16</v>
      </c>
      <c r="F214" s="1">
        <v>27741</v>
      </c>
      <c r="G214" s="1">
        <v>12</v>
      </c>
      <c r="H214" s="2">
        <v>46116</v>
      </c>
      <c r="I214" s="2">
        <v>46119</v>
      </c>
      <c r="J214" s="1" t="s">
        <v>15</v>
      </c>
      <c r="K214" s="1">
        <v>1213</v>
      </c>
    </row>
    <row r="215" spans="1:11" ht="14.4" hidden="1" x14ac:dyDescent="0.3">
      <c r="A215" s="1" t="s">
        <v>42</v>
      </c>
      <c r="B215" s="1" t="s">
        <v>25</v>
      </c>
      <c r="C215" s="1" t="s">
        <v>18</v>
      </c>
      <c r="D215" s="1" t="s">
        <v>28</v>
      </c>
      <c r="E215" s="1">
        <v>19</v>
      </c>
      <c r="F215" s="1">
        <v>13832</v>
      </c>
      <c r="G215" s="1">
        <v>0</v>
      </c>
      <c r="H215" s="2">
        <v>46140</v>
      </c>
      <c r="I215" s="2">
        <v>46145</v>
      </c>
      <c r="J215" s="1" t="s">
        <v>51</v>
      </c>
      <c r="K215" s="1">
        <v>1214</v>
      </c>
    </row>
    <row r="216" spans="1:11" ht="14.4" hidden="1" x14ac:dyDescent="0.3">
      <c r="A216" s="1" t="s">
        <v>27</v>
      </c>
      <c r="B216" s="1" t="s">
        <v>12</v>
      </c>
      <c r="C216" s="1" t="s">
        <v>18</v>
      </c>
      <c r="D216" s="1" t="s">
        <v>28</v>
      </c>
      <c r="E216" s="1">
        <v>6</v>
      </c>
      <c r="F216" s="1">
        <v>1254</v>
      </c>
      <c r="G216" s="1">
        <v>0</v>
      </c>
      <c r="H216" s="2">
        <v>46131</v>
      </c>
      <c r="I216" s="2">
        <v>46136</v>
      </c>
      <c r="J216" s="1" t="s">
        <v>29</v>
      </c>
      <c r="K216" s="1">
        <v>1215</v>
      </c>
    </row>
    <row r="217" spans="1:11" ht="14.4" hidden="1" x14ac:dyDescent="0.3">
      <c r="A217" s="1" t="s">
        <v>40</v>
      </c>
      <c r="B217" s="1" t="s">
        <v>22</v>
      </c>
      <c r="C217" s="1" t="s">
        <v>34</v>
      </c>
      <c r="D217" s="1" t="s">
        <v>45</v>
      </c>
      <c r="E217" s="1">
        <v>10</v>
      </c>
      <c r="F217" s="1">
        <v>56709</v>
      </c>
      <c r="G217" s="1">
        <v>15</v>
      </c>
      <c r="H217" s="2">
        <v>46135</v>
      </c>
      <c r="I217" s="2">
        <v>46139</v>
      </c>
      <c r="J217" s="1" t="s">
        <v>29</v>
      </c>
      <c r="K217" s="1">
        <v>1216</v>
      </c>
    </row>
    <row r="218" spans="1:11" ht="14.4" hidden="1" x14ac:dyDescent="0.3">
      <c r="A218" s="1" t="s">
        <v>30</v>
      </c>
      <c r="B218" s="1" t="s">
        <v>22</v>
      </c>
      <c r="C218" s="1" t="s">
        <v>13</v>
      </c>
      <c r="D218" s="1" t="s">
        <v>50</v>
      </c>
      <c r="E218" s="1">
        <v>18</v>
      </c>
      <c r="F218" s="1">
        <v>60</v>
      </c>
      <c r="G218" s="1">
        <v>0</v>
      </c>
      <c r="H218" s="2">
        <v>46171</v>
      </c>
      <c r="I218" s="2">
        <v>46172</v>
      </c>
      <c r="J218" s="1" t="s">
        <v>29</v>
      </c>
      <c r="K218" s="1">
        <v>1217</v>
      </c>
    </row>
    <row r="219" spans="1:11" ht="14.4" hidden="1" x14ac:dyDescent="0.3">
      <c r="A219" s="1" t="s">
        <v>55</v>
      </c>
      <c r="B219" s="1" t="s">
        <v>38</v>
      </c>
      <c r="C219" s="1" t="s">
        <v>13</v>
      </c>
      <c r="D219" s="1" t="s">
        <v>14</v>
      </c>
      <c r="E219" s="1">
        <v>1</v>
      </c>
      <c r="F219" s="1">
        <v>134</v>
      </c>
      <c r="G219" s="1">
        <v>10</v>
      </c>
      <c r="H219" s="2">
        <v>46143</v>
      </c>
      <c r="I219" s="2">
        <v>46151</v>
      </c>
      <c r="J219" s="1" t="s">
        <v>51</v>
      </c>
      <c r="K219" s="1">
        <v>1218</v>
      </c>
    </row>
    <row r="220" spans="1:11" ht="14.4" hidden="1" x14ac:dyDescent="0.3">
      <c r="A220" s="1" t="s">
        <v>46</v>
      </c>
      <c r="B220" s="1" t="s">
        <v>22</v>
      </c>
      <c r="C220" s="1" t="s">
        <v>13</v>
      </c>
      <c r="D220" s="1" t="s">
        <v>14</v>
      </c>
      <c r="E220" s="1">
        <v>4</v>
      </c>
      <c r="F220" s="1">
        <v>117</v>
      </c>
      <c r="G220" s="1">
        <v>15</v>
      </c>
      <c r="H220" s="2">
        <v>46202</v>
      </c>
      <c r="I220" s="2">
        <v>46206</v>
      </c>
      <c r="J220" s="1" t="s">
        <v>29</v>
      </c>
      <c r="K220" s="1">
        <v>1219</v>
      </c>
    </row>
    <row r="221" spans="1:11" ht="14.4" hidden="1" x14ac:dyDescent="0.3">
      <c r="A221" s="1" t="s">
        <v>11</v>
      </c>
      <c r="B221" s="1" t="s">
        <v>25</v>
      </c>
      <c r="C221" s="1" t="s">
        <v>18</v>
      </c>
      <c r="D221" s="1" t="s">
        <v>56</v>
      </c>
      <c r="E221" s="1">
        <v>2</v>
      </c>
      <c r="F221" s="1">
        <v>8861</v>
      </c>
      <c r="G221" s="1">
        <v>2</v>
      </c>
      <c r="H221" s="2">
        <v>46170</v>
      </c>
      <c r="I221" s="2">
        <v>46174</v>
      </c>
      <c r="J221" s="1" t="s">
        <v>24</v>
      </c>
      <c r="K221" s="1">
        <v>1220</v>
      </c>
    </row>
    <row r="222" spans="1:11" ht="14.4" hidden="1" x14ac:dyDescent="0.3">
      <c r="A222" s="1" t="s">
        <v>11</v>
      </c>
      <c r="B222" s="1" t="s">
        <v>31</v>
      </c>
      <c r="C222" s="1" t="s">
        <v>18</v>
      </c>
      <c r="D222" s="1" t="s">
        <v>56</v>
      </c>
      <c r="E222" s="1">
        <v>18</v>
      </c>
      <c r="F222" s="1">
        <v>2681</v>
      </c>
      <c r="G222" s="1">
        <v>10</v>
      </c>
      <c r="H222" s="2">
        <v>46122</v>
      </c>
      <c r="I222" s="2">
        <v>46125</v>
      </c>
      <c r="J222" s="1" t="s">
        <v>51</v>
      </c>
      <c r="K222" s="1">
        <v>1221</v>
      </c>
    </row>
    <row r="223" spans="1:11" ht="14.4" hidden="1" x14ac:dyDescent="0.3">
      <c r="A223" s="1" t="s">
        <v>30</v>
      </c>
      <c r="B223" s="1" t="s">
        <v>33</v>
      </c>
      <c r="C223" s="1" t="s">
        <v>18</v>
      </c>
      <c r="D223" s="1" t="s">
        <v>23</v>
      </c>
      <c r="E223" s="1">
        <v>9</v>
      </c>
      <c r="F223" s="1">
        <v>2712</v>
      </c>
      <c r="G223" s="1">
        <v>12</v>
      </c>
      <c r="H223" s="2">
        <v>46154</v>
      </c>
      <c r="I223" s="2">
        <v>46163</v>
      </c>
      <c r="J223" s="1" t="s">
        <v>15</v>
      </c>
      <c r="K223" s="1">
        <v>1222</v>
      </c>
    </row>
    <row r="224" spans="1:11" ht="14.4" hidden="1" x14ac:dyDescent="0.3">
      <c r="A224" s="1" t="s">
        <v>59</v>
      </c>
      <c r="B224" s="1" t="s">
        <v>17</v>
      </c>
      <c r="C224" s="1" t="s">
        <v>18</v>
      </c>
      <c r="D224" s="1" t="s">
        <v>23</v>
      </c>
      <c r="E224" s="1">
        <v>4</v>
      </c>
      <c r="F224" s="1">
        <v>2249</v>
      </c>
      <c r="G224" s="1">
        <v>7</v>
      </c>
      <c r="H224" s="2">
        <v>46077</v>
      </c>
      <c r="I224" s="2">
        <v>46084</v>
      </c>
      <c r="J224" s="1" t="s">
        <v>15</v>
      </c>
      <c r="K224" s="1">
        <v>1223</v>
      </c>
    </row>
    <row r="225" spans="1:11" ht="14.4" hidden="1" x14ac:dyDescent="0.3">
      <c r="A225" s="1" t="s">
        <v>30</v>
      </c>
      <c r="B225" s="1" t="s">
        <v>38</v>
      </c>
      <c r="C225" s="1" t="s">
        <v>34</v>
      </c>
      <c r="D225" s="1" t="s">
        <v>45</v>
      </c>
      <c r="E225" s="1">
        <v>16</v>
      </c>
      <c r="F225" s="1">
        <v>18378</v>
      </c>
      <c r="G225" s="1">
        <v>10</v>
      </c>
      <c r="H225" s="2">
        <v>46045</v>
      </c>
      <c r="I225" s="2">
        <v>46052</v>
      </c>
      <c r="J225" s="1" t="s">
        <v>24</v>
      </c>
      <c r="K225" s="1">
        <v>1224</v>
      </c>
    </row>
    <row r="226" spans="1:11" ht="14.4" hidden="1" x14ac:dyDescent="0.3">
      <c r="A226" s="1" t="s">
        <v>42</v>
      </c>
      <c r="B226" s="1" t="s">
        <v>31</v>
      </c>
      <c r="C226" s="1" t="s">
        <v>34</v>
      </c>
      <c r="D226" s="1" t="s">
        <v>35</v>
      </c>
      <c r="E226" s="1">
        <v>16</v>
      </c>
      <c r="F226" s="1">
        <v>32262</v>
      </c>
      <c r="G226" s="1">
        <v>12</v>
      </c>
      <c r="H226" s="2">
        <v>46125</v>
      </c>
      <c r="I226" s="2">
        <v>46126</v>
      </c>
      <c r="J226" s="1" t="s">
        <v>20</v>
      </c>
      <c r="K226" s="1">
        <v>1225</v>
      </c>
    </row>
    <row r="227" spans="1:11" ht="14.4" hidden="1" x14ac:dyDescent="0.3">
      <c r="A227" s="1" t="s">
        <v>29</v>
      </c>
      <c r="B227" s="1" t="s">
        <v>31</v>
      </c>
      <c r="C227" s="1" t="s">
        <v>34</v>
      </c>
      <c r="D227" s="1" t="s">
        <v>41</v>
      </c>
      <c r="E227" s="1">
        <v>13</v>
      </c>
      <c r="F227" s="1">
        <v>21332</v>
      </c>
      <c r="G227" s="1">
        <v>0</v>
      </c>
      <c r="H227" s="2">
        <v>46044</v>
      </c>
      <c r="I227" s="2">
        <v>46048</v>
      </c>
      <c r="J227" s="1" t="s">
        <v>29</v>
      </c>
      <c r="K227" s="1">
        <v>1226</v>
      </c>
    </row>
    <row r="228" spans="1:11" ht="14.4" hidden="1" x14ac:dyDescent="0.3">
      <c r="A228" s="1" t="s">
        <v>58</v>
      </c>
      <c r="B228" s="1" t="s">
        <v>22</v>
      </c>
      <c r="C228" s="1" t="s">
        <v>34</v>
      </c>
      <c r="D228" s="1" t="s">
        <v>45</v>
      </c>
      <c r="E228" s="1">
        <v>16</v>
      </c>
      <c r="F228" s="1">
        <v>1321</v>
      </c>
      <c r="G228" s="1">
        <v>12</v>
      </c>
      <c r="H228" s="2">
        <v>46113</v>
      </c>
      <c r="I228" s="2">
        <v>46116</v>
      </c>
      <c r="J228" s="1" t="s">
        <v>15</v>
      </c>
      <c r="K228" s="1">
        <v>1227</v>
      </c>
    </row>
    <row r="229" spans="1:11" ht="14.4" hidden="1" x14ac:dyDescent="0.3">
      <c r="A229" s="1" t="s">
        <v>29</v>
      </c>
      <c r="B229" s="1" t="s">
        <v>25</v>
      </c>
      <c r="C229" s="1" t="s">
        <v>34</v>
      </c>
      <c r="D229" s="1" t="s">
        <v>45</v>
      </c>
      <c r="E229" s="1">
        <v>16</v>
      </c>
      <c r="F229" s="1">
        <v>17477</v>
      </c>
      <c r="G229" s="1">
        <v>10</v>
      </c>
      <c r="H229" s="2">
        <v>46041</v>
      </c>
      <c r="I229" s="2">
        <v>46043</v>
      </c>
      <c r="J229" s="1" t="s">
        <v>24</v>
      </c>
      <c r="K229" s="1">
        <v>1228</v>
      </c>
    </row>
    <row r="230" spans="1:11" ht="14.4" hidden="1" x14ac:dyDescent="0.3">
      <c r="A230" s="1" t="s">
        <v>57</v>
      </c>
      <c r="B230" s="1" t="s">
        <v>12</v>
      </c>
      <c r="C230" s="1" t="s">
        <v>18</v>
      </c>
      <c r="D230" s="1" t="s">
        <v>56</v>
      </c>
      <c r="E230" s="1">
        <v>14</v>
      </c>
      <c r="F230" s="1">
        <v>5859</v>
      </c>
      <c r="G230" s="1">
        <v>12</v>
      </c>
      <c r="H230" s="2">
        <v>46027</v>
      </c>
      <c r="I230" s="2">
        <v>46036</v>
      </c>
      <c r="J230" s="1" t="s">
        <v>20</v>
      </c>
      <c r="K230" s="1">
        <v>1229</v>
      </c>
    </row>
    <row r="231" spans="1:11" ht="14.4" hidden="1" x14ac:dyDescent="0.3">
      <c r="A231" s="1" t="s">
        <v>59</v>
      </c>
      <c r="B231" s="1" t="s">
        <v>33</v>
      </c>
      <c r="C231" s="1" t="s">
        <v>34</v>
      </c>
      <c r="D231" s="1" t="s">
        <v>60</v>
      </c>
      <c r="E231" s="1">
        <v>7</v>
      </c>
      <c r="F231" s="1">
        <v>2932</v>
      </c>
      <c r="G231" s="1">
        <v>7</v>
      </c>
      <c r="H231" s="2">
        <v>46050</v>
      </c>
      <c r="I231" s="2">
        <v>46059</v>
      </c>
      <c r="J231" s="1" t="s">
        <v>24</v>
      </c>
      <c r="K231" s="1">
        <v>1230</v>
      </c>
    </row>
    <row r="232" spans="1:11" ht="14.4" hidden="1" x14ac:dyDescent="0.3">
      <c r="A232" s="1" t="s">
        <v>48</v>
      </c>
      <c r="B232" s="1" t="s">
        <v>38</v>
      </c>
      <c r="C232" s="1" t="s">
        <v>18</v>
      </c>
      <c r="D232" s="1" t="s">
        <v>19</v>
      </c>
      <c r="E232" s="1">
        <v>13</v>
      </c>
      <c r="F232" s="1">
        <v>10297</v>
      </c>
      <c r="G232" s="1">
        <v>12</v>
      </c>
      <c r="H232" s="2">
        <v>46178</v>
      </c>
      <c r="I232" s="2">
        <v>46186</v>
      </c>
      <c r="J232" s="1" t="s">
        <v>20</v>
      </c>
      <c r="K232" s="1">
        <v>1231</v>
      </c>
    </row>
    <row r="233" spans="1:11" ht="14.4" hidden="1" x14ac:dyDescent="0.3">
      <c r="A233" s="1" t="s">
        <v>21</v>
      </c>
      <c r="B233" s="1" t="s">
        <v>12</v>
      </c>
      <c r="C233" s="1" t="s">
        <v>34</v>
      </c>
      <c r="D233" s="1" t="s">
        <v>60</v>
      </c>
      <c r="E233" s="1">
        <v>3</v>
      </c>
      <c r="F233" s="1">
        <v>13272</v>
      </c>
      <c r="G233" s="1">
        <v>2</v>
      </c>
      <c r="H233" s="2">
        <v>46060</v>
      </c>
      <c r="I233" s="2">
        <v>46065</v>
      </c>
      <c r="J233" s="1" t="s">
        <v>15</v>
      </c>
      <c r="K233" s="1">
        <v>1232</v>
      </c>
    </row>
    <row r="234" spans="1:11" ht="14.4" hidden="1" x14ac:dyDescent="0.3">
      <c r="A234" s="1" t="s">
        <v>58</v>
      </c>
      <c r="B234" s="1" t="s">
        <v>22</v>
      </c>
      <c r="C234" s="1" t="s">
        <v>18</v>
      </c>
      <c r="D234" s="1" t="s">
        <v>19</v>
      </c>
      <c r="E234" s="1">
        <v>20</v>
      </c>
      <c r="F234" s="1">
        <v>13941</v>
      </c>
      <c r="G234" s="1">
        <v>15</v>
      </c>
      <c r="H234" s="2">
        <v>46198</v>
      </c>
      <c r="I234" s="2">
        <v>46202</v>
      </c>
      <c r="J234" s="1" t="s">
        <v>24</v>
      </c>
      <c r="K234" s="1">
        <v>1233</v>
      </c>
    </row>
    <row r="235" spans="1:11" ht="14.4" hidden="1" x14ac:dyDescent="0.3">
      <c r="A235" s="1" t="s">
        <v>11</v>
      </c>
      <c r="B235" s="1" t="s">
        <v>25</v>
      </c>
      <c r="C235" s="1" t="s">
        <v>18</v>
      </c>
      <c r="D235" s="1" t="s">
        <v>28</v>
      </c>
      <c r="E235" s="1">
        <v>1</v>
      </c>
      <c r="F235" s="1">
        <v>14320</v>
      </c>
      <c r="G235" s="1">
        <v>12</v>
      </c>
      <c r="H235" s="2">
        <v>46114</v>
      </c>
      <c r="I235" s="2">
        <v>46121</v>
      </c>
      <c r="J235" s="1" t="s">
        <v>51</v>
      </c>
      <c r="K235" s="1">
        <v>1234</v>
      </c>
    </row>
    <row r="236" spans="1:11" ht="14.4" hidden="1" x14ac:dyDescent="0.3">
      <c r="A236" s="1" t="s">
        <v>57</v>
      </c>
      <c r="B236" s="1" t="s">
        <v>25</v>
      </c>
      <c r="C236" s="1" t="s">
        <v>13</v>
      </c>
      <c r="D236" s="1" t="s">
        <v>50</v>
      </c>
      <c r="E236" s="1">
        <v>15</v>
      </c>
      <c r="F236" s="1">
        <v>267</v>
      </c>
      <c r="G236" s="1">
        <v>15</v>
      </c>
      <c r="H236" s="2">
        <v>46172</v>
      </c>
      <c r="I236" s="2">
        <v>46177</v>
      </c>
      <c r="J236" s="1" t="s">
        <v>29</v>
      </c>
      <c r="K236" s="1">
        <v>1235</v>
      </c>
    </row>
    <row r="237" spans="1:11" ht="14.4" hidden="1" x14ac:dyDescent="0.3">
      <c r="A237" s="1" t="s">
        <v>54</v>
      </c>
      <c r="B237" s="1" t="s">
        <v>43</v>
      </c>
      <c r="C237" s="1" t="s">
        <v>13</v>
      </c>
      <c r="D237" s="1" t="s">
        <v>37</v>
      </c>
      <c r="E237" s="1">
        <v>12</v>
      </c>
      <c r="F237" s="1">
        <v>189</v>
      </c>
      <c r="G237" s="1">
        <v>7</v>
      </c>
      <c r="H237" s="2">
        <v>46164</v>
      </c>
      <c r="I237" s="2">
        <v>46169</v>
      </c>
      <c r="J237" s="1" t="s">
        <v>29</v>
      </c>
      <c r="K237" s="1">
        <v>1236</v>
      </c>
    </row>
    <row r="238" spans="1:11" ht="14.4" hidden="1" x14ac:dyDescent="0.3">
      <c r="A238" s="1" t="s">
        <v>46</v>
      </c>
      <c r="B238" s="1" t="s">
        <v>38</v>
      </c>
      <c r="C238" s="1" t="s">
        <v>18</v>
      </c>
      <c r="D238" s="1" t="s">
        <v>56</v>
      </c>
      <c r="E238" s="1">
        <v>8</v>
      </c>
      <c r="F238" s="1">
        <v>12123</v>
      </c>
      <c r="G238" s="1">
        <v>2</v>
      </c>
      <c r="H238" s="2">
        <v>46137</v>
      </c>
      <c r="I238" s="2">
        <v>46145</v>
      </c>
      <c r="J238" s="1" t="s">
        <v>15</v>
      </c>
      <c r="K238" s="1">
        <v>1237</v>
      </c>
    </row>
    <row r="239" spans="1:11" ht="14.4" hidden="1" x14ac:dyDescent="0.3">
      <c r="A239" s="1" t="s">
        <v>30</v>
      </c>
      <c r="B239" s="1" t="s">
        <v>31</v>
      </c>
      <c r="C239" s="1" t="s">
        <v>13</v>
      </c>
      <c r="D239" s="1" t="s">
        <v>14</v>
      </c>
      <c r="E239" s="1">
        <v>6</v>
      </c>
      <c r="F239" s="1">
        <v>180</v>
      </c>
      <c r="G239" s="1">
        <v>12</v>
      </c>
      <c r="H239" s="2">
        <v>46096</v>
      </c>
      <c r="I239" s="2">
        <v>46097</v>
      </c>
      <c r="J239" s="1" t="s">
        <v>51</v>
      </c>
      <c r="K239" s="1">
        <v>1238</v>
      </c>
    </row>
    <row r="240" spans="1:11" ht="14.4" hidden="1" x14ac:dyDescent="0.3">
      <c r="A240" s="1" t="s">
        <v>48</v>
      </c>
      <c r="B240" s="1" t="s">
        <v>17</v>
      </c>
      <c r="C240" s="1" t="s">
        <v>18</v>
      </c>
      <c r="D240" s="1" t="s">
        <v>56</v>
      </c>
      <c r="E240" s="1">
        <v>2</v>
      </c>
      <c r="F240" s="1">
        <v>12330</v>
      </c>
      <c r="G240" s="1">
        <v>12</v>
      </c>
      <c r="H240" s="2">
        <v>46122</v>
      </c>
      <c r="I240" s="2">
        <v>46125</v>
      </c>
      <c r="J240" s="1" t="s">
        <v>15</v>
      </c>
      <c r="K240" s="1">
        <v>1239</v>
      </c>
    </row>
    <row r="241" spans="1:11" ht="14.4" hidden="1" x14ac:dyDescent="0.3">
      <c r="A241" s="1" t="s">
        <v>55</v>
      </c>
      <c r="B241" s="1" t="s">
        <v>33</v>
      </c>
      <c r="C241" s="1" t="s">
        <v>18</v>
      </c>
      <c r="D241" s="1" t="s">
        <v>23</v>
      </c>
      <c r="E241" s="1">
        <v>2</v>
      </c>
      <c r="F241" s="1">
        <v>5475</v>
      </c>
      <c r="G241" s="1">
        <v>2</v>
      </c>
      <c r="H241" s="2">
        <v>46142</v>
      </c>
      <c r="I241" s="2">
        <v>46146</v>
      </c>
      <c r="J241" s="1" t="s">
        <v>29</v>
      </c>
      <c r="K241" s="1">
        <v>1240</v>
      </c>
    </row>
    <row r="242" spans="1:11" ht="14.4" hidden="1" x14ac:dyDescent="0.3">
      <c r="A242" s="1" t="s">
        <v>46</v>
      </c>
      <c r="B242" s="1" t="s">
        <v>31</v>
      </c>
      <c r="C242" s="1" t="s">
        <v>18</v>
      </c>
      <c r="D242" s="1" t="s">
        <v>44</v>
      </c>
      <c r="E242" s="1">
        <v>1</v>
      </c>
      <c r="F242" s="1">
        <v>12537</v>
      </c>
      <c r="G242" s="1">
        <v>0</v>
      </c>
      <c r="H242" s="2">
        <v>46119</v>
      </c>
      <c r="I242" s="2">
        <v>46122</v>
      </c>
      <c r="J242" s="1" t="s">
        <v>15</v>
      </c>
      <c r="K242" s="1">
        <v>1241</v>
      </c>
    </row>
    <row r="243" spans="1:11" ht="14.4" hidden="1" x14ac:dyDescent="0.3">
      <c r="A243" s="1" t="s">
        <v>54</v>
      </c>
      <c r="B243" s="1" t="s">
        <v>38</v>
      </c>
      <c r="C243" s="1" t="s">
        <v>13</v>
      </c>
      <c r="D243" s="1" t="s">
        <v>50</v>
      </c>
      <c r="E243" s="1">
        <v>7</v>
      </c>
      <c r="F243" s="1">
        <v>168</v>
      </c>
      <c r="G243" s="1">
        <v>10</v>
      </c>
      <c r="H243" s="2">
        <v>46191</v>
      </c>
      <c r="I243" s="2">
        <v>46196</v>
      </c>
      <c r="J243" s="1" t="s">
        <v>51</v>
      </c>
      <c r="K243" s="1">
        <v>1242</v>
      </c>
    </row>
    <row r="244" spans="1:11" ht="14.4" hidden="1" x14ac:dyDescent="0.3">
      <c r="A244" s="1" t="s">
        <v>30</v>
      </c>
      <c r="B244" s="1" t="s">
        <v>31</v>
      </c>
      <c r="C244" s="1" t="s">
        <v>34</v>
      </c>
      <c r="D244" s="1" t="s">
        <v>41</v>
      </c>
      <c r="E244" s="1">
        <v>5</v>
      </c>
      <c r="F244" s="1">
        <v>11570</v>
      </c>
      <c r="G244" s="1">
        <v>15</v>
      </c>
      <c r="H244" s="2">
        <v>46069</v>
      </c>
      <c r="I244" s="2">
        <v>46077</v>
      </c>
      <c r="J244" s="1" t="s">
        <v>24</v>
      </c>
      <c r="K244" s="1">
        <v>1243</v>
      </c>
    </row>
    <row r="245" spans="1:11" ht="14.4" hidden="1" x14ac:dyDescent="0.3">
      <c r="A245" s="1" t="s">
        <v>57</v>
      </c>
      <c r="B245" s="1" t="s">
        <v>38</v>
      </c>
      <c r="C245" s="1" t="s">
        <v>18</v>
      </c>
      <c r="D245" s="1" t="s">
        <v>28</v>
      </c>
      <c r="E245" s="1">
        <v>10</v>
      </c>
      <c r="F245" s="1">
        <v>6339</v>
      </c>
      <c r="G245" s="1">
        <v>12</v>
      </c>
      <c r="H245" s="2">
        <v>46200</v>
      </c>
      <c r="I245" s="2">
        <v>46205</v>
      </c>
      <c r="J245" s="1" t="s">
        <v>15</v>
      </c>
      <c r="K245" s="1">
        <v>1244</v>
      </c>
    </row>
    <row r="246" spans="1:11" ht="14.4" hidden="1" x14ac:dyDescent="0.3">
      <c r="A246" s="1" t="s">
        <v>55</v>
      </c>
      <c r="B246" s="1" t="s">
        <v>43</v>
      </c>
      <c r="C246" s="1" t="s">
        <v>34</v>
      </c>
      <c r="D246" s="1" t="s">
        <v>41</v>
      </c>
      <c r="E246" s="1">
        <v>19</v>
      </c>
      <c r="F246" s="1">
        <v>69029</v>
      </c>
      <c r="G246" s="1">
        <v>7</v>
      </c>
      <c r="H246" s="2">
        <v>46176</v>
      </c>
      <c r="I246" s="2">
        <v>46179</v>
      </c>
      <c r="J246" s="1" t="s">
        <v>29</v>
      </c>
      <c r="K246" s="1">
        <v>1245</v>
      </c>
    </row>
    <row r="247" spans="1:11" ht="14.4" hidden="1" x14ac:dyDescent="0.3">
      <c r="A247" s="1" t="s">
        <v>55</v>
      </c>
      <c r="B247" s="1" t="s">
        <v>22</v>
      </c>
      <c r="C247" s="1" t="s">
        <v>34</v>
      </c>
      <c r="D247" s="1" t="s">
        <v>35</v>
      </c>
      <c r="E247" s="1">
        <v>13</v>
      </c>
      <c r="F247" s="1">
        <v>1825</v>
      </c>
      <c r="G247" s="1">
        <v>2</v>
      </c>
      <c r="H247" s="2">
        <v>46039</v>
      </c>
      <c r="I247" s="2">
        <v>46045</v>
      </c>
      <c r="J247" s="1" t="s">
        <v>51</v>
      </c>
      <c r="K247" s="1">
        <v>1246</v>
      </c>
    </row>
    <row r="248" spans="1:11" ht="14.4" hidden="1" x14ac:dyDescent="0.3">
      <c r="A248" s="1" t="s">
        <v>26</v>
      </c>
      <c r="B248" s="1" t="s">
        <v>12</v>
      </c>
      <c r="C248" s="1" t="s">
        <v>13</v>
      </c>
      <c r="D248" s="1" t="s">
        <v>50</v>
      </c>
      <c r="E248" s="1">
        <v>10</v>
      </c>
      <c r="F248" s="1">
        <v>336</v>
      </c>
      <c r="G248" s="1">
        <v>7</v>
      </c>
      <c r="H248" s="2">
        <v>46173</v>
      </c>
      <c r="I248" s="2">
        <v>46175</v>
      </c>
      <c r="J248" s="1" t="s">
        <v>20</v>
      </c>
      <c r="K248" s="1">
        <v>1247</v>
      </c>
    </row>
    <row r="249" spans="1:11" ht="14.4" hidden="1" x14ac:dyDescent="0.3">
      <c r="A249" s="1" t="s">
        <v>27</v>
      </c>
      <c r="B249" s="1" t="s">
        <v>43</v>
      </c>
      <c r="C249" s="1" t="s">
        <v>13</v>
      </c>
      <c r="D249" s="1" t="s">
        <v>37</v>
      </c>
      <c r="E249" s="1">
        <v>5</v>
      </c>
      <c r="F249" s="1">
        <v>398</v>
      </c>
      <c r="G249" s="1">
        <v>7</v>
      </c>
      <c r="H249" s="2">
        <v>46161</v>
      </c>
      <c r="I249" s="2">
        <v>46171</v>
      </c>
      <c r="J249" s="1" t="s">
        <v>29</v>
      </c>
      <c r="K249" s="1">
        <v>1248</v>
      </c>
    </row>
    <row r="250" spans="1:11" ht="14.4" hidden="1" x14ac:dyDescent="0.3">
      <c r="A250" s="1" t="s">
        <v>16</v>
      </c>
      <c r="B250" s="1" t="s">
        <v>25</v>
      </c>
      <c r="C250" s="1" t="s">
        <v>34</v>
      </c>
      <c r="D250" s="1" t="s">
        <v>41</v>
      </c>
      <c r="E250" s="1">
        <v>18</v>
      </c>
      <c r="F250" s="1">
        <v>6360</v>
      </c>
      <c r="G250" s="1">
        <v>12</v>
      </c>
      <c r="H250" s="2">
        <v>46163</v>
      </c>
      <c r="I250" s="2">
        <v>46165</v>
      </c>
      <c r="J250" s="1" t="s">
        <v>20</v>
      </c>
      <c r="K250" s="1">
        <v>1249</v>
      </c>
    </row>
    <row r="251" spans="1:11" ht="14.4" hidden="1" x14ac:dyDescent="0.3">
      <c r="A251" s="1" t="s">
        <v>11</v>
      </c>
      <c r="B251" s="1" t="s">
        <v>17</v>
      </c>
      <c r="C251" s="1" t="s">
        <v>34</v>
      </c>
      <c r="D251" s="1" t="s">
        <v>45</v>
      </c>
      <c r="E251" s="1">
        <v>2</v>
      </c>
      <c r="F251" s="1">
        <v>65953</v>
      </c>
      <c r="G251" s="1">
        <v>7</v>
      </c>
      <c r="H251" s="2">
        <v>46051</v>
      </c>
      <c r="I251" s="2">
        <v>46053</v>
      </c>
      <c r="J251" s="1" t="s">
        <v>29</v>
      </c>
      <c r="K251" s="1">
        <v>1250</v>
      </c>
    </row>
    <row r="252" spans="1:11" ht="14.4" hidden="1" x14ac:dyDescent="0.3">
      <c r="A252" s="1" t="s">
        <v>55</v>
      </c>
      <c r="B252" s="1" t="s">
        <v>38</v>
      </c>
      <c r="C252" s="1" t="s">
        <v>34</v>
      </c>
      <c r="D252" s="1" t="s">
        <v>61</v>
      </c>
      <c r="E252" s="1">
        <v>19</v>
      </c>
      <c r="F252" s="1">
        <v>48548</v>
      </c>
      <c r="G252" s="1">
        <v>0</v>
      </c>
      <c r="H252" s="2">
        <v>46112</v>
      </c>
      <c r="I252" s="2">
        <v>46121</v>
      </c>
      <c r="J252" s="1" t="s">
        <v>51</v>
      </c>
      <c r="K252" s="1">
        <v>1251</v>
      </c>
    </row>
    <row r="253" spans="1:11" ht="14.4" hidden="1" x14ac:dyDescent="0.3">
      <c r="A253" s="1" t="s">
        <v>47</v>
      </c>
      <c r="B253" s="1" t="s">
        <v>25</v>
      </c>
      <c r="C253" s="1" t="s">
        <v>13</v>
      </c>
      <c r="D253" s="1" t="s">
        <v>36</v>
      </c>
      <c r="E253" s="1">
        <v>15</v>
      </c>
      <c r="F253" s="1">
        <v>257</v>
      </c>
      <c r="G253" s="1">
        <v>5</v>
      </c>
      <c r="H253" s="2">
        <v>46166</v>
      </c>
      <c r="I253" s="2">
        <v>46173</v>
      </c>
      <c r="J253" s="1" t="s">
        <v>20</v>
      </c>
      <c r="K253" s="1">
        <v>1252</v>
      </c>
    </row>
    <row r="254" spans="1:11" ht="14.4" hidden="1" x14ac:dyDescent="0.3">
      <c r="A254" s="1" t="s">
        <v>21</v>
      </c>
      <c r="B254" s="1" t="s">
        <v>31</v>
      </c>
      <c r="C254" s="1" t="s">
        <v>34</v>
      </c>
      <c r="D254" s="1" t="s">
        <v>45</v>
      </c>
      <c r="E254" s="1">
        <v>20</v>
      </c>
      <c r="F254" s="1">
        <v>47880</v>
      </c>
      <c r="G254" s="1">
        <v>7</v>
      </c>
      <c r="H254" s="2">
        <v>46074</v>
      </c>
      <c r="I254" s="2">
        <v>46075</v>
      </c>
      <c r="J254" s="1" t="s">
        <v>29</v>
      </c>
      <c r="K254" s="1">
        <v>1253</v>
      </c>
    </row>
    <row r="255" spans="1:11" ht="14.4" hidden="1" x14ac:dyDescent="0.3">
      <c r="A255" s="1" t="s">
        <v>52</v>
      </c>
      <c r="B255" s="1" t="s">
        <v>22</v>
      </c>
      <c r="C255" s="1" t="s">
        <v>13</v>
      </c>
      <c r="D255" s="1" t="s">
        <v>50</v>
      </c>
      <c r="E255" s="1">
        <v>18</v>
      </c>
      <c r="F255" s="1">
        <v>447</v>
      </c>
      <c r="G255" s="1">
        <v>15</v>
      </c>
      <c r="H255" s="2">
        <v>46141</v>
      </c>
      <c r="I255" s="2">
        <v>46149</v>
      </c>
      <c r="J255" s="1" t="s">
        <v>24</v>
      </c>
      <c r="K255" s="1">
        <v>1254</v>
      </c>
    </row>
    <row r="256" spans="1:11" ht="14.4" hidden="1" x14ac:dyDescent="0.3">
      <c r="A256" s="1" t="s">
        <v>32</v>
      </c>
      <c r="B256" s="1" t="s">
        <v>17</v>
      </c>
      <c r="C256" s="1" t="s">
        <v>18</v>
      </c>
      <c r="D256" s="1" t="s">
        <v>19</v>
      </c>
      <c r="E256" s="1">
        <v>1</v>
      </c>
      <c r="F256" s="1">
        <v>2240</v>
      </c>
      <c r="G256" s="1">
        <v>5</v>
      </c>
      <c r="H256" s="2">
        <v>46091</v>
      </c>
      <c r="I256" s="2">
        <v>46095</v>
      </c>
      <c r="J256" s="1" t="s">
        <v>20</v>
      </c>
      <c r="K256" s="1">
        <v>1255</v>
      </c>
    </row>
    <row r="257" spans="1:11" ht="14.4" hidden="1" x14ac:dyDescent="0.3">
      <c r="A257" s="1" t="s">
        <v>48</v>
      </c>
      <c r="B257" s="1" t="s">
        <v>31</v>
      </c>
      <c r="C257" s="1" t="s">
        <v>13</v>
      </c>
      <c r="D257" s="1" t="s">
        <v>50</v>
      </c>
      <c r="E257" s="1">
        <v>19</v>
      </c>
      <c r="F257" s="1">
        <v>406</v>
      </c>
      <c r="G257" s="1">
        <v>7</v>
      </c>
      <c r="H257" s="2">
        <v>46057</v>
      </c>
      <c r="I257" s="2">
        <v>46061</v>
      </c>
      <c r="J257" s="1" t="s">
        <v>15</v>
      </c>
      <c r="K257" s="1">
        <v>1256</v>
      </c>
    </row>
    <row r="258" spans="1:11" ht="14.4" hidden="1" x14ac:dyDescent="0.3">
      <c r="A258" s="1" t="s">
        <v>54</v>
      </c>
      <c r="B258" s="1" t="s">
        <v>25</v>
      </c>
      <c r="C258" s="1" t="s">
        <v>34</v>
      </c>
      <c r="D258" s="1" t="s">
        <v>61</v>
      </c>
      <c r="E258" s="1">
        <v>7</v>
      </c>
      <c r="F258" s="1">
        <v>53243</v>
      </c>
      <c r="G258" s="1">
        <v>12</v>
      </c>
      <c r="H258" s="2">
        <v>46161</v>
      </c>
      <c r="I258" s="2">
        <v>46171</v>
      </c>
      <c r="J258" s="1" t="s">
        <v>15</v>
      </c>
      <c r="K258" s="1">
        <v>1257</v>
      </c>
    </row>
    <row r="259" spans="1:11" ht="14.4" hidden="1" x14ac:dyDescent="0.3">
      <c r="A259" s="1" t="s">
        <v>32</v>
      </c>
      <c r="B259" s="1" t="s">
        <v>31</v>
      </c>
      <c r="C259" s="1" t="s">
        <v>34</v>
      </c>
      <c r="D259" s="1" t="s">
        <v>60</v>
      </c>
      <c r="E259" s="1">
        <v>1</v>
      </c>
      <c r="F259" s="1">
        <v>10600</v>
      </c>
      <c r="G259" s="1">
        <v>5</v>
      </c>
      <c r="H259" s="2">
        <v>46137</v>
      </c>
      <c r="I259" s="2">
        <v>46138</v>
      </c>
      <c r="J259" s="1" t="s">
        <v>29</v>
      </c>
      <c r="K259" s="1">
        <v>1258</v>
      </c>
    </row>
    <row r="260" spans="1:11" ht="14.4" hidden="1" x14ac:dyDescent="0.3">
      <c r="A260" s="1" t="s">
        <v>42</v>
      </c>
      <c r="B260" s="1" t="s">
        <v>22</v>
      </c>
      <c r="C260" s="1" t="s">
        <v>34</v>
      </c>
      <c r="D260" s="1" t="s">
        <v>45</v>
      </c>
      <c r="E260" s="1">
        <v>10</v>
      </c>
      <c r="F260" s="1">
        <v>38771</v>
      </c>
      <c r="G260" s="1">
        <v>15</v>
      </c>
      <c r="H260" s="2">
        <v>46172</v>
      </c>
      <c r="I260" s="2">
        <v>46182</v>
      </c>
      <c r="J260" s="1" t="s">
        <v>15</v>
      </c>
      <c r="K260" s="1">
        <v>1259</v>
      </c>
    </row>
    <row r="261" spans="1:11" ht="14.4" hidden="1" x14ac:dyDescent="0.3">
      <c r="A261" s="1" t="s">
        <v>54</v>
      </c>
      <c r="B261" s="1" t="s">
        <v>38</v>
      </c>
      <c r="C261" s="1" t="s">
        <v>34</v>
      </c>
      <c r="D261" s="1" t="s">
        <v>41</v>
      </c>
      <c r="E261" s="1">
        <v>19</v>
      </c>
      <c r="F261" s="1">
        <v>54981</v>
      </c>
      <c r="G261" s="1">
        <v>10</v>
      </c>
      <c r="H261" s="2">
        <v>46040</v>
      </c>
      <c r="I261" s="2">
        <v>46045</v>
      </c>
      <c r="J261" s="1" t="s">
        <v>29</v>
      </c>
      <c r="K261" s="1">
        <v>1260</v>
      </c>
    </row>
    <row r="262" spans="1:11" ht="14.4" hidden="1" x14ac:dyDescent="0.3">
      <c r="A262" s="1" t="s">
        <v>40</v>
      </c>
      <c r="B262" s="1" t="s">
        <v>17</v>
      </c>
      <c r="C262" s="1" t="s">
        <v>13</v>
      </c>
      <c r="D262" s="1" t="s">
        <v>50</v>
      </c>
      <c r="E262" s="1">
        <v>20</v>
      </c>
      <c r="F262" s="1">
        <v>162</v>
      </c>
      <c r="G262" s="1">
        <v>7</v>
      </c>
      <c r="H262" s="2">
        <v>46119</v>
      </c>
      <c r="I262" s="2">
        <v>46120</v>
      </c>
      <c r="J262" s="1" t="s">
        <v>51</v>
      </c>
      <c r="K262" s="1">
        <v>1261</v>
      </c>
    </row>
    <row r="263" spans="1:11" ht="14.4" hidden="1" x14ac:dyDescent="0.3">
      <c r="A263" s="1" t="s">
        <v>16</v>
      </c>
      <c r="B263" s="1" t="s">
        <v>22</v>
      </c>
      <c r="C263" s="1" t="s">
        <v>18</v>
      </c>
      <c r="D263" s="1" t="s">
        <v>28</v>
      </c>
      <c r="E263" s="1">
        <v>9</v>
      </c>
      <c r="F263" s="1">
        <v>2231</v>
      </c>
      <c r="G263" s="1">
        <v>15</v>
      </c>
      <c r="H263" s="2">
        <v>46174</v>
      </c>
      <c r="I263" s="2">
        <v>46183</v>
      </c>
      <c r="J263" s="1" t="s">
        <v>15</v>
      </c>
      <c r="K263" s="1">
        <v>1262</v>
      </c>
    </row>
    <row r="264" spans="1:11" ht="14.4" hidden="1" x14ac:dyDescent="0.3">
      <c r="A264" s="1" t="s">
        <v>29</v>
      </c>
      <c r="B264" s="1" t="s">
        <v>38</v>
      </c>
      <c r="C264" s="1" t="s">
        <v>18</v>
      </c>
      <c r="D264" s="1" t="s">
        <v>28</v>
      </c>
      <c r="E264" s="1">
        <v>10</v>
      </c>
      <c r="F264" s="1">
        <v>1505</v>
      </c>
      <c r="G264" s="1">
        <v>0</v>
      </c>
      <c r="H264" s="2">
        <v>46130</v>
      </c>
      <c r="I264" s="2">
        <v>46138</v>
      </c>
      <c r="J264" s="1" t="s">
        <v>51</v>
      </c>
      <c r="K264" s="1">
        <v>1263</v>
      </c>
    </row>
    <row r="265" spans="1:11" ht="14.4" hidden="1" x14ac:dyDescent="0.3">
      <c r="A265" s="1" t="s">
        <v>11</v>
      </c>
      <c r="B265" s="1" t="s">
        <v>22</v>
      </c>
      <c r="C265" s="1" t="s">
        <v>18</v>
      </c>
      <c r="D265" s="1" t="s">
        <v>28</v>
      </c>
      <c r="E265" s="1">
        <v>15</v>
      </c>
      <c r="F265" s="1">
        <v>6365</v>
      </c>
      <c r="G265" s="1">
        <v>10</v>
      </c>
      <c r="H265" s="2">
        <v>46200</v>
      </c>
      <c r="I265" s="2">
        <v>46206</v>
      </c>
      <c r="J265" s="1" t="s">
        <v>20</v>
      </c>
      <c r="K265" s="1">
        <v>1264</v>
      </c>
    </row>
    <row r="266" spans="1:11" ht="14.4" hidden="1" x14ac:dyDescent="0.3">
      <c r="A266" s="1" t="s">
        <v>58</v>
      </c>
      <c r="B266" s="1" t="s">
        <v>22</v>
      </c>
      <c r="C266" s="1" t="s">
        <v>18</v>
      </c>
      <c r="D266" s="1" t="s">
        <v>19</v>
      </c>
      <c r="E266" s="1">
        <v>1</v>
      </c>
      <c r="F266" s="1">
        <v>1052</v>
      </c>
      <c r="G266" s="1">
        <v>7</v>
      </c>
      <c r="H266" s="2">
        <v>46117</v>
      </c>
      <c r="I266" s="2">
        <v>46127</v>
      </c>
      <c r="J266" s="1" t="s">
        <v>51</v>
      </c>
      <c r="K266" s="1">
        <v>1265</v>
      </c>
    </row>
    <row r="267" spans="1:11" ht="14.4" hidden="1" x14ac:dyDescent="0.3">
      <c r="A267" s="1" t="s">
        <v>29</v>
      </c>
      <c r="B267" s="1" t="s">
        <v>33</v>
      </c>
      <c r="C267" s="1" t="s">
        <v>13</v>
      </c>
      <c r="D267" s="1" t="s">
        <v>14</v>
      </c>
      <c r="E267" s="1">
        <v>17</v>
      </c>
      <c r="F267" s="1">
        <v>365</v>
      </c>
      <c r="G267" s="1">
        <v>2</v>
      </c>
      <c r="H267" s="2">
        <v>46096</v>
      </c>
      <c r="I267" s="2">
        <v>46104</v>
      </c>
      <c r="J267" s="1" t="s">
        <v>51</v>
      </c>
      <c r="K267" s="1">
        <v>1266</v>
      </c>
    </row>
    <row r="268" spans="1:11" ht="14.4" hidden="1" x14ac:dyDescent="0.3">
      <c r="A268" s="1" t="s">
        <v>27</v>
      </c>
      <c r="B268" s="1" t="s">
        <v>38</v>
      </c>
      <c r="C268" s="1" t="s">
        <v>13</v>
      </c>
      <c r="D268" s="1" t="s">
        <v>50</v>
      </c>
      <c r="E268" s="1">
        <v>1</v>
      </c>
      <c r="F268" s="1">
        <v>50</v>
      </c>
      <c r="G268" s="1">
        <v>0</v>
      </c>
      <c r="H268" s="2">
        <v>46129</v>
      </c>
      <c r="I268" s="2">
        <v>46138</v>
      </c>
      <c r="J268" s="1" t="s">
        <v>20</v>
      </c>
      <c r="K268" s="1">
        <v>1267</v>
      </c>
    </row>
    <row r="269" spans="1:11" ht="14.4" hidden="1" x14ac:dyDescent="0.3">
      <c r="A269" s="1" t="s">
        <v>42</v>
      </c>
      <c r="B269" s="1" t="s">
        <v>38</v>
      </c>
      <c r="C269" s="1" t="s">
        <v>34</v>
      </c>
      <c r="D269" s="1" t="s">
        <v>45</v>
      </c>
      <c r="E269" s="1">
        <v>10</v>
      </c>
      <c r="F269" s="1">
        <v>46291</v>
      </c>
      <c r="G269" s="1">
        <v>12</v>
      </c>
      <c r="H269" s="2">
        <v>46199</v>
      </c>
      <c r="I269" s="2">
        <v>46202</v>
      </c>
      <c r="J269" s="1" t="s">
        <v>20</v>
      </c>
      <c r="K269" s="1">
        <v>1268</v>
      </c>
    </row>
    <row r="270" spans="1:11" ht="14.4" hidden="1" x14ac:dyDescent="0.3">
      <c r="A270" s="1" t="s">
        <v>52</v>
      </c>
      <c r="B270" s="1" t="s">
        <v>43</v>
      </c>
      <c r="C270" s="1" t="s">
        <v>18</v>
      </c>
      <c r="D270" s="1" t="s">
        <v>19</v>
      </c>
      <c r="E270" s="1">
        <v>14</v>
      </c>
      <c r="F270" s="1">
        <v>5704</v>
      </c>
      <c r="G270" s="1">
        <v>2</v>
      </c>
      <c r="H270" s="2">
        <v>46129</v>
      </c>
      <c r="I270" s="2">
        <v>46131</v>
      </c>
      <c r="J270" s="1" t="s">
        <v>15</v>
      </c>
      <c r="K270" s="1">
        <v>1269</v>
      </c>
    </row>
    <row r="271" spans="1:11" ht="14.4" hidden="1" x14ac:dyDescent="0.3">
      <c r="A271" s="1" t="s">
        <v>49</v>
      </c>
      <c r="B271" s="1" t="s">
        <v>43</v>
      </c>
      <c r="C271" s="1" t="s">
        <v>34</v>
      </c>
      <c r="D271" s="1" t="s">
        <v>35</v>
      </c>
      <c r="E271" s="1">
        <v>16</v>
      </c>
      <c r="F271" s="1">
        <v>62941</v>
      </c>
      <c r="G271" s="1">
        <v>7</v>
      </c>
      <c r="H271" s="2">
        <v>46135</v>
      </c>
      <c r="I271" s="2">
        <v>46141</v>
      </c>
      <c r="J271" s="1" t="s">
        <v>51</v>
      </c>
      <c r="K271" s="1">
        <v>1270</v>
      </c>
    </row>
    <row r="272" spans="1:11" ht="14.4" hidden="1" x14ac:dyDescent="0.3">
      <c r="A272" s="1" t="s">
        <v>40</v>
      </c>
      <c r="B272" s="1" t="s">
        <v>33</v>
      </c>
      <c r="C272" s="1" t="s">
        <v>34</v>
      </c>
      <c r="D272" s="1" t="s">
        <v>60</v>
      </c>
      <c r="E272" s="1">
        <v>20</v>
      </c>
      <c r="F272" s="1">
        <v>36941</v>
      </c>
      <c r="G272" s="1">
        <v>15</v>
      </c>
      <c r="H272" s="2">
        <v>46083</v>
      </c>
      <c r="I272" s="2">
        <v>46085</v>
      </c>
      <c r="J272" s="1" t="s">
        <v>29</v>
      </c>
      <c r="K272" s="1">
        <v>1271</v>
      </c>
    </row>
    <row r="273" spans="1:11" ht="14.4" hidden="1" x14ac:dyDescent="0.3">
      <c r="A273" s="1" t="s">
        <v>52</v>
      </c>
      <c r="B273" s="1" t="s">
        <v>38</v>
      </c>
      <c r="C273" s="1" t="s">
        <v>34</v>
      </c>
      <c r="D273" s="1" t="s">
        <v>41</v>
      </c>
      <c r="E273" s="1">
        <v>13</v>
      </c>
      <c r="F273" s="1">
        <v>42179</v>
      </c>
      <c r="G273" s="1">
        <v>0</v>
      </c>
      <c r="H273" s="2">
        <v>46078</v>
      </c>
      <c r="I273" s="2">
        <v>46084</v>
      </c>
      <c r="J273" s="1" t="s">
        <v>20</v>
      </c>
      <c r="K273" s="1">
        <v>1272</v>
      </c>
    </row>
    <row r="274" spans="1:11" ht="14.4" hidden="1" x14ac:dyDescent="0.3">
      <c r="A274" s="1" t="s">
        <v>46</v>
      </c>
      <c r="B274" s="1" t="s">
        <v>25</v>
      </c>
      <c r="C274" s="1" t="s">
        <v>34</v>
      </c>
      <c r="D274" s="1" t="s">
        <v>39</v>
      </c>
      <c r="E274" s="1">
        <v>12</v>
      </c>
      <c r="F274" s="1">
        <v>20618</v>
      </c>
      <c r="G274" s="1">
        <v>12</v>
      </c>
      <c r="H274" s="2">
        <v>46172</v>
      </c>
      <c r="I274" s="2">
        <v>46174</v>
      </c>
      <c r="J274" s="1" t="s">
        <v>20</v>
      </c>
      <c r="K274" s="1">
        <v>1273</v>
      </c>
    </row>
    <row r="275" spans="1:11" ht="14.4" hidden="1" x14ac:dyDescent="0.3">
      <c r="A275" s="1" t="s">
        <v>26</v>
      </c>
      <c r="B275" s="1" t="s">
        <v>25</v>
      </c>
      <c r="C275" s="1" t="s">
        <v>34</v>
      </c>
      <c r="D275" s="1" t="s">
        <v>41</v>
      </c>
      <c r="E275" s="1">
        <v>13</v>
      </c>
      <c r="F275" s="1">
        <v>36652</v>
      </c>
      <c r="G275" s="1">
        <v>12</v>
      </c>
      <c r="H275" s="2">
        <v>46179</v>
      </c>
      <c r="I275" s="2">
        <v>46186</v>
      </c>
      <c r="J275" s="1" t="s">
        <v>20</v>
      </c>
      <c r="K275" s="1">
        <v>1274</v>
      </c>
    </row>
    <row r="276" spans="1:11" ht="14.4" hidden="1" x14ac:dyDescent="0.3">
      <c r="A276" s="1" t="s">
        <v>16</v>
      </c>
      <c r="B276" s="1" t="s">
        <v>31</v>
      </c>
      <c r="C276" s="1" t="s">
        <v>13</v>
      </c>
      <c r="D276" s="1" t="s">
        <v>50</v>
      </c>
      <c r="E276" s="1">
        <v>20</v>
      </c>
      <c r="F276" s="1">
        <v>451</v>
      </c>
      <c r="G276" s="1">
        <v>15</v>
      </c>
      <c r="H276" s="2">
        <v>46092</v>
      </c>
      <c r="I276" s="2">
        <v>46094</v>
      </c>
      <c r="J276" s="1" t="s">
        <v>20</v>
      </c>
      <c r="K276" s="1">
        <v>1275</v>
      </c>
    </row>
    <row r="277" spans="1:11" ht="14.4" hidden="1" x14ac:dyDescent="0.3">
      <c r="A277" s="1" t="s">
        <v>40</v>
      </c>
      <c r="B277" s="1" t="s">
        <v>12</v>
      </c>
      <c r="C277" s="1" t="s">
        <v>18</v>
      </c>
      <c r="D277" s="1" t="s">
        <v>19</v>
      </c>
      <c r="E277" s="1">
        <v>1</v>
      </c>
      <c r="F277" s="1">
        <v>13437</v>
      </c>
      <c r="G277" s="1">
        <v>15</v>
      </c>
      <c r="H277" s="2">
        <v>46097</v>
      </c>
      <c r="I277" s="2">
        <v>46099</v>
      </c>
      <c r="J277" s="1" t="s">
        <v>24</v>
      </c>
      <c r="K277" s="1">
        <v>1276</v>
      </c>
    </row>
    <row r="278" spans="1:11" ht="14.4" hidden="1" x14ac:dyDescent="0.3">
      <c r="A278" s="1" t="s">
        <v>59</v>
      </c>
      <c r="B278" s="1" t="s">
        <v>17</v>
      </c>
      <c r="C278" s="1" t="s">
        <v>13</v>
      </c>
      <c r="D278" s="1" t="s">
        <v>36</v>
      </c>
      <c r="E278" s="1">
        <v>14</v>
      </c>
      <c r="F278" s="1">
        <v>276</v>
      </c>
      <c r="G278" s="1">
        <v>0</v>
      </c>
      <c r="H278" s="2">
        <v>46086</v>
      </c>
      <c r="I278" s="2">
        <v>46089</v>
      </c>
      <c r="J278" s="1" t="s">
        <v>15</v>
      </c>
      <c r="K278" s="1">
        <v>1277</v>
      </c>
    </row>
    <row r="279" spans="1:11" ht="14.4" hidden="1" x14ac:dyDescent="0.3">
      <c r="A279" s="1" t="s">
        <v>47</v>
      </c>
      <c r="B279" s="1" t="s">
        <v>22</v>
      </c>
      <c r="C279" s="1" t="s">
        <v>34</v>
      </c>
      <c r="D279" s="1" t="s">
        <v>61</v>
      </c>
      <c r="E279" s="1">
        <v>4</v>
      </c>
      <c r="F279" s="1">
        <v>20639</v>
      </c>
      <c r="G279" s="1">
        <v>7</v>
      </c>
      <c r="H279" s="2">
        <v>46180</v>
      </c>
      <c r="I279" s="2">
        <v>46186</v>
      </c>
      <c r="J279" s="1" t="s">
        <v>20</v>
      </c>
      <c r="K279" s="1">
        <v>1278</v>
      </c>
    </row>
    <row r="280" spans="1:11" ht="14.4" hidden="1" x14ac:dyDescent="0.3">
      <c r="A280" s="1" t="s">
        <v>55</v>
      </c>
      <c r="B280" s="1" t="s">
        <v>33</v>
      </c>
      <c r="C280" s="1" t="s">
        <v>34</v>
      </c>
      <c r="D280" s="1" t="s">
        <v>45</v>
      </c>
      <c r="E280" s="1">
        <v>20</v>
      </c>
      <c r="F280" s="1">
        <v>49042</v>
      </c>
      <c r="G280" s="1">
        <v>2</v>
      </c>
      <c r="H280" s="2">
        <v>46124</v>
      </c>
      <c r="I280" s="2">
        <v>46126</v>
      </c>
      <c r="J280" s="1" t="s">
        <v>15</v>
      </c>
      <c r="K280" s="1">
        <v>1279</v>
      </c>
    </row>
    <row r="281" spans="1:11" ht="14.4" hidden="1" x14ac:dyDescent="0.3">
      <c r="A281" s="1" t="s">
        <v>59</v>
      </c>
      <c r="B281" s="1" t="s">
        <v>38</v>
      </c>
      <c r="C281" s="1" t="s">
        <v>13</v>
      </c>
      <c r="D281" s="1" t="s">
        <v>53</v>
      </c>
      <c r="E281" s="1">
        <v>9</v>
      </c>
      <c r="F281" s="1">
        <v>50</v>
      </c>
      <c r="G281" s="1">
        <v>7</v>
      </c>
      <c r="H281" s="2">
        <v>46085</v>
      </c>
      <c r="I281" s="2">
        <v>46095</v>
      </c>
      <c r="J281" s="1" t="s">
        <v>51</v>
      </c>
      <c r="K281" s="1">
        <v>1280</v>
      </c>
    </row>
    <row r="282" spans="1:11" ht="14.4" hidden="1" x14ac:dyDescent="0.3">
      <c r="A282" s="1" t="s">
        <v>55</v>
      </c>
      <c r="B282" s="1" t="s">
        <v>17</v>
      </c>
      <c r="C282" s="1" t="s">
        <v>13</v>
      </c>
      <c r="D282" s="1" t="s">
        <v>50</v>
      </c>
      <c r="E282" s="1">
        <v>6</v>
      </c>
      <c r="F282" s="1">
        <v>253</v>
      </c>
      <c r="G282" s="1">
        <v>0</v>
      </c>
      <c r="H282" s="2">
        <v>46055</v>
      </c>
      <c r="I282" s="2">
        <v>46063</v>
      </c>
      <c r="J282" s="1" t="s">
        <v>24</v>
      </c>
      <c r="K282" s="1">
        <v>1281</v>
      </c>
    </row>
    <row r="283" spans="1:11" ht="14.4" x14ac:dyDescent="0.3">
      <c r="A283" s="1" t="s">
        <v>57</v>
      </c>
      <c r="B283" s="1" t="s">
        <v>43</v>
      </c>
      <c r="C283" s="1" t="s">
        <v>18</v>
      </c>
      <c r="D283" s="1" t="s">
        <v>44</v>
      </c>
      <c r="E283" s="1">
        <v>12</v>
      </c>
      <c r="F283" s="1">
        <v>3178</v>
      </c>
      <c r="G283" s="1">
        <v>10</v>
      </c>
      <c r="H283" s="2">
        <v>46176</v>
      </c>
      <c r="I283" s="2">
        <v>46177</v>
      </c>
      <c r="J283" s="1" t="s">
        <v>29</v>
      </c>
      <c r="K283" s="1">
        <v>1282</v>
      </c>
    </row>
    <row r="284" spans="1:11" ht="14.4" hidden="1" x14ac:dyDescent="0.3">
      <c r="A284" s="1" t="s">
        <v>40</v>
      </c>
      <c r="B284" s="1" t="s">
        <v>12</v>
      </c>
      <c r="C284" s="1" t="s">
        <v>18</v>
      </c>
      <c r="D284" s="1" t="s">
        <v>23</v>
      </c>
      <c r="E284" s="1">
        <v>6</v>
      </c>
      <c r="F284" s="1">
        <v>1167</v>
      </c>
      <c r="G284" s="1">
        <v>2</v>
      </c>
      <c r="H284" s="2">
        <v>46100</v>
      </c>
      <c r="I284" s="2">
        <v>46106</v>
      </c>
      <c r="J284" s="1" t="s">
        <v>15</v>
      </c>
      <c r="K284" s="1">
        <v>1283</v>
      </c>
    </row>
    <row r="285" spans="1:11" ht="14.4" hidden="1" x14ac:dyDescent="0.3">
      <c r="A285" s="1" t="s">
        <v>40</v>
      </c>
      <c r="B285" s="1" t="s">
        <v>25</v>
      </c>
      <c r="C285" s="1" t="s">
        <v>13</v>
      </c>
      <c r="D285" s="1" t="s">
        <v>37</v>
      </c>
      <c r="E285" s="1">
        <v>16</v>
      </c>
      <c r="F285" s="1">
        <v>419</v>
      </c>
      <c r="G285" s="1">
        <v>2</v>
      </c>
      <c r="H285" s="2">
        <v>46082</v>
      </c>
      <c r="I285" s="2">
        <v>46090</v>
      </c>
      <c r="J285" s="1" t="s">
        <v>15</v>
      </c>
      <c r="K285" s="1">
        <v>1284</v>
      </c>
    </row>
    <row r="286" spans="1:11" ht="14.4" hidden="1" x14ac:dyDescent="0.3">
      <c r="A286" s="1" t="s">
        <v>32</v>
      </c>
      <c r="B286" s="1" t="s">
        <v>38</v>
      </c>
      <c r="C286" s="1" t="s">
        <v>13</v>
      </c>
      <c r="D286" s="1" t="s">
        <v>36</v>
      </c>
      <c r="E286" s="1">
        <v>7</v>
      </c>
      <c r="F286" s="1">
        <v>439</v>
      </c>
      <c r="G286" s="1">
        <v>15</v>
      </c>
      <c r="H286" s="2">
        <v>46055</v>
      </c>
      <c r="I286" s="2">
        <v>46058</v>
      </c>
      <c r="J286" s="1" t="s">
        <v>20</v>
      </c>
      <c r="K286" s="1">
        <v>1285</v>
      </c>
    </row>
    <row r="287" spans="1:11" ht="14.4" hidden="1" x14ac:dyDescent="0.3">
      <c r="A287" s="1" t="s">
        <v>46</v>
      </c>
      <c r="B287" s="1" t="s">
        <v>17</v>
      </c>
      <c r="C287" s="1" t="s">
        <v>18</v>
      </c>
      <c r="D287" s="1" t="s">
        <v>56</v>
      </c>
      <c r="E287" s="1">
        <v>9</v>
      </c>
      <c r="F287" s="1">
        <v>1340</v>
      </c>
      <c r="G287" s="1">
        <v>2</v>
      </c>
      <c r="H287" s="2">
        <v>46168</v>
      </c>
      <c r="I287" s="2">
        <v>46173</v>
      </c>
      <c r="J287" s="1" t="s">
        <v>15</v>
      </c>
      <c r="K287" s="1">
        <v>1286</v>
      </c>
    </row>
    <row r="288" spans="1:11" ht="14.4" hidden="1" x14ac:dyDescent="0.3">
      <c r="A288" s="1" t="s">
        <v>59</v>
      </c>
      <c r="B288" s="1" t="s">
        <v>31</v>
      </c>
      <c r="C288" s="1" t="s">
        <v>13</v>
      </c>
      <c r="D288" s="1" t="s">
        <v>14</v>
      </c>
      <c r="E288" s="1">
        <v>15</v>
      </c>
      <c r="F288" s="1">
        <v>251</v>
      </c>
      <c r="G288" s="1">
        <v>2</v>
      </c>
      <c r="H288" s="2">
        <v>46116</v>
      </c>
      <c r="I288" s="2">
        <v>46122</v>
      </c>
      <c r="J288" s="1" t="s">
        <v>51</v>
      </c>
      <c r="K288" s="1">
        <v>1287</v>
      </c>
    </row>
    <row r="289" spans="1:11" ht="14.4" hidden="1" x14ac:dyDescent="0.3">
      <c r="A289" s="1" t="s">
        <v>54</v>
      </c>
      <c r="B289" s="1" t="s">
        <v>22</v>
      </c>
      <c r="C289" s="1" t="s">
        <v>34</v>
      </c>
      <c r="D289" s="1" t="s">
        <v>60</v>
      </c>
      <c r="E289" s="1">
        <v>14</v>
      </c>
      <c r="F289" s="1">
        <v>35601</v>
      </c>
      <c r="G289" s="1">
        <v>10</v>
      </c>
      <c r="H289" s="2">
        <v>46179</v>
      </c>
      <c r="I289" s="2">
        <v>46187</v>
      </c>
      <c r="J289" s="1" t="s">
        <v>29</v>
      </c>
      <c r="K289" s="1">
        <v>1288</v>
      </c>
    </row>
    <row r="290" spans="1:11" ht="14.4" hidden="1" x14ac:dyDescent="0.3">
      <c r="A290" s="1" t="s">
        <v>26</v>
      </c>
      <c r="B290" s="1" t="s">
        <v>22</v>
      </c>
      <c r="C290" s="1" t="s">
        <v>34</v>
      </c>
      <c r="D290" s="1" t="s">
        <v>45</v>
      </c>
      <c r="E290" s="1">
        <v>19</v>
      </c>
      <c r="F290" s="1">
        <v>25336</v>
      </c>
      <c r="G290" s="1">
        <v>2</v>
      </c>
      <c r="H290" s="2">
        <v>46122</v>
      </c>
      <c r="I290" s="2">
        <v>46130</v>
      </c>
      <c r="J290" s="1" t="s">
        <v>24</v>
      </c>
      <c r="K290" s="1">
        <v>1289</v>
      </c>
    </row>
    <row r="291" spans="1:11" ht="14.4" hidden="1" x14ac:dyDescent="0.3">
      <c r="A291" s="1" t="s">
        <v>26</v>
      </c>
      <c r="B291" s="1" t="s">
        <v>22</v>
      </c>
      <c r="C291" s="1" t="s">
        <v>34</v>
      </c>
      <c r="D291" s="1" t="s">
        <v>35</v>
      </c>
      <c r="E291" s="1">
        <v>3</v>
      </c>
      <c r="F291" s="1">
        <v>69793</v>
      </c>
      <c r="G291" s="1">
        <v>15</v>
      </c>
      <c r="H291" s="2">
        <v>46110</v>
      </c>
      <c r="I291" s="2">
        <v>46111</v>
      </c>
      <c r="J291" s="1" t="s">
        <v>29</v>
      </c>
      <c r="K291" s="1">
        <v>1290</v>
      </c>
    </row>
    <row r="292" spans="1:11" ht="14.4" hidden="1" x14ac:dyDescent="0.3">
      <c r="A292" s="1" t="s">
        <v>21</v>
      </c>
      <c r="B292" s="1" t="s">
        <v>17</v>
      </c>
      <c r="C292" s="1" t="s">
        <v>13</v>
      </c>
      <c r="D292" s="1" t="s">
        <v>36</v>
      </c>
      <c r="E292" s="1">
        <v>17</v>
      </c>
      <c r="F292" s="1">
        <v>415</v>
      </c>
      <c r="G292" s="1">
        <v>5</v>
      </c>
      <c r="H292" s="2">
        <v>46137</v>
      </c>
      <c r="I292" s="2">
        <v>46141</v>
      </c>
      <c r="J292" s="1" t="s">
        <v>20</v>
      </c>
      <c r="K292" s="1">
        <v>1291</v>
      </c>
    </row>
    <row r="293" spans="1:11" ht="14.4" hidden="1" x14ac:dyDescent="0.3">
      <c r="A293" s="1" t="s">
        <v>54</v>
      </c>
      <c r="B293" s="1" t="s">
        <v>33</v>
      </c>
      <c r="C293" s="1" t="s">
        <v>34</v>
      </c>
      <c r="D293" s="1" t="s">
        <v>61</v>
      </c>
      <c r="E293" s="1">
        <v>11</v>
      </c>
      <c r="F293" s="1">
        <v>25158</v>
      </c>
      <c r="G293" s="1">
        <v>5</v>
      </c>
      <c r="H293" s="2">
        <v>46186</v>
      </c>
      <c r="I293" s="2">
        <v>46193</v>
      </c>
      <c r="J293" s="1" t="s">
        <v>20</v>
      </c>
      <c r="K293" s="1">
        <v>1292</v>
      </c>
    </row>
    <row r="294" spans="1:11" ht="14.4" hidden="1" x14ac:dyDescent="0.3">
      <c r="A294" s="1" t="s">
        <v>49</v>
      </c>
      <c r="B294" s="1" t="s">
        <v>43</v>
      </c>
      <c r="C294" s="1" t="s">
        <v>18</v>
      </c>
      <c r="D294" s="1" t="s">
        <v>23</v>
      </c>
      <c r="E294" s="1">
        <v>7</v>
      </c>
      <c r="F294" s="1">
        <v>11481</v>
      </c>
      <c r="G294" s="1">
        <v>15</v>
      </c>
      <c r="H294" s="2">
        <v>46045</v>
      </c>
      <c r="I294" s="2">
        <v>46050</v>
      </c>
      <c r="J294" s="1" t="s">
        <v>20</v>
      </c>
      <c r="K294" s="1">
        <v>1293</v>
      </c>
    </row>
    <row r="295" spans="1:11" ht="14.4" hidden="1" x14ac:dyDescent="0.3">
      <c r="A295" s="1" t="s">
        <v>21</v>
      </c>
      <c r="B295" s="1" t="s">
        <v>12</v>
      </c>
      <c r="C295" s="1" t="s">
        <v>18</v>
      </c>
      <c r="D295" s="1" t="s">
        <v>19</v>
      </c>
      <c r="E295" s="1">
        <v>8</v>
      </c>
      <c r="F295" s="1">
        <v>14448</v>
      </c>
      <c r="G295" s="1">
        <v>10</v>
      </c>
      <c r="H295" s="2">
        <v>46181</v>
      </c>
      <c r="I295" s="2">
        <v>46189</v>
      </c>
      <c r="J295" s="1" t="s">
        <v>15</v>
      </c>
      <c r="K295" s="1">
        <v>1294</v>
      </c>
    </row>
    <row r="296" spans="1:11" ht="14.4" hidden="1" x14ac:dyDescent="0.3">
      <c r="A296" s="1" t="s">
        <v>52</v>
      </c>
      <c r="B296" s="1" t="s">
        <v>38</v>
      </c>
      <c r="C296" s="1" t="s">
        <v>18</v>
      </c>
      <c r="D296" s="1" t="s">
        <v>28</v>
      </c>
      <c r="E296" s="1">
        <v>16</v>
      </c>
      <c r="F296" s="1">
        <v>11935</v>
      </c>
      <c r="G296" s="1">
        <v>12</v>
      </c>
      <c r="H296" s="2">
        <v>46157</v>
      </c>
      <c r="I296" s="2">
        <v>46162</v>
      </c>
      <c r="J296" s="1" t="s">
        <v>15</v>
      </c>
      <c r="K296" s="1">
        <v>1295</v>
      </c>
    </row>
    <row r="297" spans="1:11" ht="14.4" hidden="1" x14ac:dyDescent="0.3">
      <c r="A297" s="1" t="s">
        <v>26</v>
      </c>
      <c r="B297" s="1" t="s">
        <v>38</v>
      </c>
      <c r="C297" s="1" t="s">
        <v>13</v>
      </c>
      <c r="D297" s="1" t="s">
        <v>50</v>
      </c>
      <c r="E297" s="1">
        <v>6</v>
      </c>
      <c r="F297" s="1">
        <v>201</v>
      </c>
      <c r="G297" s="1">
        <v>0</v>
      </c>
      <c r="H297" s="2">
        <v>46063</v>
      </c>
      <c r="I297" s="2">
        <v>46072</v>
      </c>
      <c r="J297" s="1" t="s">
        <v>51</v>
      </c>
      <c r="K297" s="1">
        <v>1296</v>
      </c>
    </row>
    <row r="298" spans="1:11" ht="14.4" hidden="1" x14ac:dyDescent="0.3">
      <c r="A298" s="1" t="s">
        <v>54</v>
      </c>
      <c r="B298" s="1" t="s">
        <v>25</v>
      </c>
      <c r="C298" s="1" t="s">
        <v>34</v>
      </c>
      <c r="D298" s="1" t="s">
        <v>35</v>
      </c>
      <c r="E298" s="1">
        <v>14</v>
      </c>
      <c r="F298" s="1">
        <v>24524</v>
      </c>
      <c r="G298" s="1">
        <v>10</v>
      </c>
      <c r="H298" s="2">
        <v>46178</v>
      </c>
      <c r="I298" s="2">
        <v>46187</v>
      </c>
      <c r="J298" s="1" t="s">
        <v>29</v>
      </c>
      <c r="K298" s="1">
        <v>1297</v>
      </c>
    </row>
    <row r="299" spans="1:11" ht="14.4" hidden="1" x14ac:dyDescent="0.3">
      <c r="A299" s="1" t="s">
        <v>21</v>
      </c>
      <c r="B299" s="1" t="s">
        <v>12</v>
      </c>
      <c r="C299" s="1" t="s">
        <v>34</v>
      </c>
      <c r="D299" s="1" t="s">
        <v>61</v>
      </c>
      <c r="E299" s="1">
        <v>19</v>
      </c>
      <c r="F299" s="1">
        <v>20745</v>
      </c>
      <c r="G299" s="1">
        <v>2</v>
      </c>
      <c r="H299" s="2">
        <v>46083</v>
      </c>
      <c r="I299" s="2">
        <v>46093</v>
      </c>
      <c r="J299" s="1" t="s">
        <v>24</v>
      </c>
      <c r="K299" s="1">
        <v>1298</v>
      </c>
    </row>
    <row r="300" spans="1:11" ht="14.4" hidden="1" x14ac:dyDescent="0.3">
      <c r="A300" s="1" t="s">
        <v>26</v>
      </c>
      <c r="B300" s="1" t="s">
        <v>17</v>
      </c>
      <c r="C300" s="1" t="s">
        <v>18</v>
      </c>
      <c r="D300" s="1" t="s">
        <v>56</v>
      </c>
      <c r="E300" s="1">
        <v>8</v>
      </c>
      <c r="F300" s="1">
        <v>8783</v>
      </c>
      <c r="G300" s="1">
        <v>2</v>
      </c>
      <c r="H300" s="2">
        <v>46123</v>
      </c>
      <c r="I300" s="2">
        <v>46132</v>
      </c>
      <c r="J300" s="1" t="s">
        <v>15</v>
      </c>
      <c r="K300" s="1">
        <v>1299</v>
      </c>
    </row>
    <row r="301" spans="1:11" ht="14.4" hidden="1" x14ac:dyDescent="0.3">
      <c r="A301" s="1" t="s">
        <v>47</v>
      </c>
      <c r="B301" s="1" t="s">
        <v>33</v>
      </c>
      <c r="C301" s="1" t="s">
        <v>34</v>
      </c>
      <c r="D301" s="1" t="s">
        <v>45</v>
      </c>
      <c r="E301" s="1">
        <v>20</v>
      </c>
      <c r="F301" s="1">
        <v>1392</v>
      </c>
      <c r="G301" s="1">
        <v>2</v>
      </c>
      <c r="H301" s="2">
        <v>46110</v>
      </c>
      <c r="I301" s="2">
        <v>46117</v>
      </c>
      <c r="J301" s="1" t="s">
        <v>24</v>
      </c>
      <c r="K301" s="1">
        <v>1300</v>
      </c>
    </row>
    <row r="302" spans="1:11" ht="14.4" hidden="1" x14ac:dyDescent="0.3">
      <c r="A302" s="1" t="s">
        <v>54</v>
      </c>
      <c r="B302" s="1" t="s">
        <v>17</v>
      </c>
      <c r="C302" s="1" t="s">
        <v>18</v>
      </c>
      <c r="D302" s="1" t="s">
        <v>28</v>
      </c>
      <c r="E302" s="1">
        <v>3</v>
      </c>
      <c r="F302" s="1">
        <v>7020</v>
      </c>
      <c r="G302" s="1">
        <v>10</v>
      </c>
      <c r="H302" s="2">
        <v>46028</v>
      </c>
      <c r="I302" s="2">
        <v>46038</v>
      </c>
      <c r="J302" s="1" t="s">
        <v>24</v>
      </c>
      <c r="K302" s="1">
        <v>1301</v>
      </c>
    </row>
    <row r="303" spans="1:11" ht="14.4" hidden="1" x14ac:dyDescent="0.3">
      <c r="A303" s="1" t="s">
        <v>57</v>
      </c>
      <c r="B303" s="1" t="s">
        <v>12</v>
      </c>
      <c r="C303" s="1" t="s">
        <v>34</v>
      </c>
      <c r="D303" s="1" t="s">
        <v>35</v>
      </c>
      <c r="E303" s="1">
        <v>9</v>
      </c>
      <c r="F303" s="1">
        <v>8500</v>
      </c>
      <c r="G303" s="1">
        <v>15</v>
      </c>
      <c r="H303" s="2">
        <v>46163</v>
      </c>
      <c r="I303" s="2">
        <v>46172</v>
      </c>
      <c r="J303" s="1" t="s">
        <v>24</v>
      </c>
      <c r="K303" s="1">
        <v>1302</v>
      </c>
    </row>
    <row r="304" spans="1:11" ht="14.4" hidden="1" x14ac:dyDescent="0.3">
      <c r="A304" s="1" t="s">
        <v>57</v>
      </c>
      <c r="B304" s="1" t="s">
        <v>38</v>
      </c>
      <c r="C304" s="1" t="s">
        <v>34</v>
      </c>
      <c r="D304" s="1" t="s">
        <v>35</v>
      </c>
      <c r="E304" s="1">
        <v>13</v>
      </c>
      <c r="F304" s="1">
        <v>5170</v>
      </c>
      <c r="G304" s="1">
        <v>2</v>
      </c>
      <c r="H304" s="2">
        <v>46124</v>
      </c>
      <c r="I304" s="2">
        <v>46127</v>
      </c>
      <c r="J304" s="1" t="s">
        <v>15</v>
      </c>
      <c r="K304" s="1">
        <v>1303</v>
      </c>
    </row>
    <row r="305" spans="1:11" ht="14.4" hidden="1" x14ac:dyDescent="0.3">
      <c r="A305" s="1" t="s">
        <v>59</v>
      </c>
      <c r="B305" s="1" t="s">
        <v>25</v>
      </c>
      <c r="C305" s="1" t="s">
        <v>13</v>
      </c>
      <c r="D305" s="1" t="s">
        <v>36</v>
      </c>
      <c r="E305" s="1">
        <v>20</v>
      </c>
      <c r="F305" s="1">
        <v>368</v>
      </c>
      <c r="G305" s="1">
        <v>7</v>
      </c>
      <c r="H305" s="2">
        <v>46042</v>
      </c>
      <c r="I305" s="2">
        <v>46051</v>
      </c>
      <c r="J305" s="1" t="s">
        <v>51</v>
      </c>
      <c r="K305" s="1">
        <v>1304</v>
      </c>
    </row>
    <row r="306" spans="1:11" ht="14.4" hidden="1" x14ac:dyDescent="0.3">
      <c r="A306" s="1" t="s">
        <v>58</v>
      </c>
      <c r="B306" s="1" t="s">
        <v>31</v>
      </c>
      <c r="C306" s="1" t="s">
        <v>34</v>
      </c>
      <c r="D306" s="1" t="s">
        <v>60</v>
      </c>
      <c r="E306" s="1">
        <v>20</v>
      </c>
      <c r="F306" s="1">
        <v>31406</v>
      </c>
      <c r="G306" s="1">
        <v>15</v>
      </c>
      <c r="H306" s="2">
        <v>46146</v>
      </c>
      <c r="I306" s="2">
        <v>46154</v>
      </c>
      <c r="J306" s="1" t="s">
        <v>51</v>
      </c>
      <c r="K306" s="1">
        <v>1305</v>
      </c>
    </row>
    <row r="307" spans="1:11" ht="14.4" hidden="1" x14ac:dyDescent="0.3">
      <c r="A307" s="1" t="s">
        <v>54</v>
      </c>
      <c r="B307" s="1" t="s">
        <v>43</v>
      </c>
      <c r="C307" s="1" t="s">
        <v>13</v>
      </c>
      <c r="D307" s="1" t="s">
        <v>36</v>
      </c>
      <c r="E307" s="1">
        <v>1</v>
      </c>
      <c r="F307" s="1">
        <v>332</v>
      </c>
      <c r="G307" s="1">
        <v>0</v>
      </c>
      <c r="H307" s="2">
        <v>46191</v>
      </c>
      <c r="I307" s="2">
        <v>46194</v>
      </c>
      <c r="J307" s="1" t="s">
        <v>20</v>
      </c>
      <c r="K307" s="1">
        <v>1306</v>
      </c>
    </row>
    <row r="308" spans="1:11" ht="14.4" hidden="1" x14ac:dyDescent="0.3">
      <c r="A308" s="1" t="s">
        <v>57</v>
      </c>
      <c r="B308" s="1" t="s">
        <v>43</v>
      </c>
      <c r="C308" s="1" t="s">
        <v>34</v>
      </c>
      <c r="D308" s="1" t="s">
        <v>35</v>
      </c>
      <c r="E308" s="1">
        <v>18</v>
      </c>
      <c r="F308" s="1">
        <v>7541</v>
      </c>
      <c r="G308" s="1">
        <v>12</v>
      </c>
      <c r="H308" s="2">
        <v>46048</v>
      </c>
      <c r="I308" s="2">
        <v>46051</v>
      </c>
      <c r="J308" s="1" t="s">
        <v>51</v>
      </c>
      <c r="K308" s="1">
        <v>1307</v>
      </c>
    </row>
    <row r="309" spans="1:11" ht="14.4" hidden="1" x14ac:dyDescent="0.3">
      <c r="A309" s="1" t="s">
        <v>30</v>
      </c>
      <c r="B309" s="1" t="s">
        <v>22</v>
      </c>
      <c r="C309" s="1" t="s">
        <v>34</v>
      </c>
      <c r="D309" s="1" t="s">
        <v>41</v>
      </c>
      <c r="E309" s="1">
        <v>12</v>
      </c>
      <c r="F309" s="1">
        <v>66075</v>
      </c>
      <c r="G309" s="1">
        <v>5</v>
      </c>
      <c r="H309" s="2">
        <v>46129</v>
      </c>
      <c r="I309" s="2">
        <v>46135</v>
      </c>
      <c r="J309" s="1" t="s">
        <v>20</v>
      </c>
      <c r="K309" s="1">
        <v>1308</v>
      </c>
    </row>
    <row r="310" spans="1:11" ht="14.4" hidden="1" x14ac:dyDescent="0.3">
      <c r="A310" s="1" t="s">
        <v>29</v>
      </c>
      <c r="B310" s="1" t="s">
        <v>31</v>
      </c>
      <c r="C310" s="1" t="s">
        <v>13</v>
      </c>
      <c r="D310" s="1" t="s">
        <v>50</v>
      </c>
      <c r="E310" s="1">
        <v>2</v>
      </c>
      <c r="F310" s="1">
        <v>35</v>
      </c>
      <c r="G310" s="1">
        <v>5</v>
      </c>
      <c r="H310" s="2">
        <v>46197</v>
      </c>
      <c r="I310" s="2">
        <v>46198</v>
      </c>
      <c r="J310" s="1" t="s">
        <v>24</v>
      </c>
      <c r="K310" s="1">
        <v>1309</v>
      </c>
    </row>
    <row r="311" spans="1:11" ht="14.4" hidden="1" x14ac:dyDescent="0.3">
      <c r="A311" s="1" t="s">
        <v>49</v>
      </c>
      <c r="B311" s="1" t="s">
        <v>17</v>
      </c>
      <c r="C311" s="1" t="s">
        <v>18</v>
      </c>
      <c r="D311" s="1" t="s">
        <v>56</v>
      </c>
      <c r="E311" s="1">
        <v>19</v>
      </c>
      <c r="F311" s="1">
        <v>12691</v>
      </c>
      <c r="G311" s="1">
        <v>0</v>
      </c>
      <c r="H311" s="2">
        <v>46181</v>
      </c>
      <c r="I311" s="2">
        <v>46189</v>
      </c>
      <c r="J311" s="1" t="s">
        <v>29</v>
      </c>
      <c r="K311" s="1">
        <v>1310</v>
      </c>
    </row>
    <row r="312" spans="1:11" ht="14.4" hidden="1" x14ac:dyDescent="0.3">
      <c r="A312" s="1" t="s">
        <v>55</v>
      </c>
      <c r="B312" s="1" t="s">
        <v>12</v>
      </c>
      <c r="C312" s="1" t="s">
        <v>13</v>
      </c>
      <c r="D312" s="1" t="s">
        <v>14</v>
      </c>
      <c r="E312" s="1">
        <v>2</v>
      </c>
      <c r="F312" s="1">
        <v>209</v>
      </c>
      <c r="G312" s="1">
        <v>0</v>
      </c>
      <c r="H312" s="2">
        <v>46173</v>
      </c>
      <c r="I312" s="2">
        <v>46176</v>
      </c>
      <c r="J312" s="1" t="s">
        <v>20</v>
      </c>
      <c r="K312" s="1">
        <v>1311</v>
      </c>
    </row>
    <row r="313" spans="1:11" ht="14.4" hidden="1" x14ac:dyDescent="0.3">
      <c r="A313" s="1" t="s">
        <v>57</v>
      </c>
      <c r="B313" s="1" t="s">
        <v>22</v>
      </c>
      <c r="C313" s="1" t="s">
        <v>18</v>
      </c>
      <c r="D313" s="1" t="s">
        <v>56</v>
      </c>
      <c r="E313" s="1">
        <v>20</v>
      </c>
      <c r="F313" s="1">
        <v>3274</v>
      </c>
      <c r="G313" s="1">
        <v>2</v>
      </c>
      <c r="H313" s="2">
        <v>46148</v>
      </c>
      <c r="I313" s="2">
        <v>46156</v>
      </c>
      <c r="J313" s="1" t="s">
        <v>24</v>
      </c>
      <c r="K313" s="1">
        <v>1312</v>
      </c>
    </row>
    <row r="314" spans="1:11" ht="14.4" hidden="1" x14ac:dyDescent="0.3">
      <c r="A314" s="1" t="s">
        <v>59</v>
      </c>
      <c r="B314" s="1" t="s">
        <v>22</v>
      </c>
      <c r="C314" s="1" t="s">
        <v>18</v>
      </c>
      <c r="D314" s="1" t="s">
        <v>56</v>
      </c>
      <c r="E314" s="1">
        <v>6</v>
      </c>
      <c r="F314" s="1">
        <v>10864</v>
      </c>
      <c r="G314" s="1">
        <v>10</v>
      </c>
      <c r="H314" s="2">
        <v>46041</v>
      </c>
      <c r="I314" s="2">
        <v>46049</v>
      </c>
      <c r="J314" s="1" t="s">
        <v>15</v>
      </c>
      <c r="K314" s="1">
        <v>1313</v>
      </c>
    </row>
    <row r="315" spans="1:11" ht="14.4" hidden="1" x14ac:dyDescent="0.3">
      <c r="A315" s="1" t="s">
        <v>52</v>
      </c>
      <c r="B315" s="1" t="s">
        <v>33</v>
      </c>
      <c r="C315" s="1" t="s">
        <v>18</v>
      </c>
      <c r="D315" s="1" t="s">
        <v>19</v>
      </c>
      <c r="E315" s="1">
        <v>10</v>
      </c>
      <c r="F315" s="1">
        <v>6328</v>
      </c>
      <c r="G315" s="1">
        <v>2</v>
      </c>
      <c r="H315" s="2">
        <v>46196</v>
      </c>
      <c r="I315" s="2">
        <v>46197</v>
      </c>
      <c r="J315" s="1" t="s">
        <v>29</v>
      </c>
      <c r="K315" s="1">
        <v>1314</v>
      </c>
    </row>
    <row r="316" spans="1:11" ht="14.4" hidden="1" x14ac:dyDescent="0.3">
      <c r="A316" s="1" t="s">
        <v>49</v>
      </c>
      <c r="B316" s="1" t="s">
        <v>31</v>
      </c>
      <c r="C316" s="1" t="s">
        <v>34</v>
      </c>
      <c r="D316" s="1" t="s">
        <v>41</v>
      </c>
      <c r="E316" s="1">
        <v>14</v>
      </c>
      <c r="F316" s="1">
        <v>57670</v>
      </c>
      <c r="G316" s="1">
        <v>2</v>
      </c>
      <c r="H316" s="2">
        <v>46186</v>
      </c>
      <c r="I316" s="2">
        <v>46196</v>
      </c>
      <c r="J316" s="1" t="s">
        <v>15</v>
      </c>
      <c r="K316" s="1">
        <v>1315</v>
      </c>
    </row>
    <row r="317" spans="1:11" ht="14.4" hidden="1" x14ac:dyDescent="0.3">
      <c r="A317" s="1" t="s">
        <v>46</v>
      </c>
      <c r="B317" s="1" t="s">
        <v>12</v>
      </c>
      <c r="C317" s="1" t="s">
        <v>18</v>
      </c>
      <c r="D317" s="1" t="s">
        <v>28</v>
      </c>
      <c r="E317" s="1">
        <v>7</v>
      </c>
      <c r="F317" s="1">
        <v>9838</v>
      </c>
      <c r="G317" s="1">
        <v>7</v>
      </c>
      <c r="H317" s="2">
        <v>46078</v>
      </c>
      <c r="I317" s="2">
        <v>46085</v>
      </c>
      <c r="J317" s="1" t="s">
        <v>20</v>
      </c>
      <c r="K317" s="1">
        <v>1316</v>
      </c>
    </row>
    <row r="318" spans="1:11" ht="14.4" hidden="1" x14ac:dyDescent="0.3">
      <c r="A318" s="1" t="s">
        <v>59</v>
      </c>
      <c r="B318" s="1" t="s">
        <v>33</v>
      </c>
      <c r="C318" s="1" t="s">
        <v>34</v>
      </c>
      <c r="D318" s="1" t="s">
        <v>41</v>
      </c>
      <c r="E318" s="1">
        <v>7</v>
      </c>
      <c r="F318" s="1">
        <v>67339</v>
      </c>
      <c r="G318" s="1">
        <v>5</v>
      </c>
      <c r="H318" s="2">
        <v>46159</v>
      </c>
      <c r="I318" s="2">
        <v>46169</v>
      </c>
      <c r="J318" s="1" t="s">
        <v>51</v>
      </c>
      <c r="K318" s="1">
        <v>1317</v>
      </c>
    </row>
    <row r="319" spans="1:11" ht="14.4" hidden="1" x14ac:dyDescent="0.3">
      <c r="A319" s="1" t="s">
        <v>11</v>
      </c>
      <c r="B319" s="1" t="s">
        <v>43</v>
      </c>
      <c r="C319" s="1" t="s">
        <v>13</v>
      </c>
      <c r="D319" s="1" t="s">
        <v>50</v>
      </c>
      <c r="E319" s="1">
        <v>4</v>
      </c>
      <c r="F319" s="1">
        <v>38</v>
      </c>
      <c r="G319" s="1">
        <v>12</v>
      </c>
      <c r="H319" s="2">
        <v>46169</v>
      </c>
      <c r="I319" s="2">
        <v>46175</v>
      </c>
      <c r="J319" s="1" t="s">
        <v>29</v>
      </c>
      <c r="K319" s="1">
        <v>1318</v>
      </c>
    </row>
    <row r="320" spans="1:11" ht="14.4" hidden="1" x14ac:dyDescent="0.3">
      <c r="A320" s="1" t="s">
        <v>21</v>
      </c>
      <c r="B320" s="1" t="s">
        <v>17</v>
      </c>
      <c r="C320" s="1" t="s">
        <v>34</v>
      </c>
      <c r="D320" s="1" t="s">
        <v>61</v>
      </c>
      <c r="E320" s="1">
        <v>17</v>
      </c>
      <c r="F320" s="1">
        <v>58407</v>
      </c>
      <c r="G320" s="1">
        <v>7</v>
      </c>
      <c r="H320" s="2">
        <v>46094</v>
      </c>
      <c r="I320" s="2">
        <v>46102</v>
      </c>
      <c r="J320" s="1" t="s">
        <v>15</v>
      </c>
      <c r="K320" s="1">
        <v>1319</v>
      </c>
    </row>
    <row r="321" spans="1:11" ht="14.4" hidden="1" x14ac:dyDescent="0.3">
      <c r="A321" s="1" t="s">
        <v>47</v>
      </c>
      <c r="B321" s="1" t="s">
        <v>38</v>
      </c>
      <c r="C321" s="1" t="s">
        <v>13</v>
      </c>
      <c r="D321" s="1" t="s">
        <v>36</v>
      </c>
      <c r="E321" s="1">
        <v>20</v>
      </c>
      <c r="F321" s="1">
        <v>55</v>
      </c>
      <c r="G321" s="1">
        <v>7</v>
      </c>
      <c r="H321" s="2">
        <v>46183</v>
      </c>
      <c r="I321" s="2">
        <v>46186</v>
      </c>
      <c r="J321" s="1" t="s">
        <v>20</v>
      </c>
      <c r="K321" s="1">
        <v>1320</v>
      </c>
    </row>
    <row r="322" spans="1:11" ht="14.4" hidden="1" x14ac:dyDescent="0.3">
      <c r="A322" s="1" t="s">
        <v>32</v>
      </c>
      <c r="B322" s="1" t="s">
        <v>22</v>
      </c>
      <c r="C322" s="1" t="s">
        <v>18</v>
      </c>
      <c r="D322" s="1" t="s">
        <v>19</v>
      </c>
      <c r="E322" s="1">
        <v>8</v>
      </c>
      <c r="F322" s="1">
        <v>5619</v>
      </c>
      <c r="G322" s="1">
        <v>7</v>
      </c>
      <c r="H322" s="2">
        <v>46107</v>
      </c>
      <c r="I322" s="2">
        <v>46109</v>
      </c>
      <c r="J322" s="1" t="s">
        <v>51</v>
      </c>
      <c r="K322" s="1">
        <v>1321</v>
      </c>
    </row>
    <row r="323" spans="1:11" ht="14.4" hidden="1" x14ac:dyDescent="0.3">
      <c r="A323" s="1" t="s">
        <v>27</v>
      </c>
      <c r="B323" s="1" t="s">
        <v>12</v>
      </c>
      <c r="C323" s="1" t="s">
        <v>18</v>
      </c>
      <c r="D323" s="1" t="s">
        <v>23</v>
      </c>
      <c r="E323" s="1">
        <v>14</v>
      </c>
      <c r="F323" s="1">
        <v>9081</v>
      </c>
      <c r="G323" s="1">
        <v>15</v>
      </c>
      <c r="H323" s="2">
        <v>46141</v>
      </c>
      <c r="I323" s="2">
        <v>46146</v>
      </c>
      <c r="J323" s="1" t="s">
        <v>15</v>
      </c>
      <c r="K323" s="1">
        <v>1322</v>
      </c>
    </row>
    <row r="324" spans="1:11" ht="14.4" hidden="1" x14ac:dyDescent="0.3">
      <c r="A324" s="1" t="s">
        <v>57</v>
      </c>
      <c r="B324" s="1" t="s">
        <v>38</v>
      </c>
      <c r="C324" s="1" t="s">
        <v>34</v>
      </c>
      <c r="D324" s="1" t="s">
        <v>61</v>
      </c>
      <c r="E324" s="1">
        <v>2</v>
      </c>
      <c r="F324" s="1">
        <v>32074</v>
      </c>
      <c r="G324" s="1">
        <v>10</v>
      </c>
      <c r="H324" s="2">
        <v>46073</v>
      </c>
      <c r="I324" s="2">
        <v>46078</v>
      </c>
      <c r="J324" s="1" t="s">
        <v>15</v>
      </c>
      <c r="K324" s="1">
        <v>1323</v>
      </c>
    </row>
    <row r="325" spans="1:11" ht="14.4" hidden="1" x14ac:dyDescent="0.3">
      <c r="A325" s="1" t="s">
        <v>32</v>
      </c>
      <c r="B325" s="1" t="s">
        <v>22</v>
      </c>
      <c r="C325" s="1" t="s">
        <v>18</v>
      </c>
      <c r="D325" s="1" t="s">
        <v>19</v>
      </c>
      <c r="E325" s="1">
        <v>1</v>
      </c>
      <c r="F325" s="1">
        <v>4286</v>
      </c>
      <c r="G325" s="1">
        <v>15</v>
      </c>
      <c r="H325" s="2">
        <v>46053</v>
      </c>
      <c r="I325" s="2">
        <v>46056</v>
      </c>
      <c r="J325" s="1" t="s">
        <v>20</v>
      </c>
      <c r="K325" s="1">
        <v>1324</v>
      </c>
    </row>
    <row r="326" spans="1:11" ht="14.4" hidden="1" x14ac:dyDescent="0.3">
      <c r="A326" s="1" t="s">
        <v>48</v>
      </c>
      <c r="B326" s="1" t="s">
        <v>43</v>
      </c>
      <c r="C326" s="1" t="s">
        <v>34</v>
      </c>
      <c r="D326" s="1" t="s">
        <v>39</v>
      </c>
      <c r="E326" s="1">
        <v>9</v>
      </c>
      <c r="F326" s="1">
        <v>58442</v>
      </c>
      <c r="G326" s="1">
        <v>12</v>
      </c>
      <c r="H326" s="2">
        <v>46076</v>
      </c>
      <c r="I326" s="2">
        <v>46085</v>
      </c>
      <c r="J326" s="1" t="s">
        <v>20</v>
      </c>
      <c r="K326" s="1">
        <v>1325</v>
      </c>
    </row>
    <row r="327" spans="1:11" ht="14.4" hidden="1" x14ac:dyDescent="0.3">
      <c r="A327" s="1" t="s">
        <v>26</v>
      </c>
      <c r="B327" s="1" t="s">
        <v>17</v>
      </c>
      <c r="C327" s="1" t="s">
        <v>18</v>
      </c>
      <c r="D327" s="1" t="s">
        <v>44</v>
      </c>
      <c r="E327" s="1">
        <v>18</v>
      </c>
      <c r="F327" s="1">
        <v>1830</v>
      </c>
      <c r="G327" s="1">
        <v>10</v>
      </c>
      <c r="H327" s="2">
        <v>46165</v>
      </c>
      <c r="I327" s="2">
        <v>46172</v>
      </c>
      <c r="J327" s="1" t="s">
        <v>15</v>
      </c>
      <c r="K327" s="1">
        <v>1326</v>
      </c>
    </row>
    <row r="328" spans="1:11" ht="14.4" hidden="1" x14ac:dyDescent="0.3">
      <c r="A328" s="1" t="s">
        <v>48</v>
      </c>
      <c r="B328" s="1" t="s">
        <v>12</v>
      </c>
      <c r="C328" s="1" t="s">
        <v>13</v>
      </c>
      <c r="D328" s="1" t="s">
        <v>53</v>
      </c>
      <c r="E328" s="1">
        <v>15</v>
      </c>
      <c r="F328" s="1">
        <v>449</v>
      </c>
      <c r="G328" s="1">
        <v>5</v>
      </c>
      <c r="H328" s="2">
        <v>46152</v>
      </c>
      <c r="I328" s="2">
        <v>46153</v>
      </c>
      <c r="J328" s="1" t="s">
        <v>15</v>
      </c>
      <c r="K328" s="1">
        <v>1327</v>
      </c>
    </row>
    <row r="329" spans="1:11" ht="14.4" hidden="1" x14ac:dyDescent="0.3">
      <c r="A329" s="1" t="s">
        <v>16</v>
      </c>
      <c r="B329" s="1" t="s">
        <v>38</v>
      </c>
      <c r="C329" s="1" t="s">
        <v>13</v>
      </c>
      <c r="D329" s="1" t="s">
        <v>36</v>
      </c>
      <c r="E329" s="1">
        <v>4</v>
      </c>
      <c r="F329" s="1">
        <v>132</v>
      </c>
      <c r="G329" s="1">
        <v>0</v>
      </c>
      <c r="H329" s="2">
        <v>46109</v>
      </c>
      <c r="I329" s="2">
        <v>46114</v>
      </c>
      <c r="J329" s="1" t="s">
        <v>29</v>
      </c>
      <c r="K329" s="1">
        <v>1328</v>
      </c>
    </row>
    <row r="330" spans="1:11" ht="14.4" hidden="1" x14ac:dyDescent="0.3">
      <c r="A330" s="1" t="s">
        <v>30</v>
      </c>
      <c r="B330" s="1" t="s">
        <v>43</v>
      </c>
      <c r="C330" s="1" t="s">
        <v>13</v>
      </c>
      <c r="D330" s="1" t="s">
        <v>53</v>
      </c>
      <c r="E330" s="1">
        <v>18</v>
      </c>
      <c r="F330" s="1">
        <v>227</v>
      </c>
      <c r="G330" s="1">
        <v>5</v>
      </c>
      <c r="H330" s="2">
        <v>46126</v>
      </c>
      <c r="I330" s="2">
        <v>46136</v>
      </c>
      <c r="J330" s="1" t="s">
        <v>29</v>
      </c>
      <c r="K330" s="1">
        <v>1329</v>
      </c>
    </row>
    <row r="331" spans="1:11" ht="14.4" hidden="1" x14ac:dyDescent="0.3">
      <c r="A331" s="1" t="s">
        <v>49</v>
      </c>
      <c r="B331" s="1" t="s">
        <v>17</v>
      </c>
      <c r="C331" s="1" t="s">
        <v>18</v>
      </c>
      <c r="D331" s="1" t="s">
        <v>19</v>
      </c>
      <c r="E331" s="1">
        <v>13</v>
      </c>
      <c r="F331" s="1">
        <v>12071</v>
      </c>
      <c r="G331" s="1">
        <v>0</v>
      </c>
      <c r="H331" s="2">
        <v>46032</v>
      </c>
      <c r="I331" s="2">
        <v>46036</v>
      </c>
      <c r="J331" s="1" t="s">
        <v>51</v>
      </c>
      <c r="K331" s="1">
        <v>1330</v>
      </c>
    </row>
    <row r="332" spans="1:11" ht="14.4" hidden="1" x14ac:dyDescent="0.3">
      <c r="A332" s="1" t="s">
        <v>21</v>
      </c>
      <c r="B332" s="1" t="s">
        <v>25</v>
      </c>
      <c r="C332" s="1" t="s">
        <v>34</v>
      </c>
      <c r="D332" s="1" t="s">
        <v>61</v>
      </c>
      <c r="E332" s="1">
        <v>2</v>
      </c>
      <c r="F332" s="1">
        <v>43557</v>
      </c>
      <c r="G332" s="1">
        <v>2</v>
      </c>
      <c r="H332" s="2">
        <v>46190</v>
      </c>
      <c r="I332" s="2">
        <v>46200</v>
      </c>
      <c r="J332" s="1" t="s">
        <v>15</v>
      </c>
      <c r="K332" s="1">
        <v>1331</v>
      </c>
    </row>
    <row r="333" spans="1:11" ht="14.4" hidden="1" x14ac:dyDescent="0.3">
      <c r="A333" s="1" t="s">
        <v>29</v>
      </c>
      <c r="B333" s="1" t="s">
        <v>43</v>
      </c>
      <c r="C333" s="1" t="s">
        <v>13</v>
      </c>
      <c r="D333" s="1" t="s">
        <v>50</v>
      </c>
      <c r="E333" s="1">
        <v>7</v>
      </c>
      <c r="F333" s="1">
        <v>439</v>
      </c>
      <c r="G333" s="1">
        <v>2</v>
      </c>
      <c r="H333" s="2">
        <v>46154</v>
      </c>
      <c r="I333" s="2">
        <v>46157</v>
      </c>
      <c r="J333" s="1" t="s">
        <v>15</v>
      </c>
      <c r="K333" s="1">
        <v>1332</v>
      </c>
    </row>
    <row r="334" spans="1:11" ht="14.4" hidden="1" x14ac:dyDescent="0.3">
      <c r="A334" s="1" t="s">
        <v>29</v>
      </c>
      <c r="B334" s="1" t="s">
        <v>38</v>
      </c>
      <c r="C334" s="1" t="s">
        <v>13</v>
      </c>
      <c r="D334" s="1" t="s">
        <v>53</v>
      </c>
      <c r="E334" s="1">
        <v>20</v>
      </c>
      <c r="F334" s="1">
        <v>416</v>
      </c>
      <c r="G334" s="1">
        <v>12</v>
      </c>
      <c r="H334" s="2">
        <v>46145</v>
      </c>
      <c r="I334" s="2">
        <v>46146</v>
      </c>
      <c r="J334" s="1" t="s">
        <v>51</v>
      </c>
      <c r="K334" s="1">
        <v>1333</v>
      </c>
    </row>
    <row r="335" spans="1:11" ht="14.4" hidden="1" x14ac:dyDescent="0.3">
      <c r="A335" s="1" t="s">
        <v>40</v>
      </c>
      <c r="B335" s="1" t="s">
        <v>12</v>
      </c>
      <c r="C335" s="1" t="s">
        <v>34</v>
      </c>
      <c r="D335" s="1" t="s">
        <v>41</v>
      </c>
      <c r="E335" s="1">
        <v>15</v>
      </c>
      <c r="F335" s="1">
        <v>39853</v>
      </c>
      <c r="G335" s="1">
        <v>7</v>
      </c>
      <c r="H335" s="2">
        <v>46038</v>
      </c>
      <c r="I335" s="2">
        <v>46047</v>
      </c>
      <c r="J335" s="1" t="s">
        <v>51</v>
      </c>
      <c r="K335" s="1">
        <v>1334</v>
      </c>
    </row>
    <row r="336" spans="1:11" ht="14.4" hidden="1" x14ac:dyDescent="0.3">
      <c r="A336" s="1" t="s">
        <v>47</v>
      </c>
      <c r="B336" s="1" t="s">
        <v>17</v>
      </c>
      <c r="C336" s="1" t="s">
        <v>18</v>
      </c>
      <c r="D336" s="1" t="s">
        <v>19</v>
      </c>
      <c r="E336" s="1">
        <v>9</v>
      </c>
      <c r="F336" s="1">
        <v>1495</v>
      </c>
      <c r="G336" s="1">
        <v>12</v>
      </c>
      <c r="H336" s="2">
        <v>46168</v>
      </c>
      <c r="I336" s="2">
        <v>46173</v>
      </c>
      <c r="J336" s="1" t="s">
        <v>15</v>
      </c>
      <c r="K336" s="1">
        <v>1335</v>
      </c>
    </row>
    <row r="337" spans="1:11" ht="14.4" hidden="1" x14ac:dyDescent="0.3">
      <c r="A337" s="1" t="s">
        <v>16</v>
      </c>
      <c r="B337" s="1" t="s">
        <v>25</v>
      </c>
      <c r="C337" s="1" t="s">
        <v>18</v>
      </c>
      <c r="D337" s="1" t="s">
        <v>56</v>
      </c>
      <c r="E337" s="1">
        <v>10</v>
      </c>
      <c r="F337" s="1">
        <v>5624</v>
      </c>
      <c r="G337" s="1">
        <v>0</v>
      </c>
      <c r="H337" s="2">
        <v>46086</v>
      </c>
      <c r="I337" s="2">
        <v>46092</v>
      </c>
      <c r="J337" s="1" t="s">
        <v>29</v>
      </c>
      <c r="K337" s="1">
        <v>1336</v>
      </c>
    </row>
    <row r="338" spans="1:11" ht="14.4" hidden="1" x14ac:dyDescent="0.3">
      <c r="A338" s="1" t="s">
        <v>16</v>
      </c>
      <c r="B338" s="1" t="s">
        <v>12</v>
      </c>
      <c r="C338" s="1" t="s">
        <v>13</v>
      </c>
      <c r="D338" s="1" t="s">
        <v>53</v>
      </c>
      <c r="E338" s="1">
        <v>14</v>
      </c>
      <c r="F338" s="1">
        <v>373</v>
      </c>
      <c r="G338" s="1">
        <v>10</v>
      </c>
      <c r="H338" s="2">
        <v>46074</v>
      </c>
      <c r="I338" s="2">
        <v>46080</v>
      </c>
      <c r="J338" s="1" t="s">
        <v>29</v>
      </c>
      <c r="K338" s="1">
        <v>1337</v>
      </c>
    </row>
    <row r="339" spans="1:11" ht="14.4" hidden="1" x14ac:dyDescent="0.3">
      <c r="A339" s="1" t="s">
        <v>59</v>
      </c>
      <c r="B339" s="1" t="s">
        <v>25</v>
      </c>
      <c r="C339" s="1" t="s">
        <v>34</v>
      </c>
      <c r="D339" s="1" t="s">
        <v>60</v>
      </c>
      <c r="E339" s="1">
        <v>10</v>
      </c>
      <c r="F339" s="1">
        <v>16719</v>
      </c>
      <c r="G339" s="1">
        <v>5</v>
      </c>
      <c r="H339" s="2">
        <v>46177</v>
      </c>
      <c r="I339" s="2">
        <v>46179</v>
      </c>
      <c r="J339" s="1" t="s">
        <v>15</v>
      </c>
      <c r="K339" s="1">
        <v>1338</v>
      </c>
    </row>
    <row r="340" spans="1:11" ht="14.4" hidden="1" x14ac:dyDescent="0.3">
      <c r="A340" s="1" t="s">
        <v>32</v>
      </c>
      <c r="B340" s="1" t="s">
        <v>25</v>
      </c>
      <c r="C340" s="1" t="s">
        <v>13</v>
      </c>
      <c r="D340" s="1" t="s">
        <v>14</v>
      </c>
      <c r="E340" s="1">
        <v>6</v>
      </c>
      <c r="F340" s="1">
        <v>302</v>
      </c>
      <c r="G340" s="1">
        <v>5</v>
      </c>
      <c r="H340" s="2">
        <v>46142</v>
      </c>
      <c r="I340" s="2">
        <v>46148</v>
      </c>
      <c r="J340" s="1" t="s">
        <v>20</v>
      </c>
      <c r="K340" s="1">
        <v>1339</v>
      </c>
    </row>
    <row r="341" spans="1:11" ht="14.4" hidden="1" x14ac:dyDescent="0.3">
      <c r="A341" s="1" t="s">
        <v>48</v>
      </c>
      <c r="B341" s="1" t="s">
        <v>17</v>
      </c>
      <c r="C341" s="1" t="s">
        <v>18</v>
      </c>
      <c r="D341" s="1" t="s">
        <v>19</v>
      </c>
      <c r="E341" s="1">
        <v>12</v>
      </c>
      <c r="F341" s="1">
        <v>3857</v>
      </c>
      <c r="G341" s="1">
        <v>12</v>
      </c>
      <c r="H341" s="2">
        <v>46196</v>
      </c>
      <c r="I341" s="2">
        <v>46198</v>
      </c>
      <c r="J341" s="1" t="s">
        <v>51</v>
      </c>
      <c r="K341" s="1">
        <v>1340</v>
      </c>
    </row>
    <row r="342" spans="1:11" ht="14.4" hidden="1" x14ac:dyDescent="0.3">
      <c r="A342" s="1" t="s">
        <v>57</v>
      </c>
      <c r="B342" s="1" t="s">
        <v>38</v>
      </c>
      <c r="C342" s="1" t="s">
        <v>18</v>
      </c>
      <c r="D342" s="1" t="s">
        <v>19</v>
      </c>
      <c r="E342" s="1">
        <v>19</v>
      </c>
      <c r="F342" s="1">
        <v>6488</v>
      </c>
      <c r="G342" s="1">
        <v>15</v>
      </c>
      <c r="H342" s="2">
        <v>46026</v>
      </c>
      <c r="I342" s="2">
        <v>46030</v>
      </c>
      <c r="J342" s="1" t="s">
        <v>20</v>
      </c>
      <c r="K342" s="1">
        <v>1341</v>
      </c>
    </row>
    <row r="343" spans="1:11" ht="14.4" hidden="1" x14ac:dyDescent="0.3">
      <c r="A343" s="1" t="s">
        <v>59</v>
      </c>
      <c r="B343" s="1" t="s">
        <v>31</v>
      </c>
      <c r="C343" s="1" t="s">
        <v>34</v>
      </c>
      <c r="D343" s="1" t="s">
        <v>35</v>
      </c>
      <c r="E343" s="1">
        <v>13</v>
      </c>
      <c r="F343" s="1">
        <v>47881</v>
      </c>
      <c r="G343" s="1">
        <v>15</v>
      </c>
      <c r="H343" s="2">
        <v>46132</v>
      </c>
      <c r="I343" s="2">
        <v>46139</v>
      </c>
      <c r="J343" s="1" t="s">
        <v>29</v>
      </c>
      <c r="K343" s="1">
        <v>1342</v>
      </c>
    </row>
    <row r="344" spans="1:11" ht="14.4" hidden="1" x14ac:dyDescent="0.3">
      <c r="A344" s="1" t="s">
        <v>59</v>
      </c>
      <c r="B344" s="1" t="s">
        <v>31</v>
      </c>
      <c r="C344" s="1" t="s">
        <v>34</v>
      </c>
      <c r="D344" s="1" t="s">
        <v>39</v>
      </c>
      <c r="E344" s="1">
        <v>14</v>
      </c>
      <c r="F344" s="1">
        <v>32719</v>
      </c>
      <c r="G344" s="1">
        <v>15</v>
      </c>
      <c r="H344" s="2">
        <v>46174</v>
      </c>
      <c r="I344" s="2">
        <v>46179</v>
      </c>
      <c r="J344" s="1" t="s">
        <v>15</v>
      </c>
      <c r="K344" s="1">
        <v>1343</v>
      </c>
    </row>
    <row r="345" spans="1:11" ht="14.4" hidden="1" x14ac:dyDescent="0.3">
      <c r="A345" s="1" t="s">
        <v>30</v>
      </c>
      <c r="B345" s="1" t="s">
        <v>17</v>
      </c>
      <c r="C345" s="1" t="s">
        <v>13</v>
      </c>
      <c r="D345" s="1" t="s">
        <v>53</v>
      </c>
      <c r="E345" s="1">
        <v>18</v>
      </c>
      <c r="F345" s="1">
        <v>240</v>
      </c>
      <c r="G345" s="1">
        <v>10</v>
      </c>
      <c r="H345" s="2">
        <v>46155</v>
      </c>
      <c r="I345" s="2">
        <v>46156</v>
      </c>
      <c r="J345" s="1" t="s">
        <v>24</v>
      </c>
      <c r="K345" s="1">
        <v>1344</v>
      </c>
    </row>
    <row r="346" spans="1:11" ht="14.4" hidden="1" x14ac:dyDescent="0.3">
      <c r="A346" s="1" t="s">
        <v>32</v>
      </c>
      <c r="B346" s="1" t="s">
        <v>12</v>
      </c>
      <c r="C346" s="1" t="s">
        <v>34</v>
      </c>
      <c r="D346" s="1" t="s">
        <v>45</v>
      </c>
      <c r="E346" s="1">
        <v>12</v>
      </c>
      <c r="F346" s="1">
        <v>50544</v>
      </c>
      <c r="G346" s="1">
        <v>10</v>
      </c>
      <c r="H346" s="2">
        <v>46095</v>
      </c>
      <c r="I346" s="2">
        <v>46097</v>
      </c>
      <c r="J346" s="1" t="s">
        <v>29</v>
      </c>
      <c r="K346" s="1">
        <v>1345</v>
      </c>
    </row>
    <row r="347" spans="1:11" ht="14.4" hidden="1" x14ac:dyDescent="0.3">
      <c r="A347" s="1" t="s">
        <v>32</v>
      </c>
      <c r="B347" s="1" t="s">
        <v>22</v>
      </c>
      <c r="C347" s="1" t="s">
        <v>18</v>
      </c>
      <c r="D347" s="1" t="s">
        <v>19</v>
      </c>
      <c r="E347" s="1">
        <v>16</v>
      </c>
      <c r="F347" s="1">
        <v>6910</v>
      </c>
      <c r="G347" s="1">
        <v>15</v>
      </c>
      <c r="H347" s="2">
        <v>46140</v>
      </c>
      <c r="I347" s="2">
        <v>46142</v>
      </c>
      <c r="J347" s="1" t="s">
        <v>29</v>
      </c>
      <c r="K347" s="1">
        <v>1346</v>
      </c>
    </row>
    <row r="348" spans="1:11" ht="14.4" hidden="1" x14ac:dyDescent="0.3">
      <c r="A348" s="1" t="s">
        <v>29</v>
      </c>
      <c r="B348" s="1" t="s">
        <v>22</v>
      </c>
      <c r="C348" s="1" t="s">
        <v>34</v>
      </c>
      <c r="D348" s="1" t="s">
        <v>35</v>
      </c>
      <c r="E348" s="1">
        <v>16</v>
      </c>
      <c r="F348" s="1">
        <v>6034</v>
      </c>
      <c r="G348" s="1">
        <v>15</v>
      </c>
      <c r="H348" s="2">
        <v>46037</v>
      </c>
      <c r="I348" s="2">
        <v>46044</v>
      </c>
      <c r="J348" s="1" t="s">
        <v>24</v>
      </c>
      <c r="K348" s="1">
        <v>1347</v>
      </c>
    </row>
    <row r="349" spans="1:11" ht="14.4" hidden="1" x14ac:dyDescent="0.3">
      <c r="A349" s="1" t="s">
        <v>11</v>
      </c>
      <c r="B349" s="1" t="s">
        <v>33</v>
      </c>
      <c r="C349" s="1" t="s">
        <v>13</v>
      </c>
      <c r="D349" s="1" t="s">
        <v>50</v>
      </c>
      <c r="E349" s="1">
        <v>12</v>
      </c>
      <c r="F349" s="1">
        <v>244</v>
      </c>
      <c r="G349" s="1">
        <v>7</v>
      </c>
      <c r="H349" s="2">
        <v>46048</v>
      </c>
      <c r="I349" s="2">
        <v>46053</v>
      </c>
      <c r="J349" s="1" t="s">
        <v>15</v>
      </c>
      <c r="K349" s="1">
        <v>1348</v>
      </c>
    </row>
    <row r="350" spans="1:11" ht="14.4" hidden="1" x14ac:dyDescent="0.3">
      <c r="A350" s="1" t="s">
        <v>40</v>
      </c>
      <c r="B350" s="1" t="s">
        <v>33</v>
      </c>
      <c r="C350" s="1" t="s">
        <v>34</v>
      </c>
      <c r="D350" s="1" t="s">
        <v>35</v>
      </c>
      <c r="E350" s="1">
        <v>20</v>
      </c>
      <c r="F350" s="1">
        <v>62721</v>
      </c>
      <c r="G350" s="1">
        <v>7</v>
      </c>
      <c r="H350" s="2">
        <v>46079</v>
      </c>
      <c r="I350" s="2">
        <v>46083</v>
      </c>
      <c r="J350" s="1" t="s">
        <v>20</v>
      </c>
      <c r="K350" s="1">
        <v>1349</v>
      </c>
    </row>
    <row r="351" spans="1:11" ht="14.4" hidden="1" x14ac:dyDescent="0.3">
      <c r="A351" s="1" t="s">
        <v>26</v>
      </c>
      <c r="B351" s="1" t="s">
        <v>43</v>
      </c>
      <c r="C351" s="1" t="s">
        <v>18</v>
      </c>
      <c r="D351" s="1" t="s">
        <v>28</v>
      </c>
      <c r="E351" s="1">
        <v>16</v>
      </c>
      <c r="F351" s="1">
        <v>11790</v>
      </c>
      <c r="G351" s="1">
        <v>12</v>
      </c>
      <c r="H351" s="2">
        <v>46185</v>
      </c>
      <c r="I351" s="2">
        <v>46190</v>
      </c>
      <c r="J351" s="1" t="s">
        <v>29</v>
      </c>
      <c r="K351" s="1">
        <v>1350</v>
      </c>
    </row>
    <row r="352" spans="1:11" ht="14.4" hidden="1" x14ac:dyDescent="0.3">
      <c r="A352" s="1" t="s">
        <v>42</v>
      </c>
      <c r="B352" s="1" t="s">
        <v>33</v>
      </c>
      <c r="C352" s="1" t="s">
        <v>34</v>
      </c>
      <c r="D352" s="1" t="s">
        <v>45</v>
      </c>
      <c r="E352" s="1">
        <v>12</v>
      </c>
      <c r="F352" s="1">
        <v>1272</v>
      </c>
      <c r="G352" s="1">
        <v>0</v>
      </c>
      <c r="H352" s="2">
        <v>46026</v>
      </c>
      <c r="I352" s="2">
        <v>46029</v>
      </c>
      <c r="J352" s="1" t="s">
        <v>15</v>
      </c>
      <c r="K352" s="1">
        <v>1351</v>
      </c>
    </row>
    <row r="353" spans="1:11" ht="14.4" hidden="1" x14ac:dyDescent="0.3">
      <c r="A353" s="1" t="s">
        <v>54</v>
      </c>
      <c r="B353" s="1" t="s">
        <v>22</v>
      </c>
      <c r="C353" s="1" t="s">
        <v>13</v>
      </c>
      <c r="D353" s="1" t="s">
        <v>14</v>
      </c>
      <c r="E353" s="1">
        <v>12</v>
      </c>
      <c r="F353" s="1">
        <v>203</v>
      </c>
      <c r="G353" s="1">
        <v>5</v>
      </c>
      <c r="H353" s="2">
        <v>46024</v>
      </c>
      <c r="I353" s="2">
        <v>46033</v>
      </c>
      <c r="J353" s="1" t="s">
        <v>15</v>
      </c>
      <c r="K353" s="1">
        <v>1352</v>
      </c>
    </row>
    <row r="354" spans="1:11" ht="14.4" hidden="1" x14ac:dyDescent="0.3">
      <c r="A354" s="1" t="s">
        <v>47</v>
      </c>
      <c r="B354" s="1" t="s">
        <v>43</v>
      </c>
      <c r="C354" s="1" t="s">
        <v>13</v>
      </c>
      <c r="D354" s="1" t="s">
        <v>14</v>
      </c>
      <c r="E354" s="1">
        <v>6</v>
      </c>
      <c r="F354" s="1">
        <v>495</v>
      </c>
      <c r="G354" s="1">
        <v>2</v>
      </c>
      <c r="H354" s="2">
        <v>46194</v>
      </c>
      <c r="I354" s="2">
        <v>46200</v>
      </c>
      <c r="J354" s="1" t="s">
        <v>24</v>
      </c>
      <c r="K354" s="1">
        <v>1353</v>
      </c>
    </row>
    <row r="355" spans="1:11" ht="14.4" hidden="1" x14ac:dyDescent="0.3">
      <c r="A355" s="1" t="s">
        <v>47</v>
      </c>
      <c r="B355" s="1" t="s">
        <v>43</v>
      </c>
      <c r="C355" s="1" t="s">
        <v>34</v>
      </c>
      <c r="D355" s="1" t="s">
        <v>35</v>
      </c>
      <c r="E355" s="1">
        <v>15</v>
      </c>
      <c r="F355" s="1">
        <v>14927</v>
      </c>
      <c r="G355" s="1">
        <v>15</v>
      </c>
      <c r="H355" s="2">
        <v>46118</v>
      </c>
      <c r="I355" s="2">
        <v>46120</v>
      </c>
      <c r="J355" s="1" t="s">
        <v>51</v>
      </c>
      <c r="K355" s="1">
        <v>1354</v>
      </c>
    </row>
    <row r="356" spans="1:11" ht="14.4" hidden="1" x14ac:dyDescent="0.3">
      <c r="A356" s="1" t="s">
        <v>27</v>
      </c>
      <c r="B356" s="1" t="s">
        <v>12</v>
      </c>
      <c r="C356" s="1" t="s">
        <v>34</v>
      </c>
      <c r="D356" s="1" t="s">
        <v>60</v>
      </c>
      <c r="E356" s="1">
        <v>18</v>
      </c>
      <c r="F356" s="1">
        <v>35997</v>
      </c>
      <c r="G356" s="1">
        <v>2</v>
      </c>
      <c r="H356" s="2">
        <v>46024</v>
      </c>
      <c r="I356" s="2">
        <v>46031</v>
      </c>
      <c r="J356" s="1" t="s">
        <v>51</v>
      </c>
      <c r="K356" s="1">
        <v>1355</v>
      </c>
    </row>
    <row r="357" spans="1:11" ht="14.4" hidden="1" x14ac:dyDescent="0.3">
      <c r="A357" s="1" t="s">
        <v>26</v>
      </c>
      <c r="B357" s="1" t="s">
        <v>38</v>
      </c>
      <c r="C357" s="1" t="s">
        <v>34</v>
      </c>
      <c r="D357" s="1" t="s">
        <v>60</v>
      </c>
      <c r="E357" s="1">
        <v>16</v>
      </c>
      <c r="F357" s="1">
        <v>53457</v>
      </c>
      <c r="G357" s="1">
        <v>10</v>
      </c>
      <c r="H357" s="2">
        <v>46201</v>
      </c>
      <c r="I357" s="2">
        <v>46204</v>
      </c>
      <c r="J357" s="1" t="s">
        <v>15</v>
      </c>
      <c r="K357" s="1">
        <v>1356</v>
      </c>
    </row>
    <row r="358" spans="1:11" ht="14.4" hidden="1" x14ac:dyDescent="0.3">
      <c r="A358" s="1" t="s">
        <v>59</v>
      </c>
      <c r="B358" s="1" t="s">
        <v>25</v>
      </c>
      <c r="C358" s="1" t="s">
        <v>13</v>
      </c>
      <c r="D358" s="1" t="s">
        <v>37</v>
      </c>
      <c r="E358" s="1">
        <v>6</v>
      </c>
      <c r="F358" s="1">
        <v>365</v>
      </c>
      <c r="G358" s="1">
        <v>7</v>
      </c>
      <c r="H358" s="2">
        <v>46133</v>
      </c>
      <c r="I358" s="2">
        <v>46140</v>
      </c>
      <c r="J358" s="1" t="s">
        <v>51</v>
      </c>
      <c r="K358" s="1">
        <v>1357</v>
      </c>
    </row>
    <row r="359" spans="1:11" ht="14.4" hidden="1" x14ac:dyDescent="0.3">
      <c r="A359" s="1" t="s">
        <v>40</v>
      </c>
      <c r="B359" s="1" t="s">
        <v>38</v>
      </c>
      <c r="C359" s="1" t="s">
        <v>18</v>
      </c>
      <c r="D359" s="1" t="s">
        <v>19</v>
      </c>
      <c r="E359" s="1">
        <v>7</v>
      </c>
      <c r="F359" s="1">
        <v>6618</v>
      </c>
      <c r="G359" s="1">
        <v>0</v>
      </c>
      <c r="H359" s="2">
        <v>46127</v>
      </c>
      <c r="I359" s="2">
        <v>46129</v>
      </c>
      <c r="J359" s="1" t="s">
        <v>20</v>
      </c>
      <c r="K359" s="1">
        <v>1358</v>
      </c>
    </row>
    <row r="360" spans="1:11" ht="14.4" hidden="1" x14ac:dyDescent="0.3">
      <c r="A360" s="1" t="s">
        <v>54</v>
      </c>
      <c r="B360" s="1" t="s">
        <v>12</v>
      </c>
      <c r="C360" s="1" t="s">
        <v>34</v>
      </c>
      <c r="D360" s="1" t="s">
        <v>61</v>
      </c>
      <c r="E360" s="1">
        <v>9</v>
      </c>
      <c r="F360" s="1">
        <v>38179</v>
      </c>
      <c r="G360" s="1">
        <v>0</v>
      </c>
      <c r="H360" s="2">
        <v>46096</v>
      </c>
      <c r="I360" s="2">
        <v>46099</v>
      </c>
      <c r="J360" s="1" t="s">
        <v>15</v>
      </c>
      <c r="K360" s="1">
        <v>1359</v>
      </c>
    </row>
    <row r="361" spans="1:11" ht="14.4" hidden="1" x14ac:dyDescent="0.3">
      <c r="A361" s="1" t="s">
        <v>11</v>
      </c>
      <c r="B361" s="1" t="s">
        <v>43</v>
      </c>
      <c r="C361" s="1" t="s">
        <v>18</v>
      </c>
      <c r="D361" s="1" t="s">
        <v>23</v>
      </c>
      <c r="E361" s="1">
        <v>19</v>
      </c>
      <c r="F361" s="1">
        <v>6681</v>
      </c>
      <c r="G361" s="1">
        <v>2</v>
      </c>
      <c r="H361" s="2">
        <v>46146</v>
      </c>
      <c r="I361" s="2">
        <v>46150</v>
      </c>
      <c r="J361" s="1" t="s">
        <v>15</v>
      </c>
      <c r="K361" s="1">
        <v>1360</v>
      </c>
    </row>
    <row r="362" spans="1:11" ht="14.4" hidden="1" x14ac:dyDescent="0.3">
      <c r="A362" s="1" t="s">
        <v>42</v>
      </c>
      <c r="B362" s="1" t="s">
        <v>17</v>
      </c>
      <c r="C362" s="1" t="s">
        <v>18</v>
      </c>
      <c r="D362" s="1" t="s">
        <v>23</v>
      </c>
      <c r="E362" s="1">
        <v>2</v>
      </c>
      <c r="F362" s="1">
        <v>1822</v>
      </c>
      <c r="G362" s="1">
        <v>5</v>
      </c>
      <c r="H362" s="2">
        <v>46141</v>
      </c>
      <c r="I362" s="2">
        <v>46145</v>
      </c>
      <c r="J362" s="1" t="s">
        <v>20</v>
      </c>
      <c r="K362" s="1">
        <v>1361</v>
      </c>
    </row>
    <row r="363" spans="1:11" ht="14.4" hidden="1" x14ac:dyDescent="0.3">
      <c r="A363" s="1" t="s">
        <v>16</v>
      </c>
      <c r="B363" s="1" t="s">
        <v>12</v>
      </c>
      <c r="C363" s="1" t="s">
        <v>18</v>
      </c>
      <c r="D363" s="1" t="s">
        <v>28</v>
      </c>
      <c r="E363" s="1">
        <v>1</v>
      </c>
      <c r="F363" s="1">
        <v>10474</v>
      </c>
      <c r="G363" s="1">
        <v>0</v>
      </c>
      <c r="H363" s="2">
        <v>46094</v>
      </c>
      <c r="I363" s="2">
        <v>46096</v>
      </c>
      <c r="J363" s="1" t="s">
        <v>29</v>
      </c>
      <c r="K363" s="1">
        <v>1362</v>
      </c>
    </row>
    <row r="364" spans="1:11" ht="14.4" hidden="1" x14ac:dyDescent="0.3">
      <c r="A364" s="1" t="s">
        <v>27</v>
      </c>
      <c r="B364" s="1" t="s">
        <v>25</v>
      </c>
      <c r="C364" s="1" t="s">
        <v>34</v>
      </c>
      <c r="D364" s="1" t="s">
        <v>35</v>
      </c>
      <c r="E364" s="1">
        <v>7</v>
      </c>
      <c r="F364" s="1">
        <v>45381</v>
      </c>
      <c r="G364" s="1">
        <v>0</v>
      </c>
      <c r="H364" s="2">
        <v>46122</v>
      </c>
      <c r="I364" s="2">
        <v>46128</v>
      </c>
      <c r="J364" s="1" t="s">
        <v>15</v>
      </c>
      <c r="K364" s="1">
        <v>1363</v>
      </c>
    </row>
    <row r="365" spans="1:11" ht="14.4" hidden="1" x14ac:dyDescent="0.3">
      <c r="A365" s="1" t="s">
        <v>30</v>
      </c>
      <c r="B365" s="1" t="s">
        <v>22</v>
      </c>
      <c r="C365" s="1" t="s">
        <v>18</v>
      </c>
      <c r="D365" s="1" t="s">
        <v>56</v>
      </c>
      <c r="E365" s="1">
        <v>16</v>
      </c>
      <c r="F365" s="1">
        <v>1744</v>
      </c>
      <c r="G365" s="1">
        <v>15</v>
      </c>
      <c r="H365" s="2">
        <v>46031</v>
      </c>
      <c r="I365" s="2">
        <v>46033</v>
      </c>
      <c r="J365" s="1" t="s">
        <v>51</v>
      </c>
      <c r="K365" s="1">
        <v>1364</v>
      </c>
    </row>
    <row r="366" spans="1:11" ht="14.4" hidden="1" x14ac:dyDescent="0.3">
      <c r="A366" s="1" t="s">
        <v>46</v>
      </c>
      <c r="B366" s="1" t="s">
        <v>33</v>
      </c>
      <c r="C366" s="1" t="s">
        <v>13</v>
      </c>
      <c r="D366" s="1" t="s">
        <v>50</v>
      </c>
      <c r="E366" s="1">
        <v>17</v>
      </c>
      <c r="F366" s="1">
        <v>119</v>
      </c>
      <c r="G366" s="1">
        <v>7</v>
      </c>
      <c r="H366" s="2">
        <v>46070</v>
      </c>
      <c r="I366" s="2">
        <v>46072</v>
      </c>
      <c r="J366" s="1" t="s">
        <v>20</v>
      </c>
      <c r="K366" s="1">
        <v>1365</v>
      </c>
    </row>
    <row r="367" spans="1:11" ht="14.4" hidden="1" x14ac:dyDescent="0.3">
      <c r="A367" s="1" t="s">
        <v>26</v>
      </c>
      <c r="B367" s="1" t="s">
        <v>17</v>
      </c>
      <c r="C367" s="1" t="s">
        <v>34</v>
      </c>
      <c r="D367" s="1" t="s">
        <v>61</v>
      </c>
      <c r="E367" s="1">
        <v>20</v>
      </c>
      <c r="F367" s="1">
        <v>44312</v>
      </c>
      <c r="G367" s="1">
        <v>10</v>
      </c>
      <c r="H367" s="2">
        <v>46047</v>
      </c>
      <c r="I367" s="2">
        <v>46054</v>
      </c>
      <c r="J367" s="1" t="s">
        <v>29</v>
      </c>
      <c r="K367" s="1">
        <v>1366</v>
      </c>
    </row>
    <row r="368" spans="1:11" ht="14.4" hidden="1" x14ac:dyDescent="0.3">
      <c r="A368" s="1" t="s">
        <v>54</v>
      </c>
      <c r="B368" s="1" t="s">
        <v>25</v>
      </c>
      <c r="C368" s="1" t="s">
        <v>13</v>
      </c>
      <c r="D368" s="1" t="s">
        <v>53</v>
      </c>
      <c r="E368" s="1">
        <v>1</v>
      </c>
      <c r="F368" s="1">
        <v>371</v>
      </c>
      <c r="G368" s="1">
        <v>5</v>
      </c>
      <c r="H368" s="2">
        <v>46158</v>
      </c>
      <c r="I368" s="2">
        <v>46168</v>
      </c>
      <c r="J368" s="1" t="s">
        <v>29</v>
      </c>
      <c r="K368" s="1">
        <v>1367</v>
      </c>
    </row>
    <row r="369" spans="1:11" ht="14.4" hidden="1" x14ac:dyDescent="0.3">
      <c r="A369" s="1" t="s">
        <v>55</v>
      </c>
      <c r="B369" s="1" t="s">
        <v>38</v>
      </c>
      <c r="C369" s="1" t="s">
        <v>13</v>
      </c>
      <c r="D369" s="1" t="s">
        <v>36</v>
      </c>
      <c r="E369" s="1">
        <v>9</v>
      </c>
      <c r="F369" s="1">
        <v>115</v>
      </c>
      <c r="G369" s="1">
        <v>0</v>
      </c>
      <c r="H369" s="2">
        <v>46036</v>
      </c>
      <c r="I369" s="2">
        <v>46045</v>
      </c>
      <c r="J369" s="1" t="s">
        <v>24</v>
      </c>
      <c r="K369" s="1">
        <v>1368</v>
      </c>
    </row>
    <row r="370" spans="1:11" ht="14.4" hidden="1" x14ac:dyDescent="0.3">
      <c r="A370" s="1" t="s">
        <v>57</v>
      </c>
      <c r="B370" s="1" t="s">
        <v>25</v>
      </c>
      <c r="C370" s="1" t="s">
        <v>18</v>
      </c>
      <c r="D370" s="1" t="s">
        <v>19</v>
      </c>
      <c r="E370" s="1">
        <v>19</v>
      </c>
      <c r="F370" s="1">
        <v>5840</v>
      </c>
      <c r="G370" s="1">
        <v>5</v>
      </c>
      <c r="H370" s="2">
        <v>46062</v>
      </c>
      <c r="I370" s="2">
        <v>46067</v>
      </c>
      <c r="J370" s="1" t="s">
        <v>15</v>
      </c>
      <c r="K370" s="1">
        <v>1369</v>
      </c>
    </row>
    <row r="371" spans="1:11" ht="14.4" hidden="1" x14ac:dyDescent="0.3">
      <c r="A371" s="1" t="s">
        <v>59</v>
      </c>
      <c r="B371" s="1" t="s">
        <v>38</v>
      </c>
      <c r="C371" s="1" t="s">
        <v>13</v>
      </c>
      <c r="D371" s="1" t="s">
        <v>53</v>
      </c>
      <c r="E371" s="1">
        <v>13</v>
      </c>
      <c r="F371" s="1">
        <v>337</v>
      </c>
      <c r="G371" s="1">
        <v>7</v>
      </c>
      <c r="H371" s="2">
        <v>46184</v>
      </c>
      <c r="I371" s="2">
        <v>46188</v>
      </c>
      <c r="J371" s="1" t="s">
        <v>15</v>
      </c>
      <c r="K371" s="1">
        <v>1370</v>
      </c>
    </row>
    <row r="372" spans="1:11" ht="14.4" hidden="1" x14ac:dyDescent="0.3">
      <c r="A372" s="1" t="s">
        <v>48</v>
      </c>
      <c r="B372" s="1" t="s">
        <v>38</v>
      </c>
      <c r="C372" s="1" t="s">
        <v>18</v>
      </c>
      <c r="D372" s="1" t="s">
        <v>19</v>
      </c>
      <c r="E372" s="1">
        <v>19</v>
      </c>
      <c r="F372" s="1">
        <v>1087</v>
      </c>
      <c r="G372" s="1">
        <v>15</v>
      </c>
      <c r="H372" s="2">
        <v>46072</v>
      </c>
      <c r="I372" s="2">
        <v>46082</v>
      </c>
      <c r="J372" s="1" t="s">
        <v>20</v>
      </c>
      <c r="K372" s="1">
        <v>1371</v>
      </c>
    </row>
    <row r="373" spans="1:11" ht="14.4" hidden="1" x14ac:dyDescent="0.3">
      <c r="A373" s="1" t="s">
        <v>48</v>
      </c>
      <c r="B373" s="1" t="s">
        <v>17</v>
      </c>
      <c r="C373" s="1" t="s">
        <v>34</v>
      </c>
      <c r="D373" s="1" t="s">
        <v>39</v>
      </c>
      <c r="E373" s="1">
        <v>9</v>
      </c>
      <c r="F373" s="1">
        <v>9551</v>
      </c>
      <c r="G373" s="1">
        <v>10</v>
      </c>
      <c r="H373" s="2">
        <v>46161</v>
      </c>
      <c r="I373" s="2">
        <v>46168</v>
      </c>
      <c r="J373" s="1" t="s">
        <v>15</v>
      </c>
      <c r="K373" s="1">
        <v>1372</v>
      </c>
    </row>
    <row r="374" spans="1:11" ht="14.4" hidden="1" x14ac:dyDescent="0.3">
      <c r="A374" s="1" t="s">
        <v>54</v>
      </c>
      <c r="B374" s="1" t="s">
        <v>25</v>
      </c>
      <c r="C374" s="1" t="s">
        <v>34</v>
      </c>
      <c r="D374" s="1" t="s">
        <v>60</v>
      </c>
      <c r="E374" s="1">
        <v>11</v>
      </c>
      <c r="F374" s="1">
        <v>47930</v>
      </c>
      <c r="G374" s="1">
        <v>12</v>
      </c>
      <c r="H374" s="2">
        <v>46191</v>
      </c>
      <c r="I374" s="2">
        <v>46201</v>
      </c>
      <c r="J374" s="1" t="s">
        <v>20</v>
      </c>
      <c r="K374" s="1">
        <v>1373</v>
      </c>
    </row>
    <row r="375" spans="1:11" ht="14.4" hidden="1" x14ac:dyDescent="0.3">
      <c r="A375" s="1" t="s">
        <v>57</v>
      </c>
      <c r="B375" s="1" t="s">
        <v>33</v>
      </c>
      <c r="C375" s="1" t="s">
        <v>34</v>
      </c>
      <c r="D375" s="1" t="s">
        <v>35</v>
      </c>
      <c r="E375" s="1">
        <v>12</v>
      </c>
      <c r="F375" s="1">
        <v>66052</v>
      </c>
      <c r="G375" s="1">
        <v>2</v>
      </c>
      <c r="H375" s="2">
        <v>46063</v>
      </c>
      <c r="I375" s="2">
        <v>46066</v>
      </c>
      <c r="J375" s="1" t="s">
        <v>51</v>
      </c>
      <c r="K375" s="1">
        <v>1374</v>
      </c>
    </row>
    <row r="376" spans="1:11" ht="14.4" hidden="1" x14ac:dyDescent="0.3">
      <c r="A376" s="1" t="s">
        <v>46</v>
      </c>
      <c r="B376" s="1" t="s">
        <v>43</v>
      </c>
      <c r="C376" s="1" t="s">
        <v>34</v>
      </c>
      <c r="D376" s="1" t="s">
        <v>45</v>
      </c>
      <c r="E376" s="1">
        <v>20</v>
      </c>
      <c r="F376" s="1">
        <v>56766</v>
      </c>
      <c r="G376" s="1">
        <v>0</v>
      </c>
      <c r="H376" s="2">
        <v>46052</v>
      </c>
      <c r="I376" s="2">
        <v>46061</v>
      </c>
      <c r="J376" s="1" t="s">
        <v>24</v>
      </c>
      <c r="K376" s="1">
        <v>1375</v>
      </c>
    </row>
    <row r="377" spans="1:11" ht="14.4" hidden="1" x14ac:dyDescent="0.3">
      <c r="A377" s="1" t="s">
        <v>52</v>
      </c>
      <c r="B377" s="1" t="s">
        <v>31</v>
      </c>
      <c r="C377" s="1" t="s">
        <v>13</v>
      </c>
      <c r="D377" s="1" t="s">
        <v>50</v>
      </c>
      <c r="E377" s="1">
        <v>20</v>
      </c>
      <c r="F377" s="1">
        <v>429</v>
      </c>
      <c r="G377" s="1">
        <v>5</v>
      </c>
      <c r="H377" s="2">
        <v>46178</v>
      </c>
      <c r="I377" s="2">
        <v>46184</v>
      </c>
      <c r="J377" s="1" t="s">
        <v>20</v>
      </c>
      <c r="K377" s="1">
        <v>1376</v>
      </c>
    </row>
    <row r="378" spans="1:11" ht="14.4" hidden="1" x14ac:dyDescent="0.3">
      <c r="A378" s="1" t="s">
        <v>32</v>
      </c>
      <c r="B378" s="1" t="s">
        <v>38</v>
      </c>
      <c r="C378" s="1" t="s">
        <v>18</v>
      </c>
      <c r="D378" s="1" t="s">
        <v>19</v>
      </c>
      <c r="E378" s="1">
        <v>3</v>
      </c>
      <c r="F378" s="1">
        <v>5480</v>
      </c>
      <c r="G378" s="1">
        <v>12</v>
      </c>
      <c r="H378" s="2">
        <v>46105</v>
      </c>
      <c r="I378" s="2">
        <v>46111</v>
      </c>
      <c r="J378" s="1" t="s">
        <v>24</v>
      </c>
      <c r="K378" s="1">
        <v>1377</v>
      </c>
    </row>
    <row r="379" spans="1:11" ht="14.4" hidden="1" x14ac:dyDescent="0.3">
      <c r="A379" s="1" t="s">
        <v>55</v>
      </c>
      <c r="B379" s="1" t="s">
        <v>22</v>
      </c>
      <c r="C379" s="1" t="s">
        <v>34</v>
      </c>
      <c r="D379" s="1" t="s">
        <v>45</v>
      </c>
      <c r="E379" s="1">
        <v>15</v>
      </c>
      <c r="F379" s="1">
        <v>22693</v>
      </c>
      <c r="G379" s="1">
        <v>12</v>
      </c>
      <c r="H379" s="2">
        <v>46074</v>
      </c>
      <c r="I379" s="2">
        <v>46080</v>
      </c>
      <c r="J379" s="1" t="s">
        <v>51</v>
      </c>
      <c r="K379" s="1">
        <v>1378</v>
      </c>
    </row>
    <row r="380" spans="1:11" ht="14.4" hidden="1" x14ac:dyDescent="0.3">
      <c r="A380" s="1" t="s">
        <v>47</v>
      </c>
      <c r="B380" s="1" t="s">
        <v>17</v>
      </c>
      <c r="C380" s="1" t="s">
        <v>13</v>
      </c>
      <c r="D380" s="1" t="s">
        <v>14</v>
      </c>
      <c r="E380" s="1">
        <v>11</v>
      </c>
      <c r="F380" s="1">
        <v>136</v>
      </c>
      <c r="G380" s="1">
        <v>15</v>
      </c>
      <c r="H380" s="2">
        <v>46106</v>
      </c>
      <c r="I380" s="2">
        <v>46107</v>
      </c>
      <c r="J380" s="1" t="s">
        <v>20</v>
      </c>
      <c r="K380" s="1">
        <v>1379</v>
      </c>
    </row>
    <row r="381" spans="1:11" ht="14.4" hidden="1" x14ac:dyDescent="0.3">
      <c r="A381" s="1" t="s">
        <v>52</v>
      </c>
      <c r="B381" s="1" t="s">
        <v>43</v>
      </c>
      <c r="C381" s="1" t="s">
        <v>13</v>
      </c>
      <c r="D381" s="1" t="s">
        <v>53</v>
      </c>
      <c r="E381" s="1">
        <v>3</v>
      </c>
      <c r="F381" s="1">
        <v>412</v>
      </c>
      <c r="G381" s="1">
        <v>7</v>
      </c>
      <c r="H381" s="2">
        <v>46128</v>
      </c>
      <c r="I381" s="2">
        <v>46138</v>
      </c>
      <c r="J381" s="1" t="s">
        <v>24</v>
      </c>
      <c r="K381" s="1">
        <v>1380</v>
      </c>
    </row>
    <row r="382" spans="1:11" ht="14.4" hidden="1" x14ac:dyDescent="0.3">
      <c r="A382" s="1" t="s">
        <v>55</v>
      </c>
      <c r="B382" s="1" t="s">
        <v>33</v>
      </c>
      <c r="C382" s="1" t="s">
        <v>18</v>
      </c>
      <c r="D382" s="1" t="s">
        <v>28</v>
      </c>
      <c r="E382" s="1">
        <v>5</v>
      </c>
      <c r="F382" s="1">
        <v>7484</v>
      </c>
      <c r="G382" s="1">
        <v>2</v>
      </c>
      <c r="H382" s="2">
        <v>46089</v>
      </c>
      <c r="I382" s="2">
        <v>46093</v>
      </c>
      <c r="J382" s="1" t="s">
        <v>20</v>
      </c>
      <c r="K382" s="1">
        <v>1381</v>
      </c>
    </row>
    <row r="383" spans="1:11" ht="14.4" hidden="1" x14ac:dyDescent="0.3">
      <c r="A383" s="1" t="s">
        <v>49</v>
      </c>
      <c r="B383" s="1" t="s">
        <v>33</v>
      </c>
      <c r="C383" s="1" t="s">
        <v>34</v>
      </c>
      <c r="D383" s="1" t="s">
        <v>60</v>
      </c>
      <c r="E383" s="1">
        <v>11</v>
      </c>
      <c r="F383" s="1">
        <v>36198</v>
      </c>
      <c r="G383" s="1">
        <v>0</v>
      </c>
      <c r="H383" s="2">
        <v>46130</v>
      </c>
      <c r="I383" s="2">
        <v>46134</v>
      </c>
      <c r="J383" s="1" t="s">
        <v>15</v>
      </c>
      <c r="K383" s="1">
        <v>1382</v>
      </c>
    </row>
    <row r="384" spans="1:11" ht="14.4" hidden="1" x14ac:dyDescent="0.3">
      <c r="A384" s="1" t="s">
        <v>32</v>
      </c>
      <c r="B384" s="1" t="s">
        <v>12</v>
      </c>
      <c r="C384" s="1" t="s">
        <v>13</v>
      </c>
      <c r="D384" s="1" t="s">
        <v>53</v>
      </c>
      <c r="E384" s="1">
        <v>14</v>
      </c>
      <c r="F384" s="1">
        <v>334</v>
      </c>
      <c r="G384" s="1">
        <v>10</v>
      </c>
      <c r="H384" s="2">
        <v>46196</v>
      </c>
      <c r="I384" s="2">
        <v>46203</v>
      </c>
      <c r="J384" s="1" t="s">
        <v>15</v>
      </c>
      <c r="K384" s="1">
        <v>1383</v>
      </c>
    </row>
    <row r="385" spans="1:11" ht="14.4" hidden="1" x14ac:dyDescent="0.3">
      <c r="A385" s="1" t="s">
        <v>59</v>
      </c>
      <c r="B385" s="1" t="s">
        <v>12</v>
      </c>
      <c r="C385" s="1" t="s">
        <v>34</v>
      </c>
      <c r="D385" s="1" t="s">
        <v>39</v>
      </c>
      <c r="E385" s="1">
        <v>15</v>
      </c>
      <c r="F385" s="1">
        <v>38116</v>
      </c>
      <c r="G385" s="1">
        <v>0</v>
      </c>
      <c r="H385" s="2">
        <v>46074</v>
      </c>
      <c r="I385" s="2">
        <v>46078</v>
      </c>
      <c r="J385" s="1" t="s">
        <v>29</v>
      </c>
      <c r="K385" s="1">
        <v>1384</v>
      </c>
    </row>
    <row r="386" spans="1:11" ht="14.4" hidden="1" x14ac:dyDescent="0.3">
      <c r="A386" s="1" t="s">
        <v>26</v>
      </c>
      <c r="B386" s="1" t="s">
        <v>33</v>
      </c>
      <c r="C386" s="1" t="s">
        <v>34</v>
      </c>
      <c r="D386" s="1" t="s">
        <v>39</v>
      </c>
      <c r="E386" s="1">
        <v>12</v>
      </c>
      <c r="F386" s="1">
        <v>61360</v>
      </c>
      <c r="G386" s="1">
        <v>10</v>
      </c>
      <c r="H386" s="2">
        <v>46048</v>
      </c>
      <c r="I386" s="2">
        <v>46053</v>
      </c>
      <c r="J386" s="1" t="s">
        <v>51</v>
      </c>
      <c r="K386" s="1">
        <v>1385</v>
      </c>
    </row>
    <row r="387" spans="1:11" ht="14.4" hidden="1" x14ac:dyDescent="0.3">
      <c r="A387" s="1" t="s">
        <v>27</v>
      </c>
      <c r="B387" s="1" t="s">
        <v>31</v>
      </c>
      <c r="C387" s="1" t="s">
        <v>18</v>
      </c>
      <c r="D387" s="1" t="s">
        <v>28</v>
      </c>
      <c r="E387" s="1">
        <v>9</v>
      </c>
      <c r="F387" s="1">
        <v>7509</v>
      </c>
      <c r="G387" s="1">
        <v>5</v>
      </c>
      <c r="H387" s="2">
        <v>46162</v>
      </c>
      <c r="I387" s="2">
        <v>46171</v>
      </c>
      <c r="J387" s="1" t="s">
        <v>51</v>
      </c>
      <c r="K387" s="1">
        <v>1386</v>
      </c>
    </row>
    <row r="388" spans="1:11" ht="14.4" hidden="1" x14ac:dyDescent="0.3">
      <c r="A388" s="1" t="s">
        <v>54</v>
      </c>
      <c r="B388" s="1" t="s">
        <v>33</v>
      </c>
      <c r="C388" s="1" t="s">
        <v>34</v>
      </c>
      <c r="D388" s="1" t="s">
        <v>35</v>
      </c>
      <c r="E388" s="1">
        <v>11</v>
      </c>
      <c r="F388" s="1">
        <v>56515</v>
      </c>
      <c r="G388" s="1">
        <v>5</v>
      </c>
      <c r="H388" s="2">
        <v>46102</v>
      </c>
      <c r="I388" s="2">
        <v>46112</v>
      </c>
      <c r="J388" s="1" t="s">
        <v>24</v>
      </c>
      <c r="K388" s="1">
        <v>1387</v>
      </c>
    </row>
    <row r="389" spans="1:11" ht="14.4" hidden="1" x14ac:dyDescent="0.3">
      <c r="A389" s="1" t="s">
        <v>55</v>
      </c>
      <c r="B389" s="1" t="s">
        <v>31</v>
      </c>
      <c r="C389" s="1" t="s">
        <v>18</v>
      </c>
      <c r="D389" s="1" t="s">
        <v>28</v>
      </c>
      <c r="E389" s="1">
        <v>12</v>
      </c>
      <c r="F389" s="1">
        <v>11662</v>
      </c>
      <c r="G389" s="1">
        <v>12</v>
      </c>
      <c r="H389" s="2">
        <v>46094</v>
      </c>
      <c r="I389" s="2">
        <v>46096</v>
      </c>
      <c r="J389" s="1" t="s">
        <v>20</v>
      </c>
      <c r="K389" s="1">
        <v>1388</v>
      </c>
    </row>
    <row r="390" spans="1:11" ht="14.4" hidden="1" x14ac:dyDescent="0.3">
      <c r="A390" s="1" t="s">
        <v>32</v>
      </c>
      <c r="B390" s="1" t="s">
        <v>12</v>
      </c>
      <c r="C390" s="1" t="s">
        <v>34</v>
      </c>
      <c r="D390" s="1" t="s">
        <v>41</v>
      </c>
      <c r="E390" s="1">
        <v>3</v>
      </c>
      <c r="F390" s="1">
        <v>56380</v>
      </c>
      <c r="G390" s="1">
        <v>5</v>
      </c>
      <c r="H390" s="2">
        <v>46044</v>
      </c>
      <c r="I390" s="2">
        <v>46048</v>
      </c>
      <c r="J390" s="1" t="s">
        <v>51</v>
      </c>
      <c r="K390" s="1">
        <v>1389</v>
      </c>
    </row>
    <row r="391" spans="1:11" ht="14.4" hidden="1" x14ac:dyDescent="0.3">
      <c r="A391" s="1" t="s">
        <v>58</v>
      </c>
      <c r="B391" s="1" t="s">
        <v>43</v>
      </c>
      <c r="C391" s="1" t="s">
        <v>18</v>
      </c>
      <c r="D391" s="1" t="s">
        <v>19</v>
      </c>
      <c r="E391" s="1">
        <v>9</v>
      </c>
      <c r="F391" s="1">
        <v>7670</v>
      </c>
      <c r="G391" s="1">
        <v>0</v>
      </c>
      <c r="H391" s="2">
        <v>46076</v>
      </c>
      <c r="I391" s="2">
        <v>46081</v>
      </c>
      <c r="J391" s="1" t="s">
        <v>51</v>
      </c>
      <c r="K391" s="1">
        <v>1390</v>
      </c>
    </row>
    <row r="392" spans="1:11" ht="14.4" hidden="1" x14ac:dyDescent="0.3">
      <c r="A392" s="1" t="s">
        <v>30</v>
      </c>
      <c r="B392" s="1" t="s">
        <v>31</v>
      </c>
      <c r="C392" s="1" t="s">
        <v>34</v>
      </c>
      <c r="D392" s="1" t="s">
        <v>35</v>
      </c>
      <c r="E392" s="1">
        <v>5</v>
      </c>
      <c r="F392" s="1">
        <v>65270</v>
      </c>
      <c r="G392" s="1">
        <v>5</v>
      </c>
      <c r="H392" s="2">
        <v>46100</v>
      </c>
      <c r="I392" s="2">
        <v>46103</v>
      </c>
      <c r="J392" s="1" t="s">
        <v>24</v>
      </c>
      <c r="K392" s="1">
        <v>1391</v>
      </c>
    </row>
    <row r="393" spans="1:11" ht="14.4" hidden="1" x14ac:dyDescent="0.3">
      <c r="A393" s="1" t="s">
        <v>29</v>
      </c>
      <c r="B393" s="1" t="s">
        <v>43</v>
      </c>
      <c r="C393" s="1" t="s">
        <v>34</v>
      </c>
      <c r="D393" s="1" t="s">
        <v>35</v>
      </c>
      <c r="E393" s="1">
        <v>13</v>
      </c>
      <c r="F393" s="1">
        <v>23903</v>
      </c>
      <c r="G393" s="1">
        <v>5</v>
      </c>
      <c r="H393" s="2">
        <v>46124</v>
      </c>
      <c r="I393" s="2">
        <v>46125</v>
      </c>
      <c r="J393" s="1" t="s">
        <v>29</v>
      </c>
      <c r="K393" s="1">
        <v>1392</v>
      </c>
    </row>
    <row r="394" spans="1:11" ht="14.4" hidden="1" x14ac:dyDescent="0.3">
      <c r="A394" s="1" t="s">
        <v>30</v>
      </c>
      <c r="B394" s="1" t="s">
        <v>25</v>
      </c>
      <c r="C394" s="1" t="s">
        <v>34</v>
      </c>
      <c r="D394" s="1" t="s">
        <v>45</v>
      </c>
      <c r="E394" s="1">
        <v>17</v>
      </c>
      <c r="F394" s="1">
        <v>30351</v>
      </c>
      <c r="G394" s="1">
        <v>15</v>
      </c>
      <c r="H394" s="2">
        <v>46047</v>
      </c>
      <c r="I394" s="2">
        <v>46051</v>
      </c>
      <c r="J394" s="1" t="s">
        <v>51</v>
      </c>
      <c r="K394" s="1">
        <v>1393</v>
      </c>
    </row>
    <row r="395" spans="1:11" ht="14.4" hidden="1" x14ac:dyDescent="0.3">
      <c r="A395" s="1" t="s">
        <v>54</v>
      </c>
      <c r="B395" s="1" t="s">
        <v>12</v>
      </c>
      <c r="C395" s="1" t="s">
        <v>13</v>
      </c>
      <c r="D395" s="1" t="s">
        <v>14</v>
      </c>
      <c r="E395" s="1">
        <v>10</v>
      </c>
      <c r="F395" s="1">
        <v>138</v>
      </c>
      <c r="G395" s="1">
        <v>2</v>
      </c>
      <c r="H395" s="2">
        <v>46056</v>
      </c>
      <c r="I395" s="2">
        <v>46057</v>
      </c>
      <c r="J395" s="1" t="s">
        <v>15</v>
      </c>
      <c r="K395" s="1">
        <v>1394</v>
      </c>
    </row>
    <row r="396" spans="1:11" ht="14.4" hidden="1" x14ac:dyDescent="0.3">
      <c r="A396" s="1" t="s">
        <v>54</v>
      </c>
      <c r="B396" s="1" t="s">
        <v>33</v>
      </c>
      <c r="C396" s="1" t="s">
        <v>18</v>
      </c>
      <c r="D396" s="1" t="s">
        <v>44</v>
      </c>
      <c r="E396" s="1">
        <v>18</v>
      </c>
      <c r="F396" s="1">
        <v>10402</v>
      </c>
      <c r="G396" s="1">
        <v>15</v>
      </c>
      <c r="H396" s="2">
        <v>46062</v>
      </c>
      <c r="I396" s="2">
        <v>46067</v>
      </c>
      <c r="J396" s="1" t="s">
        <v>29</v>
      </c>
      <c r="K396" s="1">
        <v>1395</v>
      </c>
    </row>
    <row r="397" spans="1:11" ht="14.4" hidden="1" x14ac:dyDescent="0.3">
      <c r="A397" s="1" t="s">
        <v>21</v>
      </c>
      <c r="B397" s="1" t="s">
        <v>38</v>
      </c>
      <c r="C397" s="1" t="s">
        <v>13</v>
      </c>
      <c r="D397" s="1" t="s">
        <v>53</v>
      </c>
      <c r="E397" s="1">
        <v>8</v>
      </c>
      <c r="F397" s="1">
        <v>54</v>
      </c>
      <c r="G397" s="1">
        <v>15</v>
      </c>
      <c r="H397" s="2">
        <v>46031</v>
      </c>
      <c r="I397" s="2">
        <v>46035</v>
      </c>
      <c r="J397" s="1" t="s">
        <v>15</v>
      </c>
      <c r="K397" s="1">
        <v>1396</v>
      </c>
    </row>
    <row r="398" spans="1:11" ht="14.4" hidden="1" x14ac:dyDescent="0.3">
      <c r="A398" s="1" t="s">
        <v>21</v>
      </c>
      <c r="B398" s="1" t="s">
        <v>33</v>
      </c>
      <c r="C398" s="1" t="s">
        <v>18</v>
      </c>
      <c r="D398" s="1" t="s">
        <v>23</v>
      </c>
      <c r="E398" s="1">
        <v>1</v>
      </c>
      <c r="F398" s="1">
        <v>8948</v>
      </c>
      <c r="G398" s="1">
        <v>5</v>
      </c>
      <c r="H398" s="2">
        <v>46194</v>
      </c>
      <c r="I398" s="2">
        <v>46201</v>
      </c>
      <c r="J398" s="1" t="s">
        <v>51</v>
      </c>
      <c r="K398" s="1">
        <v>1397</v>
      </c>
    </row>
    <row r="399" spans="1:11" ht="14.4" hidden="1" x14ac:dyDescent="0.3">
      <c r="A399" s="1" t="s">
        <v>58</v>
      </c>
      <c r="B399" s="1" t="s">
        <v>43</v>
      </c>
      <c r="C399" s="1" t="s">
        <v>34</v>
      </c>
      <c r="D399" s="1" t="s">
        <v>39</v>
      </c>
      <c r="E399" s="1">
        <v>12</v>
      </c>
      <c r="F399" s="1">
        <v>10668</v>
      </c>
      <c r="G399" s="1">
        <v>0</v>
      </c>
      <c r="H399" s="2">
        <v>46170</v>
      </c>
      <c r="I399" s="2">
        <v>46176</v>
      </c>
      <c r="J399" s="1" t="s">
        <v>15</v>
      </c>
      <c r="K399" s="1">
        <v>1398</v>
      </c>
    </row>
    <row r="400" spans="1:11" ht="14.4" hidden="1" x14ac:dyDescent="0.3">
      <c r="A400" s="1" t="s">
        <v>48</v>
      </c>
      <c r="B400" s="1" t="s">
        <v>31</v>
      </c>
      <c r="C400" s="1" t="s">
        <v>13</v>
      </c>
      <c r="D400" s="1" t="s">
        <v>14</v>
      </c>
      <c r="E400" s="1">
        <v>15</v>
      </c>
      <c r="F400" s="1">
        <v>87</v>
      </c>
      <c r="G400" s="1">
        <v>15</v>
      </c>
      <c r="H400" s="2">
        <v>46089</v>
      </c>
      <c r="I400" s="2">
        <v>46093</v>
      </c>
      <c r="J400" s="1" t="s">
        <v>20</v>
      </c>
      <c r="K400" s="1">
        <v>1399</v>
      </c>
    </row>
    <row r="401" spans="1:11" ht="14.4" hidden="1" x14ac:dyDescent="0.3">
      <c r="A401" s="1" t="s">
        <v>40</v>
      </c>
      <c r="B401" s="1" t="s">
        <v>22</v>
      </c>
      <c r="C401" s="1" t="s">
        <v>34</v>
      </c>
      <c r="D401" s="1" t="s">
        <v>35</v>
      </c>
      <c r="E401" s="1">
        <v>13</v>
      </c>
      <c r="F401" s="1">
        <v>52411</v>
      </c>
      <c r="G401" s="1">
        <v>15</v>
      </c>
      <c r="H401" s="2">
        <v>46090</v>
      </c>
      <c r="I401" s="2">
        <v>46092</v>
      </c>
      <c r="J401" s="1" t="s">
        <v>20</v>
      </c>
      <c r="K401" s="1">
        <v>1400</v>
      </c>
    </row>
    <row r="402" spans="1:11" ht="14.4" hidden="1" x14ac:dyDescent="0.3"/>
    <row r="403" spans="1:11" ht="14.4" hidden="1" x14ac:dyDescent="0.3"/>
    <row r="404" spans="1:11" ht="14.4" hidden="1" x14ac:dyDescent="0.3"/>
    <row r="405" spans="1:11" ht="14.4" hidden="1" x14ac:dyDescent="0.3"/>
    <row r="406" spans="1:11" ht="14.4" hidden="1" x14ac:dyDescent="0.3"/>
    <row r="407" spans="1:11" ht="14.4" hidden="1" x14ac:dyDescent="0.3"/>
    <row r="408" spans="1:11" ht="14.4" hidden="1" x14ac:dyDescent="0.3"/>
    <row r="409" spans="1:11" ht="14.4" hidden="1" x14ac:dyDescent="0.3"/>
    <row r="410" spans="1:11" ht="14.4" hidden="1" x14ac:dyDescent="0.3"/>
    <row r="411" spans="1:11" ht="14.4" hidden="1" x14ac:dyDescent="0.3"/>
    <row r="412" spans="1:11" ht="14.4" hidden="1" x14ac:dyDescent="0.3"/>
    <row r="413" spans="1:11" ht="14.4" hidden="1" x14ac:dyDescent="0.3"/>
    <row r="414" spans="1:11" ht="14.4" hidden="1" x14ac:dyDescent="0.3"/>
    <row r="415" spans="1:11" ht="14.4" hidden="1" x14ac:dyDescent="0.3"/>
    <row r="416" spans="1:11" ht="14.4" hidden="1" x14ac:dyDescent="0.3"/>
    <row r="417" ht="14.4" hidden="1" x14ac:dyDescent="0.3"/>
    <row r="418" ht="14.4" hidden="1" x14ac:dyDescent="0.3"/>
    <row r="419" ht="14.4" hidden="1" x14ac:dyDescent="0.3"/>
    <row r="420" ht="14.4" hidden="1" x14ac:dyDescent="0.3"/>
    <row r="421" ht="14.4" hidden="1" x14ac:dyDescent="0.3"/>
    <row r="422" ht="14.4" hidden="1" x14ac:dyDescent="0.3"/>
    <row r="423" ht="14.4" hidden="1" x14ac:dyDescent="0.3"/>
    <row r="424" ht="14.4" hidden="1" x14ac:dyDescent="0.3"/>
    <row r="425" ht="14.4" hidden="1" x14ac:dyDescent="0.3"/>
    <row r="426" ht="14.4" hidden="1" x14ac:dyDescent="0.3"/>
    <row r="427" ht="14.4" hidden="1" x14ac:dyDescent="0.3"/>
    <row r="428" ht="14.4" hidden="1" x14ac:dyDescent="0.3"/>
    <row r="429" ht="14.4" hidden="1" x14ac:dyDescent="0.3"/>
    <row r="430" ht="14.4" hidden="1" x14ac:dyDescent="0.3"/>
    <row r="431" ht="14.4" hidden="1" x14ac:dyDescent="0.3"/>
    <row r="432" ht="14.4" hidden="1" x14ac:dyDescent="0.3"/>
    <row r="433" ht="14.4" hidden="1" x14ac:dyDescent="0.3"/>
    <row r="434" ht="14.4" hidden="1" x14ac:dyDescent="0.3"/>
    <row r="435" ht="14.4" hidden="1" x14ac:dyDescent="0.3"/>
    <row r="436" ht="14.4" hidden="1" x14ac:dyDescent="0.3"/>
    <row r="437" ht="14.4" hidden="1" x14ac:dyDescent="0.3"/>
    <row r="438" ht="14.4" hidden="1" x14ac:dyDescent="0.3"/>
    <row r="439" ht="14.4" hidden="1" x14ac:dyDescent="0.3"/>
    <row r="440" ht="14.4" hidden="1" x14ac:dyDescent="0.3"/>
    <row r="441" ht="14.4" hidden="1" x14ac:dyDescent="0.3"/>
    <row r="442" ht="14.4" hidden="1" x14ac:dyDescent="0.3"/>
    <row r="443" ht="14.4" hidden="1" x14ac:dyDescent="0.3"/>
    <row r="444" ht="14.4" hidden="1" x14ac:dyDescent="0.3"/>
    <row r="445" ht="14.4" hidden="1" x14ac:dyDescent="0.3"/>
    <row r="446" ht="14.4" hidden="1" x14ac:dyDescent="0.3"/>
    <row r="447" ht="14.4" hidden="1" x14ac:dyDescent="0.3"/>
    <row r="448" ht="14.4" hidden="1" x14ac:dyDescent="0.3"/>
    <row r="449" ht="14.4" hidden="1" x14ac:dyDescent="0.3"/>
    <row r="450" ht="14.4" hidden="1" x14ac:dyDescent="0.3"/>
    <row r="451" ht="14.4" hidden="1" x14ac:dyDescent="0.3"/>
    <row r="452" ht="14.4" hidden="1" x14ac:dyDescent="0.3"/>
    <row r="453" ht="14.4" hidden="1" x14ac:dyDescent="0.3"/>
    <row r="454" ht="14.4" hidden="1" x14ac:dyDescent="0.3"/>
    <row r="455" ht="14.4" hidden="1" x14ac:dyDescent="0.3"/>
    <row r="456" ht="14.4" hidden="1" x14ac:dyDescent="0.3"/>
    <row r="457" ht="14.4" hidden="1" x14ac:dyDescent="0.3"/>
    <row r="458" ht="14.4" hidden="1" x14ac:dyDescent="0.3"/>
    <row r="459" ht="14.4" hidden="1" x14ac:dyDescent="0.3"/>
    <row r="460" ht="14.4" hidden="1" x14ac:dyDescent="0.3"/>
    <row r="461" ht="14.4" hidden="1" x14ac:dyDescent="0.3"/>
    <row r="462" ht="14.4" hidden="1" x14ac:dyDescent="0.3"/>
    <row r="463" ht="14.4" hidden="1" x14ac:dyDescent="0.3"/>
    <row r="464" ht="14.4" hidden="1" x14ac:dyDescent="0.3"/>
    <row r="465" ht="14.4" hidden="1" x14ac:dyDescent="0.3"/>
    <row r="466" ht="14.4" hidden="1" x14ac:dyDescent="0.3"/>
    <row r="467" ht="14.4" hidden="1" x14ac:dyDescent="0.3"/>
    <row r="468" ht="14.4" hidden="1" x14ac:dyDescent="0.3"/>
    <row r="469" ht="14.4" hidden="1" x14ac:dyDescent="0.3"/>
    <row r="470" ht="14.4" hidden="1" x14ac:dyDescent="0.3"/>
    <row r="471" ht="14.4" hidden="1" x14ac:dyDescent="0.3"/>
    <row r="472" ht="14.4" hidden="1" x14ac:dyDescent="0.3"/>
    <row r="473" ht="14.4" hidden="1" x14ac:dyDescent="0.3"/>
    <row r="474" ht="14.4" hidden="1" x14ac:dyDescent="0.3"/>
    <row r="475" ht="14.4" hidden="1" x14ac:dyDescent="0.3"/>
    <row r="476" ht="14.4" hidden="1" x14ac:dyDescent="0.3"/>
    <row r="477" ht="14.4" hidden="1" x14ac:dyDescent="0.3"/>
    <row r="478" ht="14.4" hidden="1" x14ac:dyDescent="0.3"/>
    <row r="479" ht="14.4" hidden="1" x14ac:dyDescent="0.3"/>
    <row r="480" ht="14.4" hidden="1" x14ac:dyDescent="0.3"/>
    <row r="481" ht="14.4" hidden="1" x14ac:dyDescent="0.3"/>
    <row r="482" ht="14.4" hidden="1" x14ac:dyDescent="0.3"/>
    <row r="483" ht="14.4" hidden="1" x14ac:dyDescent="0.3"/>
    <row r="484" ht="14.4" hidden="1" x14ac:dyDescent="0.3"/>
    <row r="485" ht="14.4" hidden="1" x14ac:dyDescent="0.3"/>
    <row r="486" ht="14.4" hidden="1" x14ac:dyDescent="0.3"/>
    <row r="487" ht="14.4" hidden="1" x14ac:dyDescent="0.3"/>
    <row r="488" ht="14.4" hidden="1" x14ac:dyDescent="0.3"/>
    <row r="489" ht="14.4" hidden="1" x14ac:dyDescent="0.3"/>
    <row r="490" ht="14.4" hidden="1" x14ac:dyDescent="0.3"/>
    <row r="491" ht="14.4" hidden="1" x14ac:dyDescent="0.3"/>
    <row r="492" ht="14.4" hidden="1" x14ac:dyDescent="0.3"/>
    <row r="493" ht="14.4" hidden="1" x14ac:dyDescent="0.3"/>
    <row r="494" ht="14.4" hidden="1" x14ac:dyDescent="0.3"/>
    <row r="495" ht="14.4" hidden="1" x14ac:dyDescent="0.3"/>
    <row r="496" ht="14.4" hidden="1" x14ac:dyDescent="0.3"/>
    <row r="497" ht="14.4" hidden="1" x14ac:dyDescent="0.3"/>
    <row r="498" ht="14.4" hidden="1" x14ac:dyDescent="0.3"/>
    <row r="499" ht="14.4" hidden="1" x14ac:dyDescent="0.3"/>
    <row r="500" ht="14.4" hidden="1" x14ac:dyDescent="0.3"/>
    <row r="501" ht="14.4" hidden="1" x14ac:dyDescent="0.3"/>
    <row r="502" ht="14.4" hidden="1" x14ac:dyDescent="0.3"/>
    <row r="503" ht="14.4" hidden="1" x14ac:dyDescent="0.3"/>
    <row r="504" ht="14.4" hidden="1" x14ac:dyDescent="0.3"/>
    <row r="505" ht="14.4" hidden="1" x14ac:dyDescent="0.3"/>
    <row r="506" ht="14.4" hidden="1" x14ac:dyDescent="0.3"/>
    <row r="507" ht="14.4" hidden="1" x14ac:dyDescent="0.3"/>
    <row r="508" ht="14.4" hidden="1" x14ac:dyDescent="0.3"/>
    <row r="509" ht="14.4" hidden="1" x14ac:dyDescent="0.3"/>
    <row r="510" ht="14.4" hidden="1" x14ac:dyDescent="0.3"/>
    <row r="511" ht="14.4" hidden="1" x14ac:dyDescent="0.3"/>
    <row r="512" ht="14.4" hidden="1" x14ac:dyDescent="0.3"/>
    <row r="513" ht="14.4" hidden="1" x14ac:dyDescent="0.3"/>
    <row r="514" ht="14.4" hidden="1" x14ac:dyDescent="0.3"/>
    <row r="515" ht="14.4" hidden="1" x14ac:dyDescent="0.3"/>
    <row r="516" ht="14.4" hidden="1" x14ac:dyDescent="0.3"/>
    <row r="517" ht="14.4" hidden="1" x14ac:dyDescent="0.3"/>
    <row r="518" ht="14.4" hidden="1" x14ac:dyDescent="0.3"/>
    <row r="519" ht="14.4" hidden="1" x14ac:dyDescent="0.3"/>
    <row r="520" ht="14.4" hidden="1" x14ac:dyDescent="0.3"/>
    <row r="521" ht="14.4" hidden="1" x14ac:dyDescent="0.3"/>
    <row r="522" ht="14.4" hidden="1" x14ac:dyDescent="0.3"/>
    <row r="523" ht="14.4" hidden="1" x14ac:dyDescent="0.3"/>
    <row r="524" ht="14.4" hidden="1" x14ac:dyDescent="0.3"/>
    <row r="525" ht="14.4" hidden="1" x14ac:dyDescent="0.3"/>
    <row r="526" ht="14.4" hidden="1" x14ac:dyDescent="0.3"/>
    <row r="527" ht="14.4" hidden="1" x14ac:dyDescent="0.3"/>
    <row r="528" ht="14.4" hidden="1" x14ac:dyDescent="0.3"/>
    <row r="529" ht="14.4" hidden="1" x14ac:dyDescent="0.3"/>
    <row r="530" ht="14.4" hidden="1" x14ac:dyDescent="0.3"/>
    <row r="531" ht="14.4" hidden="1" x14ac:dyDescent="0.3"/>
    <row r="532" ht="14.4" hidden="1" x14ac:dyDescent="0.3"/>
    <row r="533" ht="14.4" hidden="1" x14ac:dyDescent="0.3"/>
    <row r="534" ht="14.4" hidden="1" x14ac:dyDescent="0.3"/>
    <row r="535" ht="14.4" hidden="1" x14ac:dyDescent="0.3"/>
    <row r="536" ht="14.4" hidden="1" x14ac:dyDescent="0.3"/>
    <row r="537" ht="14.4" hidden="1" x14ac:dyDescent="0.3"/>
    <row r="538" ht="14.4" hidden="1" x14ac:dyDescent="0.3"/>
    <row r="539" ht="14.4" hidden="1" x14ac:dyDescent="0.3"/>
    <row r="540" ht="14.4" hidden="1" x14ac:dyDescent="0.3"/>
    <row r="541" ht="14.4" hidden="1" x14ac:dyDescent="0.3"/>
    <row r="542" ht="14.4" hidden="1" x14ac:dyDescent="0.3"/>
    <row r="543" ht="14.4" hidden="1" x14ac:dyDescent="0.3"/>
    <row r="544" ht="14.4" hidden="1" x14ac:dyDescent="0.3"/>
    <row r="545" ht="14.4" hidden="1" x14ac:dyDescent="0.3"/>
    <row r="546" ht="14.4" hidden="1" x14ac:dyDescent="0.3"/>
    <row r="547" ht="14.4" hidden="1" x14ac:dyDescent="0.3"/>
    <row r="548" ht="14.4" hidden="1" x14ac:dyDescent="0.3"/>
    <row r="549" ht="14.4" hidden="1" x14ac:dyDescent="0.3"/>
    <row r="550" ht="14.4" hidden="1" x14ac:dyDescent="0.3"/>
    <row r="551" ht="14.4" hidden="1" x14ac:dyDescent="0.3"/>
    <row r="552" ht="14.4" hidden="1" x14ac:dyDescent="0.3"/>
    <row r="553" ht="14.4" hidden="1" x14ac:dyDescent="0.3"/>
    <row r="554" ht="14.4" hidden="1" x14ac:dyDescent="0.3"/>
    <row r="555" ht="14.4" hidden="1" x14ac:dyDescent="0.3"/>
    <row r="556" ht="14.4" hidden="1" x14ac:dyDescent="0.3"/>
    <row r="557" ht="14.4" hidden="1" x14ac:dyDescent="0.3"/>
    <row r="558" ht="14.4" hidden="1" x14ac:dyDescent="0.3"/>
    <row r="559" ht="14.4" hidden="1" x14ac:dyDescent="0.3"/>
    <row r="560" ht="14.4" hidden="1" x14ac:dyDescent="0.3"/>
    <row r="561" ht="14.4" hidden="1" x14ac:dyDescent="0.3"/>
    <row r="562" ht="14.4" hidden="1" x14ac:dyDescent="0.3"/>
    <row r="563" ht="14.4" hidden="1" x14ac:dyDescent="0.3"/>
    <row r="564" ht="14.4" hidden="1" x14ac:dyDescent="0.3"/>
    <row r="565" ht="14.4" hidden="1" x14ac:dyDescent="0.3"/>
    <row r="566" ht="14.4" hidden="1" x14ac:dyDescent="0.3"/>
    <row r="567" ht="14.4" hidden="1" x14ac:dyDescent="0.3"/>
    <row r="568" ht="14.4" hidden="1" x14ac:dyDescent="0.3"/>
    <row r="569" ht="14.4" hidden="1" x14ac:dyDescent="0.3"/>
    <row r="570" ht="14.4" hidden="1" x14ac:dyDescent="0.3"/>
    <row r="571" ht="14.4" hidden="1" x14ac:dyDescent="0.3"/>
    <row r="572" ht="14.4" hidden="1" x14ac:dyDescent="0.3"/>
    <row r="573" ht="14.4" hidden="1" x14ac:dyDescent="0.3"/>
    <row r="574" ht="14.4" hidden="1" x14ac:dyDescent="0.3"/>
    <row r="575" ht="14.4" hidden="1" x14ac:dyDescent="0.3"/>
    <row r="576" ht="14.4" hidden="1" x14ac:dyDescent="0.3"/>
    <row r="577" ht="14.4" hidden="1" x14ac:dyDescent="0.3"/>
    <row r="578" ht="14.4" hidden="1" x14ac:dyDescent="0.3"/>
    <row r="579" ht="14.4" hidden="1" x14ac:dyDescent="0.3"/>
    <row r="580" ht="14.4" hidden="1" x14ac:dyDescent="0.3"/>
    <row r="581" ht="14.4" hidden="1" x14ac:dyDescent="0.3"/>
    <row r="582" ht="14.4" hidden="1" x14ac:dyDescent="0.3"/>
    <row r="583" ht="14.4" hidden="1" x14ac:dyDescent="0.3"/>
    <row r="584" ht="14.4" hidden="1" x14ac:dyDescent="0.3"/>
    <row r="585" ht="14.4" hidden="1" x14ac:dyDescent="0.3"/>
    <row r="586" ht="14.4" hidden="1" x14ac:dyDescent="0.3"/>
    <row r="587" ht="14.4" hidden="1" x14ac:dyDescent="0.3"/>
    <row r="588" ht="14.4" hidden="1" x14ac:dyDescent="0.3"/>
    <row r="589" ht="14.4" hidden="1" x14ac:dyDescent="0.3"/>
    <row r="590" ht="14.4" hidden="1" x14ac:dyDescent="0.3"/>
    <row r="591" ht="14.4" hidden="1" x14ac:dyDescent="0.3"/>
    <row r="592" ht="14.4" hidden="1" x14ac:dyDescent="0.3"/>
    <row r="593" ht="14.4" hidden="1" x14ac:dyDescent="0.3"/>
    <row r="594" ht="14.4" hidden="1" x14ac:dyDescent="0.3"/>
    <row r="595" ht="14.4" hidden="1" x14ac:dyDescent="0.3"/>
    <row r="596" ht="14.4" hidden="1" x14ac:dyDescent="0.3"/>
    <row r="597" ht="14.4" hidden="1" x14ac:dyDescent="0.3"/>
    <row r="598" ht="14.4" hidden="1" x14ac:dyDescent="0.3"/>
    <row r="599" ht="14.4" hidden="1" x14ac:dyDescent="0.3"/>
    <row r="600" ht="14.4" hidden="1" x14ac:dyDescent="0.3"/>
    <row r="601" ht="14.4" hidden="1" x14ac:dyDescent="0.3"/>
    <row r="602" ht="14.4" hidden="1" x14ac:dyDescent="0.3"/>
    <row r="603" ht="14.4" hidden="1" x14ac:dyDescent="0.3"/>
    <row r="604" ht="14.4" hidden="1" x14ac:dyDescent="0.3"/>
    <row r="605" ht="14.4" hidden="1" x14ac:dyDescent="0.3"/>
    <row r="606" ht="14.4" hidden="1" x14ac:dyDescent="0.3"/>
    <row r="607" ht="14.4" hidden="1" x14ac:dyDescent="0.3"/>
    <row r="608" ht="14.4" hidden="1" x14ac:dyDescent="0.3"/>
    <row r="609" ht="14.4" hidden="1" x14ac:dyDescent="0.3"/>
    <row r="610" ht="14.4" hidden="1" x14ac:dyDescent="0.3"/>
    <row r="611" ht="14.4" hidden="1" x14ac:dyDescent="0.3"/>
    <row r="612" ht="14.4" hidden="1" x14ac:dyDescent="0.3"/>
    <row r="613" ht="14.4" hidden="1" x14ac:dyDescent="0.3"/>
    <row r="614" ht="14.4" hidden="1" x14ac:dyDescent="0.3"/>
    <row r="615" ht="14.4" hidden="1" x14ac:dyDescent="0.3"/>
    <row r="616" ht="14.4" hidden="1" x14ac:dyDescent="0.3"/>
    <row r="617" ht="14.4" hidden="1" x14ac:dyDescent="0.3"/>
    <row r="618" ht="14.4" hidden="1" x14ac:dyDescent="0.3"/>
    <row r="619" ht="14.4" hidden="1" x14ac:dyDescent="0.3"/>
    <row r="620" ht="14.4" hidden="1" x14ac:dyDescent="0.3"/>
    <row r="621" ht="14.4" hidden="1" x14ac:dyDescent="0.3"/>
    <row r="622" ht="14.4" hidden="1" x14ac:dyDescent="0.3"/>
    <row r="623" ht="14.4" hidden="1" x14ac:dyDescent="0.3"/>
    <row r="624" ht="14.4" hidden="1" x14ac:dyDescent="0.3"/>
    <row r="625" ht="14.4" hidden="1" x14ac:dyDescent="0.3"/>
    <row r="626" ht="14.4" hidden="1" x14ac:dyDescent="0.3"/>
    <row r="627" ht="14.4" hidden="1" x14ac:dyDescent="0.3"/>
    <row r="628" ht="14.4" hidden="1" x14ac:dyDescent="0.3"/>
    <row r="629" ht="14.4" hidden="1" x14ac:dyDescent="0.3"/>
    <row r="630" ht="14.4" hidden="1" x14ac:dyDescent="0.3"/>
    <row r="631" ht="14.4" hidden="1" x14ac:dyDescent="0.3"/>
    <row r="632" ht="14.4" hidden="1" x14ac:dyDescent="0.3"/>
    <row r="633" ht="14.4" hidden="1" x14ac:dyDescent="0.3"/>
    <row r="634" ht="14.4" hidden="1" x14ac:dyDescent="0.3"/>
    <row r="635" ht="14.4" hidden="1" x14ac:dyDescent="0.3"/>
    <row r="636" ht="14.4" hidden="1" x14ac:dyDescent="0.3"/>
    <row r="637" ht="14.4" hidden="1" x14ac:dyDescent="0.3"/>
    <row r="638" ht="14.4" hidden="1" x14ac:dyDescent="0.3"/>
    <row r="639" ht="14.4" hidden="1" x14ac:dyDescent="0.3"/>
    <row r="640" ht="14.4" hidden="1" x14ac:dyDescent="0.3"/>
    <row r="641" ht="14.4" hidden="1" x14ac:dyDescent="0.3"/>
    <row r="642" ht="14.4" hidden="1" x14ac:dyDescent="0.3"/>
    <row r="643" ht="14.4" hidden="1" x14ac:dyDescent="0.3"/>
    <row r="644" ht="14.4" hidden="1" x14ac:dyDescent="0.3"/>
    <row r="645" ht="14.4" hidden="1" x14ac:dyDescent="0.3"/>
    <row r="646" ht="14.4" hidden="1" x14ac:dyDescent="0.3"/>
    <row r="647" ht="14.4" hidden="1" x14ac:dyDescent="0.3"/>
    <row r="648" ht="14.4" hidden="1" x14ac:dyDescent="0.3"/>
    <row r="649" ht="14.4" hidden="1" x14ac:dyDescent="0.3"/>
    <row r="650" ht="14.4" hidden="1" x14ac:dyDescent="0.3"/>
    <row r="651" ht="14.4" hidden="1" x14ac:dyDescent="0.3"/>
    <row r="652" ht="14.4" hidden="1" x14ac:dyDescent="0.3"/>
    <row r="653" ht="14.4" hidden="1" x14ac:dyDescent="0.3"/>
    <row r="654" ht="14.4" hidden="1" x14ac:dyDescent="0.3"/>
    <row r="655" ht="14.4" hidden="1" x14ac:dyDescent="0.3"/>
    <row r="656" ht="14.4" hidden="1" x14ac:dyDescent="0.3"/>
    <row r="657" ht="14.4" hidden="1" x14ac:dyDescent="0.3"/>
    <row r="658" ht="14.4" hidden="1" x14ac:dyDescent="0.3"/>
    <row r="659" ht="14.4" hidden="1" x14ac:dyDescent="0.3"/>
    <row r="660" ht="14.4" hidden="1" x14ac:dyDescent="0.3"/>
    <row r="661" ht="14.4" hidden="1" x14ac:dyDescent="0.3"/>
    <row r="662" ht="14.4" hidden="1" x14ac:dyDescent="0.3"/>
    <row r="663" ht="14.4" hidden="1" x14ac:dyDescent="0.3"/>
    <row r="664" ht="14.4" hidden="1" x14ac:dyDescent="0.3"/>
    <row r="665" ht="14.4" hidden="1" x14ac:dyDescent="0.3"/>
    <row r="666" ht="14.4" hidden="1" x14ac:dyDescent="0.3"/>
    <row r="667" ht="14.4" hidden="1" x14ac:dyDescent="0.3"/>
    <row r="668" ht="14.4" hidden="1" x14ac:dyDescent="0.3"/>
    <row r="669" ht="14.4" hidden="1" x14ac:dyDescent="0.3"/>
    <row r="670" ht="14.4" hidden="1" x14ac:dyDescent="0.3"/>
    <row r="671" ht="14.4" hidden="1" x14ac:dyDescent="0.3"/>
    <row r="672" ht="14.4" hidden="1" x14ac:dyDescent="0.3"/>
    <row r="673" ht="14.4" hidden="1" x14ac:dyDescent="0.3"/>
    <row r="674" ht="14.4" hidden="1" x14ac:dyDescent="0.3"/>
    <row r="675" ht="14.4" hidden="1" x14ac:dyDescent="0.3"/>
    <row r="676" ht="14.4" hidden="1" x14ac:dyDescent="0.3"/>
    <row r="677" ht="14.4" hidden="1" x14ac:dyDescent="0.3"/>
    <row r="678" ht="14.4" hidden="1" x14ac:dyDescent="0.3"/>
    <row r="679" ht="14.4" hidden="1" x14ac:dyDescent="0.3"/>
    <row r="680" ht="14.4" hidden="1" x14ac:dyDescent="0.3"/>
    <row r="681" ht="14.4" hidden="1" x14ac:dyDescent="0.3"/>
    <row r="682" ht="14.4" hidden="1" x14ac:dyDescent="0.3"/>
    <row r="683" ht="14.4" hidden="1" x14ac:dyDescent="0.3"/>
    <row r="684" ht="14.4" hidden="1" x14ac:dyDescent="0.3"/>
    <row r="685" ht="14.4" hidden="1" x14ac:dyDescent="0.3"/>
    <row r="686" ht="14.4" hidden="1" x14ac:dyDescent="0.3"/>
    <row r="687" ht="14.4" hidden="1" x14ac:dyDescent="0.3"/>
    <row r="688" ht="14.4" hidden="1" x14ac:dyDescent="0.3"/>
    <row r="689" ht="14.4" hidden="1" x14ac:dyDescent="0.3"/>
    <row r="690" ht="14.4" hidden="1" x14ac:dyDescent="0.3"/>
    <row r="691" ht="14.4" hidden="1" x14ac:dyDescent="0.3"/>
    <row r="692" ht="14.4" hidden="1" x14ac:dyDescent="0.3"/>
    <row r="693" ht="14.4" hidden="1" x14ac:dyDescent="0.3"/>
    <row r="694" ht="14.4" hidden="1" x14ac:dyDescent="0.3"/>
    <row r="695" ht="14.4" hidden="1" x14ac:dyDescent="0.3"/>
    <row r="696" ht="14.4" hidden="1" x14ac:dyDescent="0.3"/>
    <row r="697" ht="14.4" hidden="1" x14ac:dyDescent="0.3"/>
    <row r="698" ht="14.4" hidden="1" x14ac:dyDescent="0.3"/>
    <row r="699" ht="14.4" hidden="1" x14ac:dyDescent="0.3"/>
    <row r="700" ht="14.4" hidden="1" x14ac:dyDescent="0.3"/>
    <row r="701" ht="14.4" hidden="1" x14ac:dyDescent="0.3"/>
    <row r="702" ht="14.4" hidden="1" x14ac:dyDescent="0.3"/>
    <row r="703" ht="14.4" hidden="1" x14ac:dyDescent="0.3"/>
    <row r="704" ht="14.4" hidden="1" x14ac:dyDescent="0.3"/>
    <row r="705" ht="14.4" hidden="1" x14ac:dyDescent="0.3"/>
    <row r="706" ht="14.4" hidden="1" x14ac:dyDescent="0.3"/>
    <row r="707" ht="14.4" hidden="1" x14ac:dyDescent="0.3"/>
    <row r="708" ht="14.4" hidden="1" x14ac:dyDescent="0.3"/>
    <row r="709" ht="14.4" hidden="1" x14ac:dyDescent="0.3"/>
    <row r="710" ht="14.4" hidden="1" x14ac:dyDescent="0.3"/>
    <row r="711" ht="14.4" hidden="1" x14ac:dyDescent="0.3"/>
    <row r="712" ht="14.4" hidden="1" x14ac:dyDescent="0.3"/>
    <row r="713" ht="14.4" hidden="1" x14ac:dyDescent="0.3"/>
    <row r="714" ht="14.4" hidden="1" x14ac:dyDescent="0.3"/>
    <row r="715" ht="14.4" hidden="1" x14ac:dyDescent="0.3"/>
    <row r="716" ht="14.4" hidden="1" x14ac:dyDescent="0.3"/>
    <row r="717" ht="14.4" hidden="1" x14ac:dyDescent="0.3"/>
    <row r="718" ht="14.4" hidden="1" x14ac:dyDescent="0.3"/>
    <row r="719" ht="14.4" hidden="1" x14ac:dyDescent="0.3"/>
    <row r="720" ht="14.4" hidden="1" x14ac:dyDescent="0.3"/>
    <row r="721" ht="14.4" hidden="1" x14ac:dyDescent="0.3"/>
    <row r="722" ht="14.4" hidden="1" x14ac:dyDescent="0.3"/>
    <row r="723" ht="14.4" hidden="1" x14ac:dyDescent="0.3"/>
    <row r="724" ht="14.4" hidden="1" x14ac:dyDescent="0.3"/>
    <row r="725" ht="14.4" hidden="1" x14ac:dyDescent="0.3"/>
    <row r="726" ht="14.4" hidden="1" x14ac:dyDescent="0.3"/>
    <row r="727" ht="14.4" hidden="1" x14ac:dyDescent="0.3"/>
    <row r="728" ht="14.4" hidden="1" x14ac:dyDescent="0.3"/>
    <row r="729" ht="14.4" hidden="1" x14ac:dyDescent="0.3"/>
    <row r="730" ht="14.4" hidden="1" x14ac:dyDescent="0.3"/>
    <row r="731" ht="14.4" hidden="1" x14ac:dyDescent="0.3"/>
    <row r="732" ht="14.4" hidden="1" x14ac:dyDescent="0.3"/>
    <row r="733" ht="14.4" hidden="1" x14ac:dyDescent="0.3"/>
    <row r="734" ht="14.4" hidden="1" x14ac:dyDescent="0.3"/>
    <row r="735" ht="14.4" hidden="1" x14ac:dyDescent="0.3"/>
    <row r="736" ht="14.4" hidden="1" x14ac:dyDescent="0.3"/>
    <row r="737" ht="14.4" hidden="1" x14ac:dyDescent="0.3"/>
    <row r="738" ht="14.4" hidden="1" x14ac:dyDescent="0.3"/>
    <row r="739" ht="14.4" hidden="1" x14ac:dyDescent="0.3"/>
    <row r="740" ht="14.4" hidden="1" x14ac:dyDescent="0.3"/>
    <row r="741" ht="14.4" hidden="1" x14ac:dyDescent="0.3"/>
    <row r="742" ht="14.4" hidden="1" x14ac:dyDescent="0.3"/>
    <row r="743" ht="14.4" hidden="1" x14ac:dyDescent="0.3"/>
    <row r="744" ht="14.4" hidden="1" x14ac:dyDescent="0.3"/>
    <row r="745" ht="14.4" hidden="1" x14ac:dyDescent="0.3"/>
    <row r="746" ht="14.4" hidden="1" x14ac:dyDescent="0.3"/>
    <row r="747" ht="14.4" hidden="1" x14ac:dyDescent="0.3"/>
    <row r="748" ht="14.4" hidden="1" x14ac:dyDescent="0.3"/>
    <row r="749" ht="14.4" hidden="1" x14ac:dyDescent="0.3"/>
    <row r="750" ht="14.4" hidden="1" x14ac:dyDescent="0.3"/>
    <row r="751" ht="14.4" hidden="1" x14ac:dyDescent="0.3"/>
    <row r="752" ht="14.4" hidden="1" x14ac:dyDescent="0.3"/>
    <row r="753" ht="14.4" hidden="1" x14ac:dyDescent="0.3"/>
    <row r="754" ht="14.4" hidden="1" x14ac:dyDescent="0.3"/>
    <row r="755" ht="14.4" hidden="1" x14ac:dyDescent="0.3"/>
    <row r="756" ht="14.4" hidden="1" x14ac:dyDescent="0.3"/>
    <row r="757" ht="14.4" hidden="1" x14ac:dyDescent="0.3"/>
    <row r="758" ht="14.4" hidden="1" x14ac:dyDescent="0.3"/>
    <row r="759" ht="14.4" hidden="1" x14ac:dyDescent="0.3"/>
    <row r="760" ht="14.4" hidden="1" x14ac:dyDescent="0.3"/>
    <row r="761" ht="14.4" hidden="1" x14ac:dyDescent="0.3"/>
    <row r="762" ht="14.4" hidden="1" x14ac:dyDescent="0.3"/>
    <row r="763" ht="14.4" hidden="1" x14ac:dyDescent="0.3"/>
    <row r="764" ht="14.4" hidden="1" x14ac:dyDescent="0.3"/>
    <row r="765" ht="14.4" hidden="1" x14ac:dyDescent="0.3"/>
    <row r="766" ht="14.4" hidden="1" x14ac:dyDescent="0.3"/>
    <row r="767" ht="14.4" hidden="1" x14ac:dyDescent="0.3"/>
    <row r="768" ht="14.4" hidden="1" x14ac:dyDescent="0.3"/>
    <row r="769" ht="14.4" hidden="1" x14ac:dyDescent="0.3"/>
    <row r="770" ht="14.4" hidden="1" x14ac:dyDescent="0.3"/>
    <row r="771" ht="14.4" hidden="1" x14ac:dyDescent="0.3"/>
    <row r="772" ht="14.4" hidden="1" x14ac:dyDescent="0.3"/>
    <row r="773" ht="14.4" hidden="1" x14ac:dyDescent="0.3"/>
    <row r="774" ht="14.4" hidden="1" x14ac:dyDescent="0.3"/>
    <row r="775" ht="14.4" hidden="1" x14ac:dyDescent="0.3"/>
    <row r="776" ht="14.4" hidden="1" x14ac:dyDescent="0.3"/>
    <row r="777" ht="14.4" hidden="1" x14ac:dyDescent="0.3"/>
    <row r="778" ht="14.4" hidden="1" x14ac:dyDescent="0.3"/>
    <row r="779" ht="14.4" hidden="1" x14ac:dyDescent="0.3"/>
    <row r="780" ht="14.4" hidden="1" x14ac:dyDescent="0.3"/>
    <row r="781" ht="14.4" hidden="1" x14ac:dyDescent="0.3"/>
    <row r="782" ht="14.4" hidden="1" x14ac:dyDescent="0.3"/>
    <row r="783" ht="14.4" hidden="1" x14ac:dyDescent="0.3"/>
    <row r="784" ht="14.4" hidden="1" x14ac:dyDescent="0.3"/>
    <row r="785" ht="14.4" hidden="1" x14ac:dyDescent="0.3"/>
    <row r="786" ht="14.4" hidden="1" x14ac:dyDescent="0.3"/>
    <row r="787" ht="14.4" hidden="1" x14ac:dyDescent="0.3"/>
    <row r="788" ht="14.4" hidden="1" x14ac:dyDescent="0.3"/>
    <row r="789" ht="14.4" hidden="1" x14ac:dyDescent="0.3"/>
    <row r="790" ht="14.4" hidden="1" x14ac:dyDescent="0.3"/>
    <row r="791" ht="14.4" hidden="1" x14ac:dyDescent="0.3"/>
    <row r="792" ht="14.4" hidden="1" x14ac:dyDescent="0.3"/>
    <row r="793" ht="14.4" hidden="1" x14ac:dyDescent="0.3"/>
    <row r="794" ht="14.4" hidden="1" x14ac:dyDescent="0.3"/>
    <row r="795" ht="14.4" hidden="1" x14ac:dyDescent="0.3"/>
    <row r="796" ht="14.4" hidden="1" x14ac:dyDescent="0.3"/>
    <row r="797" ht="14.4" hidden="1" x14ac:dyDescent="0.3"/>
    <row r="798" ht="14.4" hidden="1" x14ac:dyDescent="0.3"/>
    <row r="799" ht="14.4" hidden="1" x14ac:dyDescent="0.3"/>
    <row r="800" ht="14.4" hidden="1" x14ac:dyDescent="0.3"/>
    <row r="801" ht="14.4" hidden="1" x14ac:dyDescent="0.3"/>
    <row r="802" ht="14.4" hidden="1" x14ac:dyDescent="0.3"/>
    <row r="803" ht="14.4" hidden="1" x14ac:dyDescent="0.3"/>
    <row r="804" ht="14.4" hidden="1" x14ac:dyDescent="0.3"/>
    <row r="805" ht="14.4" hidden="1" x14ac:dyDescent="0.3"/>
    <row r="806" ht="14.4" hidden="1" x14ac:dyDescent="0.3"/>
    <row r="807" ht="14.4" hidden="1" x14ac:dyDescent="0.3"/>
    <row r="808" ht="14.4" hidden="1" x14ac:dyDescent="0.3"/>
    <row r="809" ht="14.4" hidden="1" x14ac:dyDescent="0.3"/>
    <row r="810" ht="14.4" hidden="1" x14ac:dyDescent="0.3"/>
    <row r="811" ht="14.4" hidden="1" x14ac:dyDescent="0.3"/>
    <row r="812" ht="14.4" hidden="1" x14ac:dyDescent="0.3"/>
    <row r="813" ht="14.4" hidden="1" x14ac:dyDescent="0.3"/>
    <row r="814" ht="14.4" hidden="1" x14ac:dyDescent="0.3"/>
    <row r="815" ht="14.4" hidden="1" x14ac:dyDescent="0.3"/>
    <row r="816" ht="14.4" hidden="1" x14ac:dyDescent="0.3"/>
    <row r="817" ht="14.4" hidden="1" x14ac:dyDescent="0.3"/>
    <row r="818" ht="14.4" hidden="1" x14ac:dyDescent="0.3"/>
    <row r="819" ht="14.4" hidden="1" x14ac:dyDescent="0.3"/>
    <row r="820" ht="14.4" hidden="1" x14ac:dyDescent="0.3"/>
    <row r="821" ht="14.4" hidden="1" x14ac:dyDescent="0.3"/>
    <row r="822" ht="14.4" hidden="1" x14ac:dyDescent="0.3"/>
    <row r="823" ht="14.4" hidden="1" x14ac:dyDescent="0.3"/>
    <row r="824" ht="14.4" hidden="1" x14ac:dyDescent="0.3"/>
    <row r="825" ht="14.4" hidden="1" x14ac:dyDescent="0.3"/>
    <row r="826" ht="14.4" hidden="1" x14ac:dyDescent="0.3"/>
    <row r="827" ht="14.4" hidden="1" x14ac:dyDescent="0.3"/>
    <row r="828" ht="14.4" hidden="1" x14ac:dyDescent="0.3"/>
    <row r="829" ht="14.4" hidden="1" x14ac:dyDescent="0.3"/>
    <row r="830" ht="14.4" hidden="1" x14ac:dyDescent="0.3"/>
    <row r="831" ht="14.4" hidden="1" x14ac:dyDescent="0.3"/>
    <row r="832" ht="14.4" hidden="1" x14ac:dyDescent="0.3"/>
    <row r="833" ht="14.4" hidden="1" x14ac:dyDescent="0.3"/>
    <row r="834" ht="14.4" hidden="1" x14ac:dyDescent="0.3"/>
    <row r="835" ht="14.4" hidden="1" x14ac:dyDescent="0.3"/>
    <row r="836" ht="14.4" hidden="1" x14ac:dyDescent="0.3"/>
    <row r="837" ht="14.4" hidden="1" x14ac:dyDescent="0.3"/>
    <row r="838" ht="14.4" hidden="1" x14ac:dyDescent="0.3"/>
    <row r="839" ht="14.4" hidden="1" x14ac:dyDescent="0.3"/>
    <row r="840" ht="14.4" hidden="1" x14ac:dyDescent="0.3"/>
    <row r="841" ht="14.4" hidden="1" x14ac:dyDescent="0.3"/>
    <row r="842" ht="14.4" hidden="1" x14ac:dyDescent="0.3"/>
    <row r="843" ht="14.4" hidden="1" x14ac:dyDescent="0.3"/>
    <row r="844" ht="14.4" hidden="1" x14ac:dyDescent="0.3"/>
    <row r="845" ht="14.4" hidden="1" x14ac:dyDescent="0.3"/>
    <row r="846" ht="14.4" hidden="1" x14ac:dyDescent="0.3"/>
    <row r="847" ht="14.4" hidden="1" x14ac:dyDescent="0.3"/>
    <row r="848" ht="14.4" hidden="1" x14ac:dyDescent="0.3"/>
    <row r="849" ht="14.4" hidden="1" x14ac:dyDescent="0.3"/>
    <row r="850" ht="14.4" hidden="1" x14ac:dyDescent="0.3"/>
    <row r="851" ht="14.4" hidden="1" x14ac:dyDescent="0.3"/>
    <row r="852" ht="14.4" hidden="1" x14ac:dyDescent="0.3"/>
    <row r="853" ht="14.4" hidden="1" x14ac:dyDescent="0.3"/>
    <row r="854" ht="14.4" hidden="1" x14ac:dyDescent="0.3"/>
    <row r="855" ht="14.4" hidden="1" x14ac:dyDescent="0.3"/>
    <row r="856" ht="14.4" hidden="1" x14ac:dyDescent="0.3"/>
    <row r="857" ht="14.4" hidden="1" x14ac:dyDescent="0.3"/>
    <row r="858" ht="14.4" hidden="1" x14ac:dyDescent="0.3"/>
    <row r="859" ht="14.4" hidden="1" x14ac:dyDescent="0.3"/>
    <row r="860" ht="14.4" hidden="1" x14ac:dyDescent="0.3"/>
    <row r="861" ht="14.4" hidden="1" x14ac:dyDescent="0.3"/>
    <row r="862" ht="14.4" hidden="1" x14ac:dyDescent="0.3"/>
    <row r="863" ht="14.4" hidden="1" x14ac:dyDescent="0.3"/>
    <row r="864" ht="14.4" hidden="1" x14ac:dyDescent="0.3"/>
    <row r="865" ht="14.4" hidden="1" x14ac:dyDescent="0.3"/>
    <row r="866" ht="14.4" hidden="1" x14ac:dyDescent="0.3"/>
    <row r="867" ht="14.4" hidden="1" x14ac:dyDescent="0.3"/>
    <row r="868" ht="14.4" hidden="1" x14ac:dyDescent="0.3"/>
    <row r="869" ht="14.4" hidden="1" x14ac:dyDescent="0.3"/>
    <row r="870" ht="14.4" hidden="1" x14ac:dyDescent="0.3"/>
    <row r="871" ht="14.4" hidden="1" x14ac:dyDescent="0.3"/>
    <row r="872" ht="14.4" hidden="1" x14ac:dyDescent="0.3"/>
    <row r="873" ht="14.4" hidden="1" x14ac:dyDescent="0.3"/>
    <row r="874" ht="14.4" hidden="1" x14ac:dyDescent="0.3"/>
    <row r="875" ht="14.4" hidden="1" x14ac:dyDescent="0.3"/>
    <row r="876" ht="14.4" hidden="1" x14ac:dyDescent="0.3"/>
    <row r="877" ht="14.4" hidden="1" x14ac:dyDescent="0.3"/>
    <row r="878" ht="14.4" hidden="1" x14ac:dyDescent="0.3"/>
    <row r="879" ht="14.4" hidden="1" x14ac:dyDescent="0.3"/>
    <row r="880" ht="14.4" hidden="1" x14ac:dyDescent="0.3"/>
    <row r="881" ht="14.4" hidden="1" x14ac:dyDescent="0.3"/>
    <row r="882" ht="14.4" hidden="1" x14ac:dyDescent="0.3"/>
    <row r="883" ht="14.4" hidden="1" x14ac:dyDescent="0.3"/>
    <row r="884" ht="14.4" hidden="1" x14ac:dyDescent="0.3"/>
    <row r="885" ht="14.4" hidden="1" x14ac:dyDescent="0.3"/>
    <row r="886" ht="14.4" hidden="1" x14ac:dyDescent="0.3"/>
    <row r="887" ht="14.4" hidden="1" x14ac:dyDescent="0.3"/>
    <row r="888" ht="14.4" hidden="1" x14ac:dyDescent="0.3"/>
    <row r="889" ht="14.4" hidden="1" x14ac:dyDescent="0.3"/>
    <row r="890" ht="14.4" hidden="1" x14ac:dyDescent="0.3"/>
    <row r="891" ht="14.4" hidden="1" x14ac:dyDescent="0.3"/>
    <row r="892" ht="14.4" hidden="1" x14ac:dyDescent="0.3"/>
    <row r="893" ht="14.4" hidden="1" x14ac:dyDescent="0.3"/>
    <row r="894" ht="14.4" hidden="1" x14ac:dyDescent="0.3"/>
    <row r="895" ht="14.4" hidden="1" x14ac:dyDescent="0.3"/>
    <row r="896" ht="14.4" hidden="1" x14ac:dyDescent="0.3"/>
    <row r="897" ht="14.4" hidden="1" x14ac:dyDescent="0.3"/>
    <row r="898" ht="14.4" hidden="1" x14ac:dyDescent="0.3"/>
    <row r="899" ht="14.4" hidden="1" x14ac:dyDescent="0.3"/>
    <row r="900" ht="14.4" hidden="1" x14ac:dyDescent="0.3"/>
    <row r="901" ht="14.4" hidden="1" x14ac:dyDescent="0.3"/>
    <row r="902" ht="14.4" hidden="1" x14ac:dyDescent="0.3"/>
    <row r="903" ht="14.4" hidden="1" x14ac:dyDescent="0.3"/>
    <row r="904" ht="14.4" hidden="1" x14ac:dyDescent="0.3"/>
    <row r="905" ht="14.4" hidden="1" x14ac:dyDescent="0.3"/>
    <row r="906" ht="14.4" hidden="1" x14ac:dyDescent="0.3"/>
    <row r="907" ht="14.4" hidden="1" x14ac:dyDescent="0.3"/>
    <row r="908" ht="14.4" hidden="1" x14ac:dyDescent="0.3"/>
    <row r="909" ht="14.4" hidden="1" x14ac:dyDescent="0.3"/>
    <row r="910" ht="14.4" hidden="1" x14ac:dyDescent="0.3"/>
    <row r="911" ht="14.4" hidden="1" x14ac:dyDescent="0.3"/>
    <row r="912" ht="14.4" hidden="1" x14ac:dyDescent="0.3"/>
    <row r="913" ht="14.4" hidden="1" x14ac:dyDescent="0.3"/>
    <row r="914" ht="14.4" hidden="1" x14ac:dyDescent="0.3"/>
    <row r="915" ht="14.4" hidden="1" x14ac:dyDescent="0.3"/>
    <row r="916" ht="14.4" hidden="1" x14ac:dyDescent="0.3"/>
    <row r="917" ht="14.4" hidden="1" x14ac:dyDescent="0.3"/>
    <row r="918" ht="14.4" hidden="1" x14ac:dyDescent="0.3"/>
    <row r="919" ht="14.4" hidden="1" x14ac:dyDescent="0.3"/>
    <row r="920" ht="14.4" hidden="1" x14ac:dyDescent="0.3"/>
    <row r="921" ht="14.4" hidden="1" x14ac:dyDescent="0.3"/>
    <row r="922" ht="14.4" hidden="1" x14ac:dyDescent="0.3"/>
    <row r="923" ht="14.4" hidden="1" x14ac:dyDescent="0.3"/>
    <row r="924" ht="14.4" hidden="1" x14ac:dyDescent="0.3"/>
    <row r="925" ht="14.4" hidden="1" x14ac:dyDescent="0.3"/>
    <row r="926" ht="14.4" hidden="1" x14ac:dyDescent="0.3"/>
    <row r="927" ht="14.4" hidden="1" x14ac:dyDescent="0.3"/>
    <row r="928" ht="14.4" hidden="1" x14ac:dyDescent="0.3"/>
    <row r="929" ht="14.4" hidden="1" x14ac:dyDescent="0.3"/>
    <row r="930" ht="14.4" hidden="1" x14ac:dyDescent="0.3"/>
    <row r="931" ht="14.4" hidden="1" x14ac:dyDescent="0.3"/>
    <row r="932" ht="14.4" hidden="1" x14ac:dyDescent="0.3"/>
    <row r="933" ht="14.4" hidden="1" x14ac:dyDescent="0.3"/>
    <row r="934" ht="14.4" hidden="1" x14ac:dyDescent="0.3"/>
    <row r="935" ht="14.4" hidden="1" x14ac:dyDescent="0.3"/>
    <row r="936" ht="14.4" hidden="1" x14ac:dyDescent="0.3"/>
    <row r="937" ht="14.4" hidden="1" x14ac:dyDescent="0.3"/>
    <row r="938" ht="14.4" hidden="1" x14ac:dyDescent="0.3"/>
    <row r="939" ht="14.4" hidden="1" x14ac:dyDescent="0.3"/>
    <row r="940" ht="14.4" hidden="1" x14ac:dyDescent="0.3"/>
    <row r="941" ht="14.4" hidden="1" x14ac:dyDescent="0.3"/>
    <row r="942" ht="14.4" hidden="1" x14ac:dyDescent="0.3"/>
    <row r="943" ht="14.4" hidden="1" x14ac:dyDescent="0.3"/>
    <row r="944" ht="14.4" hidden="1" x14ac:dyDescent="0.3"/>
    <row r="945" ht="14.4" hidden="1" x14ac:dyDescent="0.3"/>
    <row r="946" ht="14.4" hidden="1" x14ac:dyDescent="0.3"/>
    <row r="947" ht="14.4" hidden="1" x14ac:dyDescent="0.3"/>
    <row r="948" ht="14.4" hidden="1" x14ac:dyDescent="0.3"/>
    <row r="949" ht="14.4" hidden="1" x14ac:dyDescent="0.3"/>
    <row r="950" ht="14.4" hidden="1" x14ac:dyDescent="0.3"/>
    <row r="951" ht="14.4" hidden="1" x14ac:dyDescent="0.3"/>
    <row r="952" ht="14.4" hidden="1" x14ac:dyDescent="0.3"/>
    <row r="953" ht="14.4" hidden="1" x14ac:dyDescent="0.3"/>
    <row r="954" ht="14.4" hidden="1" x14ac:dyDescent="0.3"/>
    <row r="955" ht="14.4" hidden="1" x14ac:dyDescent="0.3"/>
    <row r="956" ht="14.4" hidden="1" x14ac:dyDescent="0.3"/>
    <row r="957" ht="14.4" hidden="1" x14ac:dyDescent="0.3"/>
    <row r="958" ht="14.4" hidden="1" x14ac:dyDescent="0.3"/>
    <row r="959" ht="14.4" hidden="1" x14ac:dyDescent="0.3"/>
    <row r="960" ht="14.4" hidden="1" x14ac:dyDescent="0.3"/>
    <row r="961" ht="14.4" hidden="1" x14ac:dyDescent="0.3"/>
    <row r="962" ht="14.4" hidden="1" x14ac:dyDescent="0.3"/>
    <row r="963" ht="14.4" hidden="1" x14ac:dyDescent="0.3"/>
    <row r="964" ht="14.4" hidden="1" x14ac:dyDescent="0.3"/>
    <row r="965" ht="14.4" hidden="1" x14ac:dyDescent="0.3"/>
    <row r="966" ht="14.4" hidden="1" x14ac:dyDescent="0.3"/>
    <row r="967" ht="14.4" hidden="1" x14ac:dyDescent="0.3"/>
    <row r="968" ht="14.4" hidden="1" x14ac:dyDescent="0.3"/>
    <row r="969" ht="14.4" hidden="1" x14ac:dyDescent="0.3"/>
    <row r="970" ht="14.4" hidden="1" x14ac:dyDescent="0.3"/>
    <row r="971" ht="14.4" hidden="1" x14ac:dyDescent="0.3"/>
    <row r="972" ht="14.4" hidden="1" x14ac:dyDescent="0.3"/>
    <row r="973" ht="14.4" hidden="1" x14ac:dyDescent="0.3"/>
    <row r="974" ht="14.4" hidden="1" x14ac:dyDescent="0.3"/>
    <row r="975" ht="14.4" hidden="1" x14ac:dyDescent="0.3"/>
    <row r="976" ht="14.4" hidden="1" x14ac:dyDescent="0.3"/>
    <row r="977" ht="14.4" hidden="1" x14ac:dyDescent="0.3"/>
    <row r="978" ht="14.4" hidden="1" x14ac:dyDescent="0.3"/>
    <row r="979" ht="14.4" hidden="1" x14ac:dyDescent="0.3"/>
    <row r="980" ht="14.4" hidden="1" x14ac:dyDescent="0.3"/>
    <row r="981" ht="14.4" hidden="1" x14ac:dyDescent="0.3"/>
    <row r="982" ht="14.4" hidden="1" x14ac:dyDescent="0.3"/>
    <row r="983" ht="14.4" hidden="1" x14ac:dyDescent="0.3"/>
    <row r="984" ht="14.4" hidden="1" x14ac:dyDescent="0.3"/>
    <row r="985" ht="14.4" hidden="1" x14ac:dyDescent="0.3"/>
    <row r="986" ht="14.4" hidden="1" x14ac:dyDescent="0.3"/>
    <row r="987" ht="14.4" hidden="1" x14ac:dyDescent="0.3"/>
    <row r="988" ht="14.4" hidden="1" x14ac:dyDescent="0.3"/>
    <row r="989" ht="14.4" hidden="1" x14ac:dyDescent="0.3"/>
    <row r="990" ht="14.4" hidden="1" x14ac:dyDescent="0.3"/>
    <row r="991" ht="14.4" hidden="1" x14ac:dyDescent="0.3"/>
    <row r="992" ht="14.4" hidden="1" x14ac:dyDescent="0.3"/>
    <row r="993" ht="14.4" hidden="1" x14ac:dyDescent="0.3"/>
    <row r="994" ht="14.4" hidden="1" x14ac:dyDescent="0.3"/>
    <row r="995" ht="14.4" hidden="1" x14ac:dyDescent="0.3"/>
    <row r="996" ht="14.4" hidden="1" x14ac:dyDescent="0.3"/>
    <row r="997" ht="14.4" hidden="1" x14ac:dyDescent="0.3"/>
    <row r="998" ht="14.4" hidden="1" x14ac:dyDescent="0.3"/>
    <row r="999" ht="14.4" hidden="1" x14ac:dyDescent="0.3"/>
    <row r="1000" ht="14.4" hidden="1" x14ac:dyDescent="0.3"/>
  </sheetData>
  <autoFilter ref="A1:L1000" xr:uid="{00000000-0009-0000-0000-000004000000}">
    <filterColumn colId="1">
      <filters>
        <filter val="Pune"/>
      </filters>
    </filterColumn>
    <filterColumn colId="6">
      <filters>
        <filter val="10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N401"/>
  <sheetViews>
    <sheetView workbookViewId="0"/>
  </sheetViews>
  <sheetFormatPr defaultColWidth="14.44140625" defaultRowHeight="15" customHeight="1" x14ac:dyDescent="0.3"/>
  <cols>
    <col min="1" max="1" width="9.5546875" customWidth="1"/>
  </cols>
  <sheetData>
    <row r="1" spans="1:14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0</v>
      </c>
      <c r="M1" s="1" t="s">
        <v>62</v>
      </c>
      <c r="N1" s="1">
        <f>SUM(E2:E401)</f>
        <v>4446</v>
      </c>
    </row>
    <row r="2" spans="1:14" x14ac:dyDescent="0.3">
      <c r="A2" s="1" t="s">
        <v>11</v>
      </c>
      <c r="B2" s="1" t="s">
        <v>12</v>
      </c>
      <c r="C2" s="1" t="s">
        <v>13</v>
      </c>
      <c r="D2" s="1" t="s">
        <v>14</v>
      </c>
      <c r="E2" s="1">
        <v>3</v>
      </c>
      <c r="F2" s="1">
        <v>222</v>
      </c>
      <c r="G2" s="1">
        <v>15</v>
      </c>
      <c r="H2" s="2">
        <v>46081</v>
      </c>
      <c r="I2" s="2">
        <v>46083</v>
      </c>
      <c r="J2" s="1" t="s">
        <v>15</v>
      </c>
      <c r="K2" s="1">
        <v>1001</v>
      </c>
      <c r="M2" s="1" t="s">
        <v>63</v>
      </c>
      <c r="N2" s="1">
        <f>AVERAGE(F2:F401)</f>
        <v>16067.842500000001</v>
      </c>
    </row>
    <row r="3" spans="1:14" x14ac:dyDescent="0.3">
      <c r="A3" s="1" t="s">
        <v>16</v>
      </c>
      <c r="B3" s="1" t="s">
        <v>17</v>
      </c>
      <c r="C3" s="1" t="s">
        <v>18</v>
      </c>
      <c r="D3" s="1" t="s">
        <v>19</v>
      </c>
      <c r="E3" s="1">
        <v>7</v>
      </c>
      <c r="F3" s="1">
        <v>8448</v>
      </c>
      <c r="G3" s="1">
        <v>12</v>
      </c>
      <c r="H3" s="2">
        <v>46174</v>
      </c>
      <c r="I3" s="2">
        <v>46179</v>
      </c>
      <c r="J3" s="1" t="s">
        <v>20</v>
      </c>
      <c r="K3" s="1">
        <v>1002</v>
      </c>
      <c r="M3" s="1" t="s">
        <v>64</v>
      </c>
      <c r="N3" s="1">
        <f>MIN(F2:F401)</f>
        <v>30</v>
      </c>
    </row>
    <row r="4" spans="1:14" x14ac:dyDescent="0.3">
      <c r="A4" s="1" t="s">
        <v>21</v>
      </c>
      <c r="B4" s="1" t="s">
        <v>22</v>
      </c>
      <c r="C4" s="1" t="s">
        <v>18</v>
      </c>
      <c r="D4" s="1" t="s">
        <v>23</v>
      </c>
      <c r="E4" s="1">
        <v>20</v>
      </c>
      <c r="F4" s="1">
        <v>2123</v>
      </c>
      <c r="G4" s="1">
        <v>15</v>
      </c>
      <c r="H4" s="2">
        <v>46183</v>
      </c>
      <c r="I4" s="2">
        <v>46192</v>
      </c>
      <c r="J4" s="1" t="s">
        <v>24</v>
      </c>
      <c r="K4" s="1">
        <v>1003</v>
      </c>
      <c r="M4" s="1" t="s">
        <v>65</v>
      </c>
      <c r="N4" s="1">
        <f>MAX(F2:F401)</f>
        <v>69793</v>
      </c>
    </row>
    <row r="5" spans="1:14" x14ac:dyDescent="0.3">
      <c r="A5" s="1" t="s">
        <v>16</v>
      </c>
      <c r="B5" s="1" t="s">
        <v>25</v>
      </c>
      <c r="C5" s="1" t="s">
        <v>18</v>
      </c>
      <c r="D5" s="1" t="s">
        <v>23</v>
      </c>
      <c r="E5" s="1">
        <v>16</v>
      </c>
      <c r="F5" s="1">
        <v>11739</v>
      </c>
      <c r="G5" s="1">
        <v>12</v>
      </c>
      <c r="H5" s="2">
        <v>46034</v>
      </c>
      <c r="I5" s="2">
        <v>46040</v>
      </c>
      <c r="J5" s="1" t="s">
        <v>20</v>
      </c>
      <c r="K5" s="1">
        <v>1004</v>
      </c>
      <c r="M5" s="1" t="s">
        <v>66</v>
      </c>
      <c r="N5" s="1">
        <f>COUNT(K2:K401)</f>
        <v>400</v>
      </c>
    </row>
    <row r="6" spans="1:14" x14ac:dyDescent="0.3">
      <c r="A6" s="1" t="s">
        <v>26</v>
      </c>
      <c r="B6" s="1" t="s">
        <v>17</v>
      </c>
      <c r="C6" s="1" t="s">
        <v>13</v>
      </c>
      <c r="D6" s="1" t="s">
        <v>14</v>
      </c>
      <c r="E6" s="1">
        <v>18</v>
      </c>
      <c r="F6" s="1">
        <v>70</v>
      </c>
      <c r="G6" s="1">
        <v>0</v>
      </c>
      <c r="H6" s="2">
        <v>46171</v>
      </c>
      <c r="I6" s="2">
        <v>46179</v>
      </c>
      <c r="J6" s="1" t="s">
        <v>24</v>
      </c>
      <c r="K6" s="1">
        <v>1005</v>
      </c>
    </row>
    <row r="7" spans="1:14" x14ac:dyDescent="0.3">
      <c r="A7" s="1" t="s">
        <v>27</v>
      </c>
      <c r="B7" s="1" t="s">
        <v>25</v>
      </c>
      <c r="C7" s="1" t="s">
        <v>18</v>
      </c>
      <c r="D7" s="1" t="s">
        <v>28</v>
      </c>
      <c r="E7" s="1">
        <v>3</v>
      </c>
      <c r="F7" s="1">
        <v>2714</v>
      </c>
      <c r="G7" s="1">
        <v>5</v>
      </c>
      <c r="H7" s="2">
        <v>46055</v>
      </c>
      <c r="I7" s="2">
        <v>46062</v>
      </c>
      <c r="J7" s="1" t="s">
        <v>29</v>
      </c>
      <c r="K7" s="1">
        <v>1006</v>
      </c>
    </row>
    <row r="8" spans="1:14" x14ac:dyDescent="0.3">
      <c r="A8" s="1" t="s">
        <v>21</v>
      </c>
      <c r="B8" s="1" t="s">
        <v>22</v>
      </c>
      <c r="C8" s="1" t="s">
        <v>13</v>
      </c>
      <c r="D8" s="1" t="s">
        <v>14</v>
      </c>
      <c r="E8" s="1">
        <v>19</v>
      </c>
      <c r="F8" s="1">
        <v>149</v>
      </c>
      <c r="G8" s="1">
        <v>7</v>
      </c>
      <c r="H8" s="2">
        <v>46162</v>
      </c>
      <c r="I8" s="2">
        <v>46168</v>
      </c>
      <c r="J8" s="1" t="s">
        <v>24</v>
      </c>
      <c r="K8" s="1">
        <v>1007</v>
      </c>
    </row>
    <row r="9" spans="1:14" x14ac:dyDescent="0.3">
      <c r="A9" s="1" t="s">
        <v>30</v>
      </c>
      <c r="B9" s="1" t="s">
        <v>31</v>
      </c>
      <c r="C9" s="1" t="s">
        <v>18</v>
      </c>
      <c r="D9" s="1" t="s">
        <v>28</v>
      </c>
      <c r="E9" s="1">
        <v>1</v>
      </c>
      <c r="F9" s="1">
        <v>1134</v>
      </c>
      <c r="G9" s="1">
        <v>0</v>
      </c>
      <c r="H9" s="2">
        <v>46033</v>
      </c>
      <c r="I9" s="2">
        <v>46041</v>
      </c>
      <c r="J9" s="1" t="s">
        <v>24</v>
      </c>
      <c r="K9" s="1">
        <v>1008</v>
      </c>
    </row>
    <row r="10" spans="1:14" x14ac:dyDescent="0.3">
      <c r="A10" s="1" t="s">
        <v>32</v>
      </c>
      <c r="B10" s="1" t="s">
        <v>33</v>
      </c>
      <c r="C10" s="1" t="s">
        <v>34</v>
      </c>
      <c r="D10" s="1" t="s">
        <v>35</v>
      </c>
      <c r="E10" s="1">
        <v>10</v>
      </c>
      <c r="F10" s="1">
        <v>40671</v>
      </c>
      <c r="G10" s="1">
        <v>12</v>
      </c>
      <c r="H10" s="2">
        <v>46183</v>
      </c>
      <c r="I10" s="2">
        <v>46193</v>
      </c>
      <c r="J10" s="1" t="s">
        <v>24</v>
      </c>
      <c r="K10" s="1">
        <v>1009</v>
      </c>
    </row>
    <row r="11" spans="1:14" x14ac:dyDescent="0.3">
      <c r="A11" s="1" t="s">
        <v>11</v>
      </c>
      <c r="B11" s="1" t="s">
        <v>17</v>
      </c>
      <c r="C11" s="1" t="s">
        <v>13</v>
      </c>
      <c r="D11" s="1" t="s">
        <v>36</v>
      </c>
      <c r="E11" s="1">
        <v>14</v>
      </c>
      <c r="F11" s="1">
        <v>470</v>
      </c>
      <c r="G11" s="1">
        <v>5</v>
      </c>
      <c r="H11" s="2">
        <v>46062</v>
      </c>
      <c r="I11" s="2">
        <v>46068</v>
      </c>
      <c r="J11" s="1" t="s">
        <v>15</v>
      </c>
      <c r="K11" s="1">
        <v>1010</v>
      </c>
    </row>
    <row r="12" spans="1:14" x14ac:dyDescent="0.3">
      <c r="A12" s="1" t="s">
        <v>11</v>
      </c>
      <c r="B12" s="1" t="s">
        <v>17</v>
      </c>
      <c r="C12" s="1" t="s">
        <v>13</v>
      </c>
      <c r="D12" s="1" t="s">
        <v>37</v>
      </c>
      <c r="E12" s="1">
        <v>14</v>
      </c>
      <c r="F12" s="1">
        <v>88</v>
      </c>
      <c r="G12" s="1">
        <v>12</v>
      </c>
      <c r="H12" s="2">
        <v>46161</v>
      </c>
      <c r="I12" s="2">
        <v>46163</v>
      </c>
      <c r="J12" s="1" t="s">
        <v>15</v>
      </c>
      <c r="K12" s="1">
        <v>1011</v>
      </c>
    </row>
    <row r="13" spans="1:14" x14ac:dyDescent="0.3">
      <c r="A13" s="1" t="s">
        <v>26</v>
      </c>
      <c r="B13" s="1" t="s">
        <v>38</v>
      </c>
      <c r="C13" s="1" t="s">
        <v>34</v>
      </c>
      <c r="D13" s="1" t="s">
        <v>39</v>
      </c>
      <c r="E13" s="1">
        <v>3</v>
      </c>
      <c r="F13" s="1">
        <v>64615</v>
      </c>
      <c r="G13" s="1">
        <v>10</v>
      </c>
      <c r="H13" s="2">
        <v>46086</v>
      </c>
      <c r="I13" s="2">
        <v>46095</v>
      </c>
      <c r="J13" s="1" t="s">
        <v>29</v>
      </c>
      <c r="K13" s="1">
        <v>1012</v>
      </c>
    </row>
    <row r="14" spans="1:14" x14ac:dyDescent="0.3">
      <c r="A14" s="1" t="s">
        <v>16</v>
      </c>
      <c r="B14" s="1" t="s">
        <v>31</v>
      </c>
      <c r="C14" s="1" t="s">
        <v>13</v>
      </c>
      <c r="D14" s="1" t="s">
        <v>36</v>
      </c>
      <c r="E14" s="1">
        <v>17</v>
      </c>
      <c r="F14" s="1">
        <v>459</v>
      </c>
      <c r="G14" s="1">
        <v>12</v>
      </c>
      <c r="H14" s="2">
        <v>46095</v>
      </c>
      <c r="I14" s="2">
        <v>46105</v>
      </c>
      <c r="J14" s="1" t="s">
        <v>29</v>
      </c>
      <c r="K14" s="1">
        <v>1013</v>
      </c>
    </row>
    <row r="15" spans="1:14" x14ac:dyDescent="0.3">
      <c r="A15" s="1" t="s">
        <v>40</v>
      </c>
      <c r="B15" s="1" t="s">
        <v>17</v>
      </c>
      <c r="C15" s="1" t="s">
        <v>34</v>
      </c>
      <c r="D15" s="1" t="s">
        <v>41</v>
      </c>
      <c r="E15" s="1">
        <v>19</v>
      </c>
      <c r="F15" s="1">
        <v>53683</v>
      </c>
      <c r="G15" s="1">
        <v>12</v>
      </c>
      <c r="H15" s="2">
        <v>46129</v>
      </c>
      <c r="I15" s="2">
        <v>46134</v>
      </c>
      <c r="J15" s="1" t="s">
        <v>29</v>
      </c>
      <c r="K15" s="1">
        <v>1014</v>
      </c>
    </row>
    <row r="16" spans="1:14" x14ac:dyDescent="0.3">
      <c r="A16" s="1" t="s">
        <v>42</v>
      </c>
      <c r="B16" s="1" t="s">
        <v>43</v>
      </c>
      <c r="C16" s="1" t="s">
        <v>18</v>
      </c>
      <c r="D16" s="1" t="s">
        <v>44</v>
      </c>
      <c r="E16" s="1">
        <v>11</v>
      </c>
      <c r="F16" s="1">
        <v>14511</v>
      </c>
      <c r="G16" s="1">
        <v>2</v>
      </c>
      <c r="H16" s="2">
        <v>46175</v>
      </c>
      <c r="I16" s="2">
        <v>46185</v>
      </c>
      <c r="J16" s="1" t="s">
        <v>20</v>
      </c>
      <c r="K16" s="1">
        <v>1015</v>
      </c>
    </row>
    <row r="17" spans="1:11" x14ac:dyDescent="0.3">
      <c r="A17" s="1" t="s">
        <v>32</v>
      </c>
      <c r="B17" s="1" t="s">
        <v>33</v>
      </c>
      <c r="C17" s="1" t="s">
        <v>34</v>
      </c>
      <c r="D17" s="1" t="s">
        <v>45</v>
      </c>
      <c r="E17" s="1">
        <v>16</v>
      </c>
      <c r="F17" s="1">
        <v>30234</v>
      </c>
      <c r="G17" s="1">
        <v>15</v>
      </c>
      <c r="H17" s="2">
        <v>46137</v>
      </c>
      <c r="I17" s="2">
        <v>46140</v>
      </c>
      <c r="J17" s="1" t="s">
        <v>24</v>
      </c>
      <c r="K17" s="1">
        <v>1016</v>
      </c>
    </row>
    <row r="18" spans="1:11" x14ac:dyDescent="0.3">
      <c r="A18" s="1" t="s">
        <v>46</v>
      </c>
      <c r="B18" s="1" t="s">
        <v>38</v>
      </c>
      <c r="C18" s="1" t="s">
        <v>13</v>
      </c>
      <c r="D18" s="1" t="s">
        <v>36</v>
      </c>
      <c r="E18" s="1">
        <v>8</v>
      </c>
      <c r="F18" s="1">
        <v>179</v>
      </c>
      <c r="G18" s="1">
        <v>15</v>
      </c>
      <c r="H18" s="2">
        <v>46082</v>
      </c>
      <c r="I18" s="2">
        <v>46084</v>
      </c>
      <c r="J18" s="1" t="s">
        <v>15</v>
      </c>
      <c r="K18" s="1">
        <v>1017</v>
      </c>
    </row>
    <row r="19" spans="1:11" x14ac:dyDescent="0.3">
      <c r="A19" s="1" t="s">
        <v>47</v>
      </c>
      <c r="B19" s="1" t="s">
        <v>25</v>
      </c>
      <c r="C19" s="1" t="s">
        <v>13</v>
      </c>
      <c r="D19" s="1" t="s">
        <v>14</v>
      </c>
      <c r="E19" s="1">
        <v>20</v>
      </c>
      <c r="F19" s="1">
        <v>301</v>
      </c>
      <c r="G19" s="1">
        <v>0</v>
      </c>
      <c r="H19" s="2">
        <v>46089</v>
      </c>
      <c r="I19" s="2">
        <v>46094</v>
      </c>
      <c r="J19" s="1" t="s">
        <v>29</v>
      </c>
      <c r="K19" s="1">
        <v>1018</v>
      </c>
    </row>
    <row r="20" spans="1:11" x14ac:dyDescent="0.3">
      <c r="A20" s="1" t="s">
        <v>11</v>
      </c>
      <c r="B20" s="1" t="s">
        <v>43</v>
      </c>
      <c r="C20" s="1" t="s">
        <v>34</v>
      </c>
      <c r="D20" s="1" t="s">
        <v>41</v>
      </c>
      <c r="E20" s="1">
        <v>18</v>
      </c>
      <c r="F20" s="1">
        <v>45652</v>
      </c>
      <c r="G20" s="1">
        <v>10</v>
      </c>
      <c r="H20" s="2">
        <v>46023</v>
      </c>
      <c r="I20" s="2">
        <v>46030</v>
      </c>
      <c r="J20" s="1" t="s">
        <v>20</v>
      </c>
      <c r="K20" s="1">
        <v>1019</v>
      </c>
    </row>
    <row r="21" spans="1:11" x14ac:dyDescent="0.3">
      <c r="A21" s="1" t="s">
        <v>46</v>
      </c>
      <c r="B21" s="1" t="s">
        <v>12</v>
      </c>
      <c r="C21" s="1" t="s">
        <v>18</v>
      </c>
      <c r="D21" s="1" t="s">
        <v>19</v>
      </c>
      <c r="E21" s="1">
        <v>5</v>
      </c>
      <c r="F21" s="1">
        <v>4582</v>
      </c>
      <c r="G21" s="1">
        <v>5</v>
      </c>
      <c r="H21" s="2">
        <v>46078</v>
      </c>
      <c r="I21" s="2">
        <v>46083</v>
      </c>
      <c r="J21" s="1" t="s">
        <v>15</v>
      </c>
      <c r="K21" s="1">
        <v>1020</v>
      </c>
    </row>
    <row r="22" spans="1:11" x14ac:dyDescent="0.3">
      <c r="A22" s="1" t="s">
        <v>48</v>
      </c>
      <c r="B22" s="1" t="s">
        <v>43</v>
      </c>
      <c r="C22" s="1" t="s">
        <v>13</v>
      </c>
      <c r="D22" s="1" t="s">
        <v>14</v>
      </c>
      <c r="E22" s="1">
        <v>3</v>
      </c>
      <c r="F22" s="1">
        <v>484</v>
      </c>
      <c r="G22" s="1">
        <v>2</v>
      </c>
      <c r="H22" s="2">
        <v>46144</v>
      </c>
      <c r="I22" s="2">
        <v>46148</v>
      </c>
      <c r="J22" s="1" t="s">
        <v>24</v>
      </c>
      <c r="K22" s="1">
        <v>1021</v>
      </c>
    </row>
    <row r="23" spans="1:11" x14ac:dyDescent="0.3">
      <c r="A23" s="1" t="s">
        <v>26</v>
      </c>
      <c r="B23" s="1" t="s">
        <v>17</v>
      </c>
      <c r="C23" s="1" t="s">
        <v>34</v>
      </c>
      <c r="D23" s="1" t="s">
        <v>45</v>
      </c>
      <c r="E23" s="1">
        <v>15</v>
      </c>
      <c r="F23" s="1">
        <v>11596</v>
      </c>
      <c r="G23" s="1">
        <v>0</v>
      </c>
      <c r="H23" s="2">
        <v>46117</v>
      </c>
      <c r="I23" s="2">
        <v>46121</v>
      </c>
      <c r="J23" s="1" t="s">
        <v>29</v>
      </c>
      <c r="K23" s="1">
        <v>1022</v>
      </c>
    </row>
    <row r="24" spans="1:11" x14ac:dyDescent="0.3">
      <c r="A24" s="1" t="s">
        <v>40</v>
      </c>
      <c r="B24" s="1" t="s">
        <v>12</v>
      </c>
      <c r="C24" s="1" t="s">
        <v>18</v>
      </c>
      <c r="D24" s="1" t="s">
        <v>44</v>
      </c>
      <c r="E24" s="1">
        <v>15</v>
      </c>
      <c r="F24" s="1">
        <v>3506</v>
      </c>
      <c r="G24" s="1">
        <v>2</v>
      </c>
      <c r="H24" s="2">
        <v>46193</v>
      </c>
      <c r="I24" s="2">
        <v>46194</v>
      </c>
      <c r="J24" s="1" t="s">
        <v>29</v>
      </c>
      <c r="K24" s="1">
        <v>1023</v>
      </c>
    </row>
    <row r="25" spans="1:11" x14ac:dyDescent="0.3">
      <c r="A25" s="1" t="s">
        <v>32</v>
      </c>
      <c r="B25" s="1" t="s">
        <v>38</v>
      </c>
      <c r="C25" s="1" t="s">
        <v>34</v>
      </c>
      <c r="D25" s="1" t="s">
        <v>41</v>
      </c>
      <c r="E25" s="1">
        <v>12</v>
      </c>
      <c r="F25" s="1">
        <v>1682</v>
      </c>
      <c r="G25" s="1">
        <v>5</v>
      </c>
      <c r="H25" s="2">
        <v>46161</v>
      </c>
      <c r="I25" s="2">
        <v>46165</v>
      </c>
      <c r="J25" s="1" t="s">
        <v>15</v>
      </c>
      <c r="K25" s="1">
        <v>1024</v>
      </c>
    </row>
    <row r="26" spans="1:11" x14ac:dyDescent="0.3">
      <c r="A26" s="1" t="s">
        <v>21</v>
      </c>
      <c r="B26" s="1" t="s">
        <v>12</v>
      </c>
      <c r="C26" s="1" t="s">
        <v>18</v>
      </c>
      <c r="D26" s="1" t="s">
        <v>19</v>
      </c>
      <c r="E26" s="1">
        <v>18</v>
      </c>
      <c r="F26" s="1">
        <v>7924</v>
      </c>
      <c r="G26" s="1">
        <v>0</v>
      </c>
      <c r="H26" s="2">
        <v>46175</v>
      </c>
      <c r="I26" s="2">
        <v>46181</v>
      </c>
      <c r="J26" s="1" t="s">
        <v>15</v>
      </c>
      <c r="K26" s="1">
        <v>1025</v>
      </c>
    </row>
    <row r="27" spans="1:11" x14ac:dyDescent="0.3">
      <c r="A27" s="1" t="s">
        <v>49</v>
      </c>
      <c r="B27" s="1" t="s">
        <v>31</v>
      </c>
      <c r="C27" s="1" t="s">
        <v>13</v>
      </c>
      <c r="D27" s="1" t="s">
        <v>50</v>
      </c>
      <c r="E27" s="1">
        <v>17</v>
      </c>
      <c r="F27" s="1">
        <v>323</v>
      </c>
      <c r="G27" s="1">
        <v>10</v>
      </c>
      <c r="H27" s="2">
        <v>46039</v>
      </c>
      <c r="I27" s="2">
        <v>46040</v>
      </c>
      <c r="J27" s="1" t="s">
        <v>29</v>
      </c>
      <c r="K27" s="1">
        <v>1026</v>
      </c>
    </row>
    <row r="28" spans="1:11" x14ac:dyDescent="0.3">
      <c r="A28" s="1" t="s">
        <v>29</v>
      </c>
      <c r="B28" s="1" t="s">
        <v>43</v>
      </c>
      <c r="C28" s="1" t="s">
        <v>13</v>
      </c>
      <c r="D28" s="1" t="s">
        <v>50</v>
      </c>
      <c r="E28" s="1">
        <v>4</v>
      </c>
      <c r="F28" s="1">
        <v>264</v>
      </c>
      <c r="G28" s="1">
        <v>0</v>
      </c>
      <c r="H28" s="2">
        <v>46155</v>
      </c>
      <c r="I28" s="2">
        <v>46161</v>
      </c>
      <c r="J28" s="1" t="s">
        <v>51</v>
      </c>
      <c r="K28" s="1">
        <v>1027</v>
      </c>
    </row>
    <row r="29" spans="1:11" x14ac:dyDescent="0.3">
      <c r="A29" s="1" t="s">
        <v>47</v>
      </c>
      <c r="B29" s="1" t="s">
        <v>22</v>
      </c>
      <c r="C29" s="1" t="s">
        <v>13</v>
      </c>
      <c r="D29" s="1" t="s">
        <v>36</v>
      </c>
      <c r="E29" s="1">
        <v>13</v>
      </c>
      <c r="F29" s="1">
        <v>433</v>
      </c>
      <c r="G29" s="1">
        <v>2</v>
      </c>
      <c r="H29" s="2">
        <v>46116</v>
      </c>
      <c r="I29" s="2">
        <v>46121</v>
      </c>
      <c r="J29" s="1" t="s">
        <v>24</v>
      </c>
      <c r="K29" s="1">
        <v>1028</v>
      </c>
    </row>
    <row r="30" spans="1:11" x14ac:dyDescent="0.3">
      <c r="A30" s="1" t="s">
        <v>30</v>
      </c>
      <c r="B30" s="1" t="s">
        <v>25</v>
      </c>
      <c r="C30" s="1" t="s">
        <v>13</v>
      </c>
      <c r="D30" s="1" t="s">
        <v>36</v>
      </c>
      <c r="E30" s="1">
        <v>18</v>
      </c>
      <c r="F30" s="1">
        <v>443</v>
      </c>
      <c r="G30" s="1">
        <v>5</v>
      </c>
      <c r="H30" s="2">
        <v>46046</v>
      </c>
      <c r="I30" s="2">
        <v>46054</v>
      </c>
      <c r="J30" s="1" t="s">
        <v>24</v>
      </c>
      <c r="K30" s="1">
        <v>1029</v>
      </c>
    </row>
    <row r="31" spans="1:11" x14ac:dyDescent="0.3">
      <c r="A31" s="1" t="s">
        <v>52</v>
      </c>
      <c r="B31" s="1" t="s">
        <v>12</v>
      </c>
      <c r="C31" s="1" t="s">
        <v>13</v>
      </c>
      <c r="D31" s="1" t="s">
        <v>53</v>
      </c>
      <c r="E31" s="1">
        <v>13</v>
      </c>
      <c r="F31" s="1">
        <v>336</v>
      </c>
      <c r="G31" s="1">
        <v>10</v>
      </c>
      <c r="H31" s="2">
        <v>46098</v>
      </c>
      <c r="I31" s="2">
        <v>46108</v>
      </c>
      <c r="J31" s="1" t="s">
        <v>15</v>
      </c>
      <c r="K31" s="1">
        <v>1030</v>
      </c>
    </row>
    <row r="32" spans="1:11" x14ac:dyDescent="0.3">
      <c r="A32" s="1" t="s">
        <v>54</v>
      </c>
      <c r="B32" s="1" t="s">
        <v>31</v>
      </c>
      <c r="C32" s="1" t="s">
        <v>13</v>
      </c>
      <c r="D32" s="1" t="s">
        <v>53</v>
      </c>
      <c r="E32" s="1">
        <v>2</v>
      </c>
      <c r="F32" s="1">
        <v>184</v>
      </c>
      <c r="G32" s="1">
        <v>5</v>
      </c>
      <c r="H32" s="2">
        <v>46089</v>
      </c>
      <c r="I32" s="2">
        <v>46093</v>
      </c>
      <c r="J32" s="1" t="s">
        <v>20</v>
      </c>
      <c r="K32" s="1">
        <v>1031</v>
      </c>
    </row>
    <row r="33" spans="1:11" x14ac:dyDescent="0.3">
      <c r="A33" s="1" t="s">
        <v>54</v>
      </c>
      <c r="B33" s="1" t="s">
        <v>43</v>
      </c>
      <c r="C33" s="1" t="s">
        <v>34</v>
      </c>
      <c r="D33" s="1" t="s">
        <v>39</v>
      </c>
      <c r="E33" s="1">
        <v>20</v>
      </c>
      <c r="F33" s="1">
        <v>11305</v>
      </c>
      <c r="G33" s="1">
        <v>2</v>
      </c>
      <c r="H33" s="2">
        <v>46163</v>
      </c>
      <c r="I33" s="2">
        <v>46165</v>
      </c>
      <c r="J33" s="1" t="s">
        <v>29</v>
      </c>
      <c r="K33" s="1">
        <v>1032</v>
      </c>
    </row>
    <row r="34" spans="1:11" x14ac:dyDescent="0.3">
      <c r="A34" s="1" t="s">
        <v>11</v>
      </c>
      <c r="B34" s="1" t="s">
        <v>43</v>
      </c>
      <c r="C34" s="1" t="s">
        <v>18</v>
      </c>
      <c r="D34" s="1" t="s">
        <v>19</v>
      </c>
      <c r="E34" s="1">
        <v>9</v>
      </c>
      <c r="F34" s="1">
        <v>4895</v>
      </c>
      <c r="G34" s="1">
        <v>2</v>
      </c>
      <c r="H34" s="2">
        <v>46082</v>
      </c>
      <c r="I34" s="2">
        <v>46084</v>
      </c>
      <c r="J34" s="1" t="s">
        <v>29</v>
      </c>
      <c r="K34" s="1">
        <v>1033</v>
      </c>
    </row>
    <row r="35" spans="1:11" x14ac:dyDescent="0.3">
      <c r="A35" s="1" t="s">
        <v>55</v>
      </c>
      <c r="B35" s="1" t="s">
        <v>33</v>
      </c>
      <c r="C35" s="1" t="s">
        <v>18</v>
      </c>
      <c r="D35" s="1" t="s">
        <v>28</v>
      </c>
      <c r="E35" s="1">
        <v>17</v>
      </c>
      <c r="F35" s="1">
        <v>5104</v>
      </c>
      <c r="G35" s="1">
        <v>12</v>
      </c>
      <c r="H35" s="2">
        <v>46052</v>
      </c>
      <c r="I35" s="2">
        <v>46061</v>
      </c>
      <c r="J35" s="1" t="s">
        <v>51</v>
      </c>
      <c r="K35" s="1">
        <v>1034</v>
      </c>
    </row>
    <row r="36" spans="1:11" x14ac:dyDescent="0.3">
      <c r="A36" s="1" t="s">
        <v>49</v>
      </c>
      <c r="B36" s="1" t="s">
        <v>43</v>
      </c>
      <c r="C36" s="1" t="s">
        <v>18</v>
      </c>
      <c r="D36" s="1" t="s">
        <v>56</v>
      </c>
      <c r="E36" s="1">
        <v>3</v>
      </c>
      <c r="F36" s="1">
        <v>9149</v>
      </c>
      <c r="G36" s="1">
        <v>0</v>
      </c>
      <c r="H36" s="2">
        <v>46031</v>
      </c>
      <c r="I36" s="2">
        <v>46034</v>
      </c>
      <c r="J36" s="1" t="s">
        <v>24</v>
      </c>
      <c r="K36" s="1">
        <v>1035</v>
      </c>
    </row>
    <row r="37" spans="1:11" x14ac:dyDescent="0.3">
      <c r="A37" s="1" t="s">
        <v>11</v>
      </c>
      <c r="B37" s="1" t="s">
        <v>25</v>
      </c>
      <c r="C37" s="1" t="s">
        <v>13</v>
      </c>
      <c r="D37" s="1" t="s">
        <v>36</v>
      </c>
      <c r="E37" s="1">
        <v>20</v>
      </c>
      <c r="F37" s="1">
        <v>161</v>
      </c>
      <c r="G37" s="1">
        <v>7</v>
      </c>
      <c r="H37" s="2">
        <v>46071</v>
      </c>
      <c r="I37" s="2">
        <v>46077</v>
      </c>
      <c r="J37" s="1" t="s">
        <v>24</v>
      </c>
      <c r="K37" s="1">
        <v>1036</v>
      </c>
    </row>
    <row r="38" spans="1:11" x14ac:dyDescent="0.3">
      <c r="A38" s="1" t="s">
        <v>46</v>
      </c>
      <c r="B38" s="1" t="s">
        <v>43</v>
      </c>
      <c r="C38" s="1" t="s">
        <v>18</v>
      </c>
      <c r="D38" s="1" t="s">
        <v>56</v>
      </c>
      <c r="E38" s="1">
        <v>6</v>
      </c>
      <c r="F38" s="1">
        <v>14385</v>
      </c>
      <c r="G38" s="1">
        <v>12</v>
      </c>
      <c r="H38" s="2">
        <v>46033</v>
      </c>
      <c r="I38" s="2">
        <v>46043</v>
      </c>
      <c r="J38" s="1" t="s">
        <v>24</v>
      </c>
      <c r="K38" s="1">
        <v>1037</v>
      </c>
    </row>
    <row r="39" spans="1:11" x14ac:dyDescent="0.3">
      <c r="A39" s="1" t="s">
        <v>55</v>
      </c>
      <c r="B39" s="1" t="s">
        <v>17</v>
      </c>
      <c r="C39" s="1" t="s">
        <v>13</v>
      </c>
      <c r="D39" s="1" t="s">
        <v>36</v>
      </c>
      <c r="E39" s="1">
        <v>17</v>
      </c>
      <c r="F39" s="1">
        <v>223</v>
      </c>
      <c r="G39" s="1">
        <v>7</v>
      </c>
      <c r="H39" s="2">
        <v>46030</v>
      </c>
      <c r="I39" s="2">
        <v>46031</v>
      </c>
      <c r="J39" s="1" t="s">
        <v>51</v>
      </c>
      <c r="K39" s="1">
        <v>1038</v>
      </c>
    </row>
    <row r="40" spans="1:11" x14ac:dyDescent="0.3">
      <c r="A40" s="1" t="s">
        <v>48</v>
      </c>
      <c r="B40" s="1" t="s">
        <v>38</v>
      </c>
      <c r="C40" s="1" t="s">
        <v>34</v>
      </c>
      <c r="D40" s="1" t="s">
        <v>45</v>
      </c>
      <c r="E40" s="1">
        <v>5</v>
      </c>
      <c r="F40" s="1">
        <v>60236</v>
      </c>
      <c r="G40" s="1">
        <v>10</v>
      </c>
      <c r="H40" s="2">
        <v>46107</v>
      </c>
      <c r="I40" s="2">
        <v>46110</v>
      </c>
      <c r="J40" s="1" t="s">
        <v>20</v>
      </c>
      <c r="K40" s="1">
        <v>1039</v>
      </c>
    </row>
    <row r="41" spans="1:11" x14ac:dyDescent="0.3">
      <c r="A41" s="1" t="s">
        <v>49</v>
      </c>
      <c r="B41" s="1" t="s">
        <v>38</v>
      </c>
      <c r="C41" s="1" t="s">
        <v>18</v>
      </c>
      <c r="D41" s="1" t="s">
        <v>28</v>
      </c>
      <c r="E41" s="1">
        <v>10</v>
      </c>
      <c r="F41" s="1">
        <v>7531</v>
      </c>
      <c r="G41" s="1">
        <v>2</v>
      </c>
      <c r="H41" s="2">
        <v>46171</v>
      </c>
      <c r="I41" s="2">
        <v>46178</v>
      </c>
      <c r="J41" s="1" t="s">
        <v>24</v>
      </c>
      <c r="K41" s="1">
        <v>1040</v>
      </c>
    </row>
    <row r="42" spans="1:11" x14ac:dyDescent="0.3">
      <c r="A42" s="1" t="s">
        <v>54</v>
      </c>
      <c r="B42" s="1" t="s">
        <v>38</v>
      </c>
      <c r="C42" s="1" t="s">
        <v>13</v>
      </c>
      <c r="D42" s="1" t="s">
        <v>50</v>
      </c>
      <c r="E42" s="1">
        <v>9</v>
      </c>
      <c r="F42" s="1">
        <v>71</v>
      </c>
      <c r="G42" s="1">
        <v>7</v>
      </c>
      <c r="H42" s="2">
        <v>46185</v>
      </c>
      <c r="I42" s="2">
        <v>46188</v>
      </c>
      <c r="J42" s="1" t="s">
        <v>15</v>
      </c>
      <c r="K42" s="1">
        <v>1041</v>
      </c>
    </row>
    <row r="43" spans="1:11" x14ac:dyDescent="0.3">
      <c r="A43" s="1" t="s">
        <v>46</v>
      </c>
      <c r="B43" s="1" t="s">
        <v>33</v>
      </c>
      <c r="C43" s="1" t="s">
        <v>13</v>
      </c>
      <c r="D43" s="1" t="s">
        <v>53</v>
      </c>
      <c r="E43" s="1">
        <v>16</v>
      </c>
      <c r="F43" s="1">
        <v>232</v>
      </c>
      <c r="G43" s="1">
        <v>0</v>
      </c>
      <c r="H43" s="2">
        <v>46081</v>
      </c>
      <c r="I43" s="2">
        <v>46088</v>
      </c>
      <c r="J43" s="1" t="s">
        <v>29</v>
      </c>
      <c r="K43" s="1">
        <v>1042</v>
      </c>
    </row>
    <row r="44" spans="1:11" x14ac:dyDescent="0.3">
      <c r="A44" s="1" t="s">
        <v>49</v>
      </c>
      <c r="B44" s="1" t="s">
        <v>38</v>
      </c>
      <c r="C44" s="1" t="s">
        <v>34</v>
      </c>
      <c r="D44" s="1" t="s">
        <v>35</v>
      </c>
      <c r="E44" s="1">
        <v>20</v>
      </c>
      <c r="F44" s="1">
        <v>46093</v>
      </c>
      <c r="G44" s="1">
        <v>5</v>
      </c>
      <c r="H44" s="2">
        <v>46091</v>
      </c>
      <c r="I44" s="2">
        <v>46098</v>
      </c>
      <c r="J44" s="1" t="s">
        <v>29</v>
      </c>
      <c r="K44" s="1">
        <v>1043</v>
      </c>
    </row>
    <row r="45" spans="1:11" x14ac:dyDescent="0.3">
      <c r="A45" s="1" t="s">
        <v>48</v>
      </c>
      <c r="B45" s="1" t="s">
        <v>38</v>
      </c>
      <c r="C45" s="1" t="s">
        <v>18</v>
      </c>
      <c r="D45" s="1" t="s">
        <v>19</v>
      </c>
      <c r="E45" s="1">
        <v>4</v>
      </c>
      <c r="F45" s="1">
        <v>14731</v>
      </c>
      <c r="G45" s="1">
        <v>2</v>
      </c>
      <c r="H45" s="2">
        <v>46173</v>
      </c>
      <c r="I45" s="2">
        <v>46176</v>
      </c>
      <c r="J45" s="1" t="s">
        <v>20</v>
      </c>
      <c r="K45" s="1">
        <v>1044</v>
      </c>
    </row>
    <row r="46" spans="1:11" x14ac:dyDescent="0.3">
      <c r="A46" s="1" t="s">
        <v>32</v>
      </c>
      <c r="B46" s="1" t="s">
        <v>38</v>
      </c>
      <c r="C46" s="1" t="s">
        <v>34</v>
      </c>
      <c r="D46" s="1" t="s">
        <v>35</v>
      </c>
      <c r="E46" s="1">
        <v>3</v>
      </c>
      <c r="F46" s="1">
        <v>62762</v>
      </c>
      <c r="G46" s="1">
        <v>7</v>
      </c>
      <c r="H46" s="2">
        <v>46038</v>
      </c>
      <c r="I46" s="2">
        <v>46039</v>
      </c>
      <c r="J46" s="1" t="s">
        <v>29</v>
      </c>
      <c r="K46" s="1">
        <v>1045</v>
      </c>
    </row>
    <row r="47" spans="1:11" x14ac:dyDescent="0.3">
      <c r="A47" s="1" t="s">
        <v>57</v>
      </c>
      <c r="B47" s="1" t="s">
        <v>38</v>
      </c>
      <c r="C47" s="1" t="s">
        <v>34</v>
      </c>
      <c r="D47" s="1" t="s">
        <v>45</v>
      </c>
      <c r="E47" s="1">
        <v>3</v>
      </c>
      <c r="F47" s="1">
        <v>19443</v>
      </c>
      <c r="G47" s="1">
        <v>10</v>
      </c>
      <c r="H47" s="2">
        <v>46153</v>
      </c>
      <c r="I47" s="2">
        <v>46158</v>
      </c>
      <c r="J47" s="1" t="s">
        <v>29</v>
      </c>
      <c r="K47" s="1">
        <v>1046</v>
      </c>
    </row>
    <row r="48" spans="1:11" x14ac:dyDescent="0.3">
      <c r="A48" s="1" t="s">
        <v>58</v>
      </c>
      <c r="B48" s="1" t="s">
        <v>38</v>
      </c>
      <c r="C48" s="1" t="s">
        <v>18</v>
      </c>
      <c r="D48" s="1" t="s">
        <v>56</v>
      </c>
      <c r="E48" s="1">
        <v>11</v>
      </c>
      <c r="F48" s="1">
        <v>9976</v>
      </c>
      <c r="G48" s="1">
        <v>12</v>
      </c>
      <c r="H48" s="2">
        <v>46200</v>
      </c>
      <c r="I48" s="2">
        <v>46209</v>
      </c>
      <c r="J48" s="1" t="s">
        <v>15</v>
      </c>
      <c r="K48" s="1">
        <v>1047</v>
      </c>
    </row>
    <row r="49" spans="1:11" x14ac:dyDescent="0.3">
      <c r="A49" s="1" t="s">
        <v>59</v>
      </c>
      <c r="B49" s="1" t="s">
        <v>25</v>
      </c>
      <c r="C49" s="1" t="s">
        <v>34</v>
      </c>
      <c r="D49" s="1" t="s">
        <v>60</v>
      </c>
      <c r="E49" s="1">
        <v>14</v>
      </c>
      <c r="F49" s="1">
        <v>11762</v>
      </c>
      <c r="G49" s="1">
        <v>7</v>
      </c>
      <c r="H49" s="2">
        <v>46180</v>
      </c>
      <c r="I49" s="2">
        <v>46186</v>
      </c>
      <c r="J49" s="1" t="s">
        <v>24</v>
      </c>
      <c r="K49" s="1">
        <v>1048</v>
      </c>
    </row>
    <row r="50" spans="1:11" x14ac:dyDescent="0.3">
      <c r="A50" s="1" t="s">
        <v>52</v>
      </c>
      <c r="B50" s="1" t="s">
        <v>25</v>
      </c>
      <c r="C50" s="1" t="s">
        <v>34</v>
      </c>
      <c r="D50" s="1" t="s">
        <v>45</v>
      </c>
      <c r="E50" s="1">
        <v>2</v>
      </c>
      <c r="F50" s="1">
        <v>40789</v>
      </c>
      <c r="G50" s="1">
        <v>0</v>
      </c>
      <c r="H50" s="2">
        <v>46102</v>
      </c>
      <c r="I50" s="2">
        <v>46108</v>
      </c>
      <c r="J50" s="1" t="s">
        <v>24</v>
      </c>
      <c r="K50" s="1">
        <v>1049</v>
      </c>
    </row>
    <row r="51" spans="1:11" x14ac:dyDescent="0.3">
      <c r="A51" s="1" t="s">
        <v>32</v>
      </c>
      <c r="B51" s="1" t="s">
        <v>25</v>
      </c>
      <c r="C51" s="1" t="s">
        <v>13</v>
      </c>
      <c r="D51" s="1" t="s">
        <v>53</v>
      </c>
      <c r="E51" s="1">
        <v>12</v>
      </c>
      <c r="F51" s="1">
        <v>360</v>
      </c>
      <c r="G51" s="1">
        <v>5</v>
      </c>
      <c r="H51" s="2">
        <v>46127</v>
      </c>
      <c r="I51" s="2">
        <v>46137</v>
      </c>
      <c r="J51" s="1" t="s">
        <v>29</v>
      </c>
      <c r="K51" s="1">
        <v>1050</v>
      </c>
    </row>
    <row r="52" spans="1:11" x14ac:dyDescent="0.3">
      <c r="A52" s="1" t="s">
        <v>58</v>
      </c>
      <c r="B52" s="1" t="s">
        <v>17</v>
      </c>
      <c r="C52" s="1" t="s">
        <v>13</v>
      </c>
      <c r="D52" s="1" t="s">
        <v>36</v>
      </c>
      <c r="E52" s="1">
        <v>12</v>
      </c>
      <c r="F52" s="1">
        <v>47</v>
      </c>
      <c r="G52" s="1">
        <v>2</v>
      </c>
      <c r="H52" s="2">
        <v>46037</v>
      </c>
      <c r="I52" s="2">
        <v>46045</v>
      </c>
      <c r="J52" s="1" t="s">
        <v>15</v>
      </c>
      <c r="K52" s="1">
        <v>1051</v>
      </c>
    </row>
    <row r="53" spans="1:11" x14ac:dyDescent="0.3">
      <c r="A53" s="1" t="s">
        <v>55</v>
      </c>
      <c r="B53" s="1" t="s">
        <v>12</v>
      </c>
      <c r="C53" s="1" t="s">
        <v>13</v>
      </c>
      <c r="D53" s="1" t="s">
        <v>14</v>
      </c>
      <c r="E53" s="1">
        <v>17</v>
      </c>
      <c r="F53" s="1">
        <v>172</v>
      </c>
      <c r="G53" s="1">
        <v>10</v>
      </c>
      <c r="H53" s="2">
        <v>46159</v>
      </c>
      <c r="I53" s="2">
        <v>46165</v>
      </c>
      <c r="J53" s="1" t="s">
        <v>20</v>
      </c>
      <c r="K53" s="1">
        <v>1052</v>
      </c>
    </row>
    <row r="54" spans="1:11" x14ac:dyDescent="0.3">
      <c r="A54" s="1" t="s">
        <v>16</v>
      </c>
      <c r="B54" s="1" t="s">
        <v>33</v>
      </c>
      <c r="C54" s="1" t="s">
        <v>18</v>
      </c>
      <c r="D54" s="1" t="s">
        <v>28</v>
      </c>
      <c r="E54" s="1">
        <v>1</v>
      </c>
      <c r="F54" s="1">
        <v>9749</v>
      </c>
      <c r="G54" s="1">
        <v>15</v>
      </c>
      <c r="H54" s="2">
        <v>46064</v>
      </c>
      <c r="I54" s="2">
        <v>46070</v>
      </c>
      <c r="J54" s="1" t="s">
        <v>24</v>
      </c>
      <c r="K54" s="1">
        <v>1053</v>
      </c>
    </row>
    <row r="55" spans="1:11" x14ac:dyDescent="0.3">
      <c r="A55" s="1" t="s">
        <v>26</v>
      </c>
      <c r="B55" s="1" t="s">
        <v>25</v>
      </c>
      <c r="C55" s="1" t="s">
        <v>18</v>
      </c>
      <c r="D55" s="1" t="s">
        <v>23</v>
      </c>
      <c r="E55" s="1">
        <v>8</v>
      </c>
      <c r="F55" s="1">
        <v>9798</v>
      </c>
      <c r="G55" s="1">
        <v>12</v>
      </c>
      <c r="H55" s="2">
        <v>46200</v>
      </c>
      <c r="I55" s="2">
        <v>46201</v>
      </c>
      <c r="J55" s="1" t="s">
        <v>51</v>
      </c>
      <c r="K55" s="1">
        <v>1054</v>
      </c>
    </row>
    <row r="56" spans="1:11" x14ac:dyDescent="0.3">
      <c r="A56" s="1" t="s">
        <v>48</v>
      </c>
      <c r="B56" s="1" t="s">
        <v>12</v>
      </c>
      <c r="C56" s="1" t="s">
        <v>13</v>
      </c>
      <c r="D56" s="1" t="s">
        <v>37</v>
      </c>
      <c r="E56" s="1">
        <v>18</v>
      </c>
      <c r="F56" s="1">
        <v>185</v>
      </c>
      <c r="G56" s="1">
        <v>15</v>
      </c>
      <c r="H56" s="2">
        <v>46077</v>
      </c>
      <c r="I56" s="2">
        <v>46078</v>
      </c>
      <c r="J56" s="1" t="s">
        <v>15</v>
      </c>
      <c r="K56" s="1">
        <v>1055</v>
      </c>
    </row>
    <row r="57" spans="1:11" x14ac:dyDescent="0.3">
      <c r="A57" s="1" t="s">
        <v>11</v>
      </c>
      <c r="B57" s="1" t="s">
        <v>22</v>
      </c>
      <c r="C57" s="1" t="s">
        <v>18</v>
      </c>
      <c r="D57" s="1" t="s">
        <v>19</v>
      </c>
      <c r="E57" s="1">
        <v>3</v>
      </c>
      <c r="F57" s="1">
        <v>9771</v>
      </c>
      <c r="G57" s="1">
        <v>5</v>
      </c>
      <c r="H57" s="2">
        <v>46133</v>
      </c>
      <c r="I57" s="2">
        <v>46139</v>
      </c>
      <c r="J57" s="1" t="s">
        <v>24</v>
      </c>
      <c r="K57" s="1">
        <v>1056</v>
      </c>
    </row>
    <row r="58" spans="1:11" x14ac:dyDescent="0.3">
      <c r="A58" s="1" t="s">
        <v>59</v>
      </c>
      <c r="B58" s="1" t="s">
        <v>22</v>
      </c>
      <c r="C58" s="1" t="s">
        <v>18</v>
      </c>
      <c r="D58" s="1" t="s">
        <v>28</v>
      </c>
      <c r="E58" s="1">
        <v>2</v>
      </c>
      <c r="F58" s="1">
        <v>9531</v>
      </c>
      <c r="G58" s="1">
        <v>15</v>
      </c>
      <c r="H58" s="2">
        <v>46067</v>
      </c>
      <c r="I58" s="2">
        <v>46076</v>
      </c>
      <c r="J58" s="1" t="s">
        <v>51</v>
      </c>
      <c r="K58" s="1">
        <v>1057</v>
      </c>
    </row>
    <row r="59" spans="1:11" x14ac:dyDescent="0.3">
      <c r="A59" s="1" t="s">
        <v>52</v>
      </c>
      <c r="B59" s="1" t="s">
        <v>38</v>
      </c>
      <c r="C59" s="1" t="s">
        <v>18</v>
      </c>
      <c r="D59" s="1" t="s">
        <v>28</v>
      </c>
      <c r="E59" s="1">
        <v>10</v>
      </c>
      <c r="F59" s="1">
        <v>5532</v>
      </c>
      <c r="G59" s="1">
        <v>7</v>
      </c>
      <c r="H59" s="2">
        <v>46074</v>
      </c>
      <c r="I59" s="2">
        <v>46084</v>
      </c>
      <c r="J59" s="1" t="s">
        <v>24</v>
      </c>
      <c r="K59" s="1">
        <v>1058</v>
      </c>
    </row>
    <row r="60" spans="1:11" x14ac:dyDescent="0.3">
      <c r="A60" s="1" t="s">
        <v>54</v>
      </c>
      <c r="B60" s="1" t="s">
        <v>25</v>
      </c>
      <c r="C60" s="1" t="s">
        <v>13</v>
      </c>
      <c r="D60" s="1" t="s">
        <v>50</v>
      </c>
      <c r="E60" s="1">
        <v>20</v>
      </c>
      <c r="F60" s="1">
        <v>112</v>
      </c>
      <c r="G60" s="1">
        <v>10</v>
      </c>
      <c r="H60" s="2">
        <v>46113</v>
      </c>
      <c r="I60" s="2">
        <v>46122</v>
      </c>
      <c r="J60" s="1" t="s">
        <v>51</v>
      </c>
      <c r="K60" s="1">
        <v>1059</v>
      </c>
    </row>
    <row r="61" spans="1:11" x14ac:dyDescent="0.3">
      <c r="A61" s="1" t="s">
        <v>49</v>
      </c>
      <c r="B61" s="1" t="s">
        <v>12</v>
      </c>
      <c r="C61" s="1" t="s">
        <v>18</v>
      </c>
      <c r="D61" s="1" t="s">
        <v>44</v>
      </c>
      <c r="E61" s="1">
        <v>9</v>
      </c>
      <c r="F61" s="1">
        <v>9727</v>
      </c>
      <c r="G61" s="1">
        <v>2</v>
      </c>
      <c r="H61" s="2">
        <v>46024</v>
      </c>
      <c r="I61" s="2">
        <v>46030</v>
      </c>
      <c r="J61" s="1" t="s">
        <v>20</v>
      </c>
      <c r="K61" s="1">
        <v>1060</v>
      </c>
    </row>
    <row r="62" spans="1:11" x14ac:dyDescent="0.3">
      <c r="A62" s="1" t="s">
        <v>57</v>
      </c>
      <c r="B62" s="1" t="s">
        <v>12</v>
      </c>
      <c r="C62" s="1" t="s">
        <v>34</v>
      </c>
      <c r="D62" s="1" t="s">
        <v>41</v>
      </c>
      <c r="E62" s="1">
        <v>16</v>
      </c>
      <c r="F62" s="1">
        <v>59084</v>
      </c>
      <c r="G62" s="1">
        <v>0</v>
      </c>
      <c r="H62" s="2">
        <v>46060</v>
      </c>
      <c r="I62" s="2">
        <v>46069</v>
      </c>
      <c r="J62" s="1" t="s">
        <v>20</v>
      </c>
      <c r="K62" s="1">
        <v>1061</v>
      </c>
    </row>
    <row r="63" spans="1:11" x14ac:dyDescent="0.3">
      <c r="A63" s="1" t="s">
        <v>40</v>
      </c>
      <c r="B63" s="1" t="s">
        <v>43</v>
      </c>
      <c r="C63" s="1" t="s">
        <v>18</v>
      </c>
      <c r="D63" s="1" t="s">
        <v>23</v>
      </c>
      <c r="E63" s="1">
        <v>8</v>
      </c>
      <c r="F63" s="1">
        <v>8360</v>
      </c>
      <c r="G63" s="1">
        <v>2</v>
      </c>
      <c r="H63" s="2">
        <v>46190</v>
      </c>
      <c r="I63" s="2">
        <v>46200</v>
      </c>
      <c r="J63" s="1" t="s">
        <v>51</v>
      </c>
      <c r="K63" s="1">
        <v>1062</v>
      </c>
    </row>
    <row r="64" spans="1:11" x14ac:dyDescent="0.3">
      <c r="A64" s="1" t="s">
        <v>54</v>
      </c>
      <c r="B64" s="1" t="s">
        <v>22</v>
      </c>
      <c r="C64" s="1" t="s">
        <v>34</v>
      </c>
      <c r="D64" s="1" t="s">
        <v>45</v>
      </c>
      <c r="E64" s="1">
        <v>7</v>
      </c>
      <c r="F64" s="1">
        <v>66744</v>
      </c>
      <c r="G64" s="1">
        <v>7</v>
      </c>
      <c r="H64" s="2">
        <v>46148</v>
      </c>
      <c r="I64" s="2">
        <v>46155</v>
      </c>
      <c r="J64" s="1" t="s">
        <v>15</v>
      </c>
      <c r="K64" s="1">
        <v>1063</v>
      </c>
    </row>
    <row r="65" spans="1:11" x14ac:dyDescent="0.3">
      <c r="A65" s="1" t="s">
        <v>26</v>
      </c>
      <c r="B65" s="1" t="s">
        <v>17</v>
      </c>
      <c r="C65" s="1" t="s">
        <v>13</v>
      </c>
      <c r="D65" s="1" t="s">
        <v>50</v>
      </c>
      <c r="E65" s="1">
        <v>20</v>
      </c>
      <c r="F65" s="1">
        <v>191</v>
      </c>
      <c r="G65" s="1">
        <v>7</v>
      </c>
      <c r="H65" s="2">
        <v>46185</v>
      </c>
      <c r="I65" s="2">
        <v>46195</v>
      </c>
      <c r="J65" s="1" t="s">
        <v>29</v>
      </c>
      <c r="K65" s="1">
        <v>1064</v>
      </c>
    </row>
    <row r="66" spans="1:11" x14ac:dyDescent="0.3">
      <c r="A66" s="1" t="s">
        <v>42</v>
      </c>
      <c r="B66" s="1" t="s">
        <v>43</v>
      </c>
      <c r="C66" s="1" t="s">
        <v>18</v>
      </c>
      <c r="D66" s="1" t="s">
        <v>44</v>
      </c>
      <c r="E66" s="1">
        <v>1</v>
      </c>
      <c r="F66" s="1">
        <v>7730</v>
      </c>
      <c r="G66" s="1">
        <v>5</v>
      </c>
      <c r="H66" s="2">
        <v>46192</v>
      </c>
      <c r="I66" s="2">
        <v>46195</v>
      </c>
      <c r="J66" s="1" t="s">
        <v>51</v>
      </c>
      <c r="K66" s="1">
        <v>1065</v>
      </c>
    </row>
    <row r="67" spans="1:11" x14ac:dyDescent="0.3">
      <c r="A67" s="1" t="s">
        <v>47</v>
      </c>
      <c r="B67" s="1" t="s">
        <v>25</v>
      </c>
      <c r="C67" s="1" t="s">
        <v>18</v>
      </c>
      <c r="D67" s="1" t="s">
        <v>44</v>
      </c>
      <c r="E67" s="1">
        <v>15</v>
      </c>
      <c r="F67" s="1">
        <v>11987</v>
      </c>
      <c r="G67" s="1">
        <v>5</v>
      </c>
      <c r="H67" s="2">
        <v>46082</v>
      </c>
      <c r="I67" s="2">
        <v>46083</v>
      </c>
      <c r="J67" s="1" t="s">
        <v>15</v>
      </c>
      <c r="K67" s="1">
        <v>1066</v>
      </c>
    </row>
    <row r="68" spans="1:11" x14ac:dyDescent="0.3">
      <c r="A68" s="1" t="s">
        <v>32</v>
      </c>
      <c r="B68" s="1" t="s">
        <v>43</v>
      </c>
      <c r="C68" s="1" t="s">
        <v>18</v>
      </c>
      <c r="D68" s="1" t="s">
        <v>56</v>
      </c>
      <c r="E68" s="1">
        <v>14</v>
      </c>
      <c r="F68" s="1">
        <v>10869</v>
      </c>
      <c r="G68" s="1">
        <v>0</v>
      </c>
      <c r="H68" s="2">
        <v>46058</v>
      </c>
      <c r="I68" s="2">
        <v>46062</v>
      </c>
      <c r="J68" s="1" t="s">
        <v>29</v>
      </c>
      <c r="K68" s="1">
        <v>1067</v>
      </c>
    </row>
    <row r="69" spans="1:11" x14ac:dyDescent="0.3">
      <c r="A69" s="1" t="s">
        <v>52</v>
      </c>
      <c r="B69" s="1" t="s">
        <v>43</v>
      </c>
      <c r="C69" s="1" t="s">
        <v>34</v>
      </c>
      <c r="D69" s="1" t="s">
        <v>60</v>
      </c>
      <c r="E69" s="1">
        <v>15</v>
      </c>
      <c r="F69" s="1">
        <v>14534</v>
      </c>
      <c r="G69" s="1">
        <v>5</v>
      </c>
      <c r="H69" s="2">
        <v>46196</v>
      </c>
      <c r="I69" s="2">
        <v>46199</v>
      </c>
      <c r="J69" s="1" t="s">
        <v>29</v>
      </c>
      <c r="K69" s="1">
        <v>1068</v>
      </c>
    </row>
    <row r="70" spans="1:11" x14ac:dyDescent="0.3">
      <c r="A70" s="1" t="s">
        <v>52</v>
      </c>
      <c r="B70" s="1" t="s">
        <v>31</v>
      </c>
      <c r="C70" s="1" t="s">
        <v>18</v>
      </c>
      <c r="D70" s="1" t="s">
        <v>28</v>
      </c>
      <c r="E70" s="1">
        <v>9</v>
      </c>
      <c r="F70" s="1">
        <v>4415</v>
      </c>
      <c r="G70" s="1">
        <v>5</v>
      </c>
      <c r="H70" s="2">
        <v>46039</v>
      </c>
      <c r="I70" s="2">
        <v>46046</v>
      </c>
      <c r="J70" s="1" t="s">
        <v>15</v>
      </c>
      <c r="K70" s="1">
        <v>1069</v>
      </c>
    </row>
    <row r="71" spans="1:11" x14ac:dyDescent="0.3">
      <c r="A71" s="1" t="s">
        <v>52</v>
      </c>
      <c r="B71" s="1" t="s">
        <v>43</v>
      </c>
      <c r="C71" s="1" t="s">
        <v>13</v>
      </c>
      <c r="D71" s="1" t="s">
        <v>36</v>
      </c>
      <c r="E71" s="1">
        <v>10</v>
      </c>
      <c r="F71" s="1">
        <v>233</v>
      </c>
      <c r="G71" s="1">
        <v>7</v>
      </c>
      <c r="H71" s="2">
        <v>46076</v>
      </c>
      <c r="I71" s="2">
        <v>46077</v>
      </c>
      <c r="J71" s="1" t="s">
        <v>29</v>
      </c>
      <c r="K71" s="1">
        <v>1070</v>
      </c>
    </row>
    <row r="72" spans="1:11" x14ac:dyDescent="0.3">
      <c r="A72" s="1" t="s">
        <v>59</v>
      </c>
      <c r="B72" s="1" t="s">
        <v>22</v>
      </c>
      <c r="C72" s="1" t="s">
        <v>34</v>
      </c>
      <c r="D72" s="1" t="s">
        <v>61</v>
      </c>
      <c r="E72" s="1">
        <v>18</v>
      </c>
      <c r="F72" s="1">
        <v>32197</v>
      </c>
      <c r="G72" s="1">
        <v>5</v>
      </c>
      <c r="H72" s="2">
        <v>46129</v>
      </c>
      <c r="I72" s="2">
        <v>46137</v>
      </c>
      <c r="J72" s="1" t="s">
        <v>20</v>
      </c>
      <c r="K72" s="1">
        <v>1071</v>
      </c>
    </row>
    <row r="73" spans="1:11" x14ac:dyDescent="0.3">
      <c r="A73" s="1" t="s">
        <v>16</v>
      </c>
      <c r="B73" s="1" t="s">
        <v>25</v>
      </c>
      <c r="C73" s="1" t="s">
        <v>34</v>
      </c>
      <c r="D73" s="1" t="s">
        <v>61</v>
      </c>
      <c r="E73" s="1">
        <v>20</v>
      </c>
      <c r="F73" s="1">
        <v>58779</v>
      </c>
      <c r="G73" s="1">
        <v>0</v>
      </c>
      <c r="H73" s="2">
        <v>46035</v>
      </c>
      <c r="I73" s="2">
        <v>46036</v>
      </c>
      <c r="J73" s="1" t="s">
        <v>24</v>
      </c>
      <c r="K73" s="1">
        <v>1072</v>
      </c>
    </row>
    <row r="74" spans="1:11" x14ac:dyDescent="0.3">
      <c r="A74" s="1" t="s">
        <v>58</v>
      </c>
      <c r="B74" s="1" t="s">
        <v>17</v>
      </c>
      <c r="C74" s="1" t="s">
        <v>18</v>
      </c>
      <c r="D74" s="1" t="s">
        <v>56</v>
      </c>
      <c r="E74" s="1">
        <v>4</v>
      </c>
      <c r="F74" s="1">
        <v>2453</v>
      </c>
      <c r="G74" s="1">
        <v>7</v>
      </c>
      <c r="H74" s="2">
        <v>46126</v>
      </c>
      <c r="I74" s="2">
        <v>46129</v>
      </c>
      <c r="J74" s="1" t="s">
        <v>51</v>
      </c>
      <c r="K74" s="1">
        <v>1073</v>
      </c>
    </row>
    <row r="75" spans="1:11" x14ac:dyDescent="0.3">
      <c r="A75" s="1" t="s">
        <v>26</v>
      </c>
      <c r="B75" s="1" t="s">
        <v>31</v>
      </c>
      <c r="C75" s="1" t="s">
        <v>13</v>
      </c>
      <c r="D75" s="1" t="s">
        <v>50</v>
      </c>
      <c r="E75" s="1">
        <v>11</v>
      </c>
      <c r="F75" s="1">
        <v>390</v>
      </c>
      <c r="G75" s="1">
        <v>15</v>
      </c>
      <c r="H75" s="2">
        <v>46114</v>
      </c>
      <c r="I75" s="2">
        <v>46123</v>
      </c>
      <c r="J75" s="1" t="s">
        <v>29</v>
      </c>
      <c r="K75" s="1">
        <v>1074</v>
      </c>
    </row>
    <row r="76" spans="1:11" x14ac:dyDescent="0.3">
      <c r="A76" s="1" t="s">
        <v>42</v>
      </c>
      <c r="B76" s="1" t="s">
        <v>43</v>
      </c>
      <c r="C76" s="1" t="s">
        <v>34</v>
      </c>
      <c r="D76" s="1" t="s">
        <v>61</v>
      </c>
      <c r="E76" s="1">
        <v>4</v>
      </c>
      <c r="F76" s="1">
        <v>64773</v>
      </c>
      <c r="G76" s="1">
        <v>10</v>
      </c>
      <c r="H76" s="2">
        <v>46185</v>
      </c>
      <c r="I76" s="2">
        <v>46186</v>
      </c>
      <c r="J76" s="1" t="s">
        <v>51</v>
      </c>
      <c r="K76" s="1">
        <v>1075</v>
      </c>
    </row>
    <row r="77" spans="1:11" x14ac:dyDescent="0.3">
      <c r="A77" s="1" t="s">
        <v>29</v>
      </c>
      <c r="B77" s="1" t="s">
        <v>17</v>
      </c>
      <c r="C77" s="1" t="s">
        <v>34</v>
      </c>
      <c r="D77" s="1" t="s">
        <v>35</v>
      </c>
      <c r="E77" s="1">
        <v>19</v>
      </c>
      <c r="F77" s="1">
        <v>26714</v>
      </c>
      <c r="G77" s="1">
        <v>5</v>
      </c>
      <c r="H77" s="2">
        <v>46045</v>
      </c>
      <c r="I77" s="2">
        <v>46055</v>
      </c>
      <c r="J77" s="1" t="s">
        <v>29</v>
      </c>
      <c r="K77" s="1">
        <v>1076</v>
      </c>
    </row>
    <row r="78" spans="1:11" x14ac:dyDescent="0.3">
      <c r="A78" s="1" t="s">
        <v>55</v>
      </c>
      <c r="B78" s="1" t="s">
        <v>25</v>
      </c>
      <c r="C78" s="1" t="s">
        <v>13</v>
      </c>
      <c r="D78" s="1" t="s">
        <v>14</v>
      </c>
      <c r="E78" s="1">
        <v>1</v>
      </c>
      <c r="F78" s="1">
        <v>123</v>
      </c>
      <c r="G78" s="1">
        <v>10</v>
      </c>
      <c r="H78" s="2">
        <v>46113</v>
      </c>
      <c r="I78" s="2">
        <v>46121</v>
      </c>
      <c r="J78" s="1" t="s">
        <v>51</v>
      </c>
      <c r="K78" s="1">
        <v>1077</v>
      </c>
    </row>
    <row r="79" spans="1:11" x14ac:dyDescent="0.3">
      <c r="A79" s="1" t="s">
        <v>52</v>
      </c>
      <c r="B79" s="1" t="s">
        <v>17</v>
      </c>
      <c r="C79" s="1" t="s">
        <v>34</v>
      </c>
      <c r="D79" s="1" t="s">
        <v>39</v>
      </c>
      <c r="E79" s="1">
        <v>11</v>
      </c>
      <c r="F79" s="1">
        <v>24278</v>
      </c>
      <c r="G79" s="1">
        <v>12</v>
      </c>
      <c r="H79" s="2">
        <v>46084</v>
      </c>
      <c r="I79" s="2">
        <v>46090</v>
      </c>
      <c r="J79" s="1" t="s">
        <v>29</v>
      </c>
      <c r="K79" s="1">
        <v>1078</v>
      </c>
    </row>
    <row r="80" spans="1:11" x14ac:dyDescent="0.3">
      <c r="A80" s="1" t="s">
        <v>26</v>
      </c>
      <c r="B80" s="1" t="s">
        <v>38</v>
      </c>
      <c r="C80" s="1" t="s">
        <v>34</v>
      </c>
      <c r="D80" s="1" t="s">
        <v>41</v>
      </c>
      <c r="E80" s="1">
        <v>19</v>
      </c>
      <c r="F80" s="1">
        <v>48956</v>
      </c>
      <c r="G80" s="1">
        <v>12</v>
      </c>
      <c r="H80" s="2">
        <v>46170</v>
      </c>
      <c r="I80" s="2">
        <v>46177</v>
      </c>
      <c r="J80" s="1" t="s">
        <v>51</v>
      </c>
      <c r="K80" s="1">
        <v>1079</v>
      </c>
    </row>
    <row r="81" spans="1:11" x14ac:dyDescent="0.3">
      <c r="A81" s="1" t="s">
        <v>21</v>
      </c>
      <c r="B81" s="1" t="s">
        <v>22</v>
      </c>
      <c r="C81" s="1" t="s">
        <v>34</v>
      </c>
      <c r="D81" s="1" t="s">
        <v>41</v>
      </c>
      <c r="E81" s="1">
        <v>12</v>
      </c>
      <c r="F81" s="1">
        <v>54161</v>
      </c>
      <c r="G81" s="1">
        <v>15</v>
      </c>
      <c r="H81" s="2">
        <v>46133</v>
      </c>
      <c r="I81" s="2">
        <v>46143</v>
      </c>
      <c r="J81" s="1" t="s">
        <v>24</v>
      </c>
      <c r="K81" s="1">
        <v>1080</v>
      </c>
    </row>
    <row r="82" spans="1:11" x14ac:dyDescent="0.3">
      <c r="A82" s="1" t="s">
        <v>47</v>
      </c>
      <c r="B82" s="1" t="s">
        <v>12</v>
      </c>
      <c r="C82" s="1" t="s">
        <v>34</v>
      </c>
      <c r="D82" s="1" t="s">
        <v>35</v>
      </c>
      <c r="E82" s="1">
        <v>15</v>
      </c>
      <c r="F82" s="1">
        <v>59912</v>
      </c>
      <c r="G82" s="1">
        <v>7</v>
      </c>
      <c r="H82" s="2">
        <v>46058</v>
      </c>
      <c r="I82" s="2">
        <v>46060</v>
      </c>
      <c r="J82" s="1" t="s">
        <v>51</v>
      </c>
      <c r="K82" s="1">
        <v>1081</v>
      </c>
    </row>
    <row r="83" spans="1:11" x14ac:dyDescent="0.3">
      <c r="A83" s="1" t="s">
        <v>21</v>
      </c>
      <c r="B83" s="1" t="s">
        <v>12</v>
      </c>
      <c r="C83" s="1" t="s">
        <v>13</v>
      </c>
      <c r="D83" s="1" t="s">
        <v>14</v>
      </c>
      <c r="E83" s="1">
        <v>7</v>
      </c>
      <c r="F83" s="1">
        <v>133</v>
      </c>
      <c r="G83" s="1">
        <v>10</v>
      </c>
      <c r="H83" s="2">
        <v>46075</v>
      </c>
      <c r="I83" s="2">
        <v>46085</v>
      </c>
      <c r="J83" s="1" t="s">
        <v>51</v>
      </c>
      <c r="K83" s="1">
        <v>1082</v>
      </c>
    </row>
    <row r="84" spans="1:11" x14ac:dyDescent="0.3">
      <c r="A84" s="1" t="s">
        <v>55</v>
      </c>
      <c r="B84" s="1" t="s">
        <v>33</v>
      </c>
      <c r="C84" s="1" t="s">
        <v>13</v>
      </c>
      <c r="D84" s="1" t="s">
        <v>53</v>
      </c>
      <c r="E84" s="1">
        <v>4</v>
      </c>
      <c r="F84" s="1">
        <v>397</v>
      </c>
      <c r="G84" s="1">
        <v>7</v>
      </c>
      <c r="H84" s="2">
        <v>46185</v>
      </c>
      <c r="I84" s="2">
        <v>46193</v>
      </c>
      <c r="J84" s="1" t="s">
        <v>15</v>
      </c>
      <c r="K84" s="1">
        <v>1083</v>
      </c>
    </row>
    <row r="85" spans="1:11" x14ac:dyDescent="0.3">
      <c r="A85" s="1" t="s">
        <v>49</v>
      </c>
      <c r="B85" s="1" t="s">
        <v>31</v>
      </c>
      <c r="C85" s="1" t="s">
        <v>18</v>
      </c>
      <c r="D85" s="1" t="s">
        <v>28</v>
      </c>
      <c r="E85" s="1">
        <v>4</v>
      </c>
      <c r="F85" s="1">
        <v>6901</v>
      </c>
      <c r="G85" s="1">
        <v>10</v>
      </c>
      <c r="H85" s="2">
        <v>46047</v>
      </c>
      <c r="I85" s="2">
        <v>46057</v>
      </c>
      <c r="J85" s="1" t="s">
        <v>20</v>
      </c>
      <c r="K85" s="1">
        <v>1084</v>
      </c>
    </row>
    <row r="86" spans="1:11" x14ac:dyDescent="0.3">
      <c r="A86" s="1" t="s">
        <v>32</v>
      </c>
      <c r="B86" s="1" t="s">
        <v>38</v>
      </c>
      <c r="C86" s="1" t="s">
        <v>34</v>
      </c>
      <c r="D86" s="1" t="s">
        <v>60</v>
      </c>
      <c r="E86" s="1">
        <v>19</v>
      </c>
      <c r="F86" s="1">
        <v>45307</v>
      </c>
      <c r="G86" s="1">
        <v>12</v>
      </c>
      <c r="H86" s="2">
        <v>46146</v>
      </c>
      <c r="I86" s="2">
        <v>46150</v>
      </c>
      <c r="J86" s="1" t="s">
        <v>24</v>
      </c>
      <c r="K86" s="1">
        <v>1085</v>
      </c>
    </row>
    <row r="87" spans="1:11" x14ac:dyDescent="0.3">
      <c r="A87" s="1" t="s">
        <v>32</v>
      </c>
      <c r="B87" s="1" t="s">
        <v>12</v>
      </c>
      <c r="C87" s="1" t="s">
        <v>13</v>
      </c>
      <c r="D87" s="1" t="s">
        <v>53</v>
      </c>
      <c r="E87" s="1">
        <v>15</v>
      </c>
      <c r="F87" s="1">
        <v>40</v>
      </c>
      <c r="G87" s="1">
        <v>10</v>
      </c>
      <c r="H87" s="2">
        <v>46045</v>
      </c>
      <c r="I87" s="2">
        <v>46049</v>
      </c>
      <c r="J87" s="1" t="s">
        <v>24</v>
      </c>
      <c r="K87" s="1">
        <v>1086</v>
      </c>
    </row>
    <row r="88" spans="1:11" x14ac:dyDescent="0.3">
      <c r="A88" s="1" t="s">
        <v>11</v>
      </c>
      <c r="B88" s="1" t="s">
        <v>31</v>
      </c>
      <c r="C88" s="1" t="s">
        <v>13</v>
      </c>
      <c r="D88" s="1" t="s">
        <v>37</v>
      </c>
      <c r="E88" s="1">
        <v>13</v>
      </c>
      <c r="F88" s="1">
        <v>387</v>
      </c>
      <c r="G88" s="1">
        <v>7</v>
      </c>
      <c r="H88" s="2">
        <v>46171</v>
      </c>
      <c r="I88" s="2">
        <v>46176</v>
      </c>
      <c r="J88" s="1" t="s">
        <v>24</v>
      </c>
      <c r="K88" s="1">
        <v>1087</v>
      </c>
    </row>
    <row r="89" spans="1:11" x14ac:dyDescent="0.3">
      <c r="A89" s="1" t="s">
        <v>40</v>
      </c>
      <c r="B89" s="1" t="s">
        <v>33</v>
      </c>
      <c r="C89" s="1" t="s">
        <v>34</v>
      </c>
      <c r="D89" s="1" t="s">
        <v>41</v>
      </c>
      <c r="E89" s="1">
        <v>20</v>
      </c>
      <c r="F89" s="1">
        <v>41165</v>
      </c>
      <c r="G89" s="1">
        <v>0</v>
      </c>
      <c r="H89" s="2">
        <v>46068</v>
      </c>
      <c r="I89" s="2">
        <v>46069</v>
      </c>
      <c r="J89" s="1" t="s">
        <v>20</v>
      </c>
      <c r="K89" s="1">
        <v>1088</v>
      </c>
    </row>
    <row r="90" spans="1:11" x14ac:dyDescent="0.3">
      <c r="A90" s="1" t="s">
        <v>46</v>
      </c>
      <c r="B90" s="1" t="s">
        <v>12</v>
      </c>
      <c r="C90" s="1" t="s">
        <v>34</v>
      </c>
      <c r="D90" s="1" t="s">
        <v>35</v>
      </c>
      <c r="E90" s="1">
        <v>10</v>
      </c>
      <c r="F90" s="1">
        <v>17041</v>
      </c>
      <c r="G90" s="1">
        <v>2</v>
      </c>
      <c r="H90" s="2">
        <v>46066</v>
      </c>
      <c r="I90" s="2">
        <v>46071</v>
      </c>
      <c r="J90" s="1" t="s">
        <v>24</v>
      </c>
      <c r="K90" s="1">
        <v>1089</v>
      </c>
    </row>
    <row r="91" spans="1:11" x14ac:dyDescent="0.3">
      <c r="A91" s="1" t="s">
        <v>49</v>
      </c>
      <c r="B91" s="1" t="s">
        <v>31</v>
      </c>
      <c r="C91" s="1" t="s">
        <v>34</v>
      </c>
      <c r="D91" s="1" t="s">
        <v>45</v>
      </c>
      <c r="E91" s="1">
        <v>19</v>
      </c>
      <c r="F91" s="1">
        <v>66139</v>
      </c>
      <c r="G91" s="1">
        <v>5</v>
      </c>
      <c r="H91" s="2">
        <v>46088</v>
      </c>
      <c r="I91" s="2">
        <v>46095</v>
      </c>
      <c r="J91" s="1" t="s">
        <v>24</v>
      </c>
      <c r="K91" s="1">
        <v>1090</v>
      </c>
    </row>
    <row r="92" spans="1:11" x14ac:dyDescent="0.3">
      <c r="A92" s="1" t="s">
        <v>55</v>
      </c>
      <c r="B92" s="1" t="s">
        <v>17</v>
      </c>
      <c r="C92" s="1" t="s">
        <v>13</v>
      </c>
      <c r="D92" s="1" t="s">
        <v>53</v>
      </c>
      <c r="E92" s="1">
        <v>2</v>
      </c>
      <c r="F92" s="1">
        <v>305</v>
      </c>
      <c r="G92" s="1">
        <v>0</v>
      </c>
      <c r="H92" s="2">
        <v>46136</v>
      </c>
      <c r="I92" s="2">
        <v>46144</v>
      </c>
      <c r="J92" s="1" t="s">
        <v>15</v>
      </c>
      <c r="K92" s="1">
        <v>1091</v>
      </c>
    </row>
    <row r="93" spans="1:11" x14ac:dyDescent="0.3">
      <c r="A93" s="1" t="s">
        <v>21</v>
      </c>
      <c r="B93" s="1" t="s">
        <v>22</v>
      </c>
      <c r="C93" s="1" t="s">
        <v>34</v>
      </c>
      <c r="D93" s="1" t="s">
        <v>41</v>
      </c>
      <c r="E93" s="1">
        <v>9</v>
      </c>
      <c r="F93" s="1">
        <v>23438</v>
      </c>
      <c r="G93" s="1">
        <v>2</v>
      </c>
      <c r="H93" s="2">
        <v>46049</v>
      </c>
      <c r="I93" s="2">
        <v>46055</v>
      </c>
      <c r="J93" s="1" t="s">
        <v>29</v>
      </c>
      <c r="K93" s="1">
        <v>1092</v>
      </c>
    </row>
    <row r="94" spans="1:11" x14ac:dyDescent="0.3">
      <c r="A94" s="1" t="s">
        <v>47</v>
      </c>
      <c r="B94" s="1" t="s">
        <v>25</v>
      </c>
      <c r="C94" s="1" t="s">
        <v>18</v>
      </c>
      <c r="D94" s="1" t="s">
        <v>23</v>
      </c>
      <c r="E94" s="1">
        <v>6</v>
      </c>
      <c r="F94" s="1">
        <v>8224</v>
      </c>
      <c r="G94" s="1">
        <v>15</v>
      </c>
      <c r="H94" s="2">
        <v>46175</v>
      </c>
      <c r="I94" s="2">
        <v>46185</v>
      </c>
      <c r="J94" s="1" t="s">
        <v>51</v>
      </c>
      <c r="K94" s="1">
        <v>1093</v>
      </c>
    </row>
    <row r="95" spans="1:11" x14ac:dyDescent="0.3">
      <c r="A95" s="1" t="s">
        <v>47</v>
      </c>
      <c r="B95" s="1" t="s">
        <v>43</v>
      </c>
      <c r="C95" s="1" t="s">
        <v>34</v>
      </c>
      <c r="D95" s="1" t="s">
        <v>61</v>
      </c>
      <c r="E95" s="1">
        <v>4</v>
      </c>
      <c r="F95" s="1">
        <v>7073</v>
      </c>
      <c r="G95" s="1">
        <v>0</v>
      </c>
      <c r="H95" s="2">
        <v>46101</v>
      </c>
      <c r="I95" s="2">
        <v>46105</v>
      </c>
      <c r="J95" s="1" t="s">
        <v>29</v>
      </c>
      <c r="K95" s="1">
        <v>1094</v>
      </c>
    </row>
    <row r="96" spans="1:11" x14ac:dyDescent="0.3">
      <c r="A96" s="1" t="s">
        <v>47</v>
      </c>
      <c r="B96" s="1" t="s">
        <v>25</v>
      </c>
      <c r="C96" s="1" t="s">
        <v>34</v>
      </c>
      <c r="D96" s="1" t="s">
        <v>41</v>
      </c>
      <c r="E96" s="1">
        <v>18</v>
      </c>
      <c r="F96" s="1">
        <v>587</v>
      </c>
      <c r="G96" s="1">
        <v>2</v>
      </c>
      <c r="H96" s="2">
        <v>46167</v>
      </c>
      <c r="I96" s="2">
        <v>46171</v>
      </c>
      <c r="J96" s="1" t="s">
        <v>20</v>
      </c>
      <c r="K96" s="1">
        <v>1095</v>
      </c>
    </row>
    <row r="97" spans="1:11" x14ac:dyDescent="0.3">
      <c r="A97" s="1" t="s">
        <v>49</v>
      </c>
      <c r="B97" s="1" t="s">
        <v>17</v>
      </c>
      <c r="C97" s="1" t="s">
        <v>18</v>
      </c>
      <c r="D97" s="1" t="s">
        <v>23</v>
      </c>
      <c r="E97" s="1">
        <v>15</v>
      </c>
      <c r="F97" s="1">
        <v>14724</v>
      </c>
      <c r="G97" s="1">
        <v>15</v>
      </c>
      <c r="H97" s="2">
        <v>46054</v>
      </c>
      <c r="I97" s="2">
        <v>46061</v>
      </c>
      <c r="J97" s="1" t="s">
        <v>20</v>
      </c>
      <c r="K97" s="1">
        <v>1096</v>
      </c>
    </row>
    <row r="98" spans="1:11" x14ac:dyDescent="0.3">
      <c r="A98" s="1" t="s">
        <v>52</v>
      </c>
      <c r="B98" s="1" t="s">
        <v>22</v>
      </c>
      <c r="C98" s="1" t="s">
        <v>34</v>
      </c>
      <c r="D98" s="1" t="s">
        <v>61</v>
      </c>
      <c r="E98" s="1">
        <v>10</v>
      </c>
      <c r="F98" s="1">
        <v>28980</v>
      </c>
      <c r="G98" s="1">
        <v>10</v>
      </c>
      <c r="H98" s="2">
        <v>46089</v>
      </c>
      <c r="I98" s="2">
        <v>46094</v>
      </c>
      <c r="J98" s="1" t="s">
        <v>24</v>
      </c>
      <c r="K98" s="1">
        <v>1097</v>
      </c>
    </row>
    <row r="99" spans="1:11" x14ac:dyDescent="0.3">
      <c r="A99" s="1" t="s">
        <v>26</v>
      </c>
      <c r="B99" s="1" t="s">
        <v>25</v>
      </c>
      <c r="C99" s="1" t="s">
        <v>13</v>
      </c>
      <c r="D99" s="1" t="s">
        <v>53</v>
      </c>
      <c r="E99" s="1">
        <v>17</v>
      </c>
      <c r="F99" s="1">
        <v>345</v>
      </c>
      <c r="G99" s="1">
        <v>2</v>
      </c>
      <c r="H99" s="2">
        <v>46126</v>
      </c>
      <c r="I99" s="2">
        <v>46127</v>
      </c>
      <c r="J99" s="1" t="s">
        <v>51</v>
      </c>
      <c r="K99" s="1">
        <v>1098</v>
      </c>
    </row>
    <row r="100" spans="1:11" x14ac:dyDescent="0.3">
      <c r="A100" s="1" t="s">
        <v>26</v>
      </c>
      <c r="B100" s="1" t="s">
        <v>31</v>
      </c>
      <c r="C100" s="1" t="s">
        <v>18</v>
      </c>
      <c r="D100" s="1" t="s">
        <v>19</v>
      </c>
      <c r="E100" s="1">
        <v>1</v>
      </c>
      <c r="F100" s="1">
        <v>5165</v>
      </c>
      <c r="G100" s="1">
        <v>2</v>
      </c>
      <c r="H100" s="2">
        <v>46058</v>
      </c>
      <c r="I100" s="2">
        <v>46060</v>
      </c>
      <c r="J100" s="1" t="s">
        <v>15</v>
      </c>
      <c r="K100" s="1">
        <v>1099</v>
      </c>
    </row>
    <row r="101" spans="1:11" x14ac:dyDescent="0.3">
      <c r="A101" s="1" t="s">
        <v>11</v>
      </c>
      <c r="B101" s="1" t="s">
        <v>31</v>
      </c>
      <c r="C101" s="1" t="s">
        <v>13</v>
      </c>
      <c r="D101" s="1" t="s">
        <v>14</v>
      </c>
      <c r="E101" s="1">
        <v>11</v>
      </c>
      <c r="F101" s="1">
        <v>296</v>
      </c>
      <c r="G101" s="1">
        <v>10</v>
      </c>
      <c r="H101" s="2">
        <v>46027</v>
      </c>
      <c r="I101" s="2">
        <v>46031</v>
      </c>
      <c r="J101" s="1" t="s">
        <v>51</v>
      </c>
      <c r="K101" s="1">
        <v>1100</v>
      </c>
    </row>
    <row r="102" spans="1:11" x14ac:dyDescent="0.3">
      <c r="A102" s="1" t="s">
        <v>27</v>
      </c>
      <c r="B102" s="1" t="s">
        <v>22</v>
      </c>
      <c r="C102" s="1" t="s">
        <v>34</v>
      </c>
      <c r="D102" s="1" t="s">
        <v>61</v>
      </c>
      <c r="E102" s="1">
        <v>9</v>
      </c>
      <c r="F102" s="1">
        <v>37361</v>
      </c>
      <c r="G102" s="1">
        <v>10</v>
      </c>
      <c r="H102" s="2">
        <v>46141</v>
      </c>
      <c r="I102" s="2">
        <v>46142</v>
      </c>
      <c r="J102" s="1" t="s">
        <v>24</v>
      </c>
      <c r="K102" s="1">
        <v>1101</v>
      </c>
    </row>
    <row r="103" spans="1:11" x14ac:dyDescent="0.3">
      <c r="A103" s="1" t="s">
        <v>54</v>
      </c>
      <c r="B103" s="1" t="s">
        <v>25</v>
      </c>
      <c r="C103" s="1" t="s">
        <v>34</v>
      </c>
      <c r="D103" s="1" t="s">
        <v>45</v>
      </c>
      <c r="E103" s="1">
        <v>12</v>
      </c>
      <c r="F103" s="1">
        <v>63402</v>
      </c>
      <c r="G103" s="1">
        <v>7</v>
      </c>
      <c r="H103" s="2">
        <v>46106</v>
      </c>
      <c r="I103" s="2">
        <v>46113</v>
      </c>
      <c r="J103" s="1" t="s">
        <v>51</v>
      </c>
      <c r="K103" s="1">
        <v>1102</v>
      </c>
    </row>
    <row r="104" spans="1:11" x14ac:dyDescent="0.3">
      <c r="A104" s="1" t="s">
        <v>16</v>
      </c>
      <c r="B104" s="1" t="s">
        <v>12</v>
      </c>
      <c r="C104" s="1" t="s">
        <v>18</v>
      </c>
      <c r="D104" s="1" t="s">
        <v>23</v>
      </c>
      <c r="E104" s="1">
        <v>7</v>
      </c>
      <c r="F104" s="1">
        <v>11925</v>
      </c>
      <c r="G104" s="1">
        <v>5</v>
      </c>
      <c r="H104" s="2">
        <v>46040</v>
      </c>
      <c r="I104" s="2">
        <v>46041</v>
      </c>
      <c r="J104" s="1" t="s">
        <v>29</v>
      </c>
      <c r="K104" s="1">
        <v>1103</v>
      </c>
    </row>
    <row r="105" spans="1:11" x14ac:dyDescent="0.3">
      <c r="A105" s="1" t="s">
        <v>16</v>
      </c>
      <c r="B105" s="1" t="s">
        <v>43</v>
      </c>
      <c r="C105" s="1" t="s">
        <v>18</v>
      </c>
      <c r="D105" s="1" t="s">
        <v>19</v>
      </c>
      <c r="E105" s="1">
        <v>10</v>
      </c>
      <c r="F105" s="1">
        <v>12848</v>
      </c>
      <c r="G105" s="1">
        <v>15</v>
      </c>
      <c r="H105" s="2">
        <v>46060</v>
      </c>
      <c r="I105" s="2">
        <v>46064</v>
      </c>
      <c r="J105" s="1" t="s">
        <v>29</v>
      </c>
      <c r="K105" s="1">
        <v>1104</v>
      </c>
    </row>
    <row r="106" spans="1:11" x14ac:dyDescent="0.3">
      <c r="A106" s="1" t="s">
        <v>59</v>
      </c>
      <c r="B106" s="1" t="s">
        <v>25</v>
      </c>
      <c r="C106" s="1" t="s">
        <v>13</v>
      </c>
      <c r="D106" s="1" t="s">
        <v>50</v>
      </c>
      <c r="E106" s="1">
        <v>2</v>
      </c>
      <c r="F106" s="1">
        <v>493</v>
      </c>
      <c r="G106" s="1">
        <v>12</v>
      </c>
      <c r="H106" s="2">
        <v>46057</v>
      </c>
      <c r="I106" s="2">
        <v>46066</v>
      </c>
      <c r="J106" s="1" t="s">
        <v>51</v>
      </c>
      <c r="K106" s="1">
        <v>1105</v>
      </c>
    </row>
    <row r="107" spans="1:11" x14ac:dyDescent="0.3">
      <c r="A107" s="1" t="s">
        <v>27</v>
      </c>
      <c r="B107" s="1" t="s">
        <v>43</v>
      </c>
      <c r="C107" s="1" t="s">
        <v>18</v>
      </c>
      <c r="D107" s="1" t="s">
        <v>23</v>
      </c>
      <c r="E107" s="1">
        <v>20</v>
      </c>
      <c r="F107" s="1">
        <v>2141</v>
      </c>
      <c r="G107" s="1">
        <v>2</v>
      </c>
      <c r="H107" s="2">
        <v>46091</v>
      </c>
      <c r="I107" s="2">
        <v>46097</v>
      </c>
      <c r="J107" s="1" t="s">
        <v>29</v>
      </c>
      <c r="K107" s="1">
        <v>1106</v>
      </c>
    </row>
    <row r="108" spans="1:11" x14ac:dyDescent="0.3">
      <c r="A108" s="1" t="s">
        <v>52</v>
      </c>
      <c r="B108" s="1" t="s">
        <v>17</v>
      </c>
      <c r="C108" s="1" t="s">
        <v>34</v>
      </c>
      <c r="D108" s="1" t="s">
        <v>60</v>
      </c>
      <c r="E108" s="1">
        <v>4</v>
      </c>
      <c r="F108" s="1">
        <v>14291</v>
      </c>
      <c r="G108" s="1">
        <v>2</v>
      </c>
      <c r="H108" s="2">
        <v>46076</v>
      </c>
      <c r="I108" s="2">
        <v>46078</v>
      </c>
      <c r="J108" s="1" t="s">
        <v>15</v>
      </c>
      <c r="K108" s="1">
        <v>1107</v>
      </c>
    </row>
    <row r="109" spans="1:11" x14ac:dyDescent="0.3">
      <c r="A109" s="1" t="s">
        <v>42</v>
      </c>
      <c r="B109" s="1" t="s">
        <v>33</v>
      </c>
      <c r="C109" s="1" t="s">
        <v>18</v>
      </c>
      <c r="D109" s="1" t="s">
        <v>28</v>
      </c>
      <c r="E109" s="1">
        <v>15</v>
      </c>
      <c r="F109" s="1">
        <v>13843</v>
      </c>
      <c r="G109" s="1">
        <v>7</v>
      </c>
      <c r="H109" s="2">
        <v>46119</v>
      </c>
      <c r="I109" s="2">
        <v>46127</v>
      </c>
      <c r="J109" s="1" t="s">
        <v>20</v>
      </c>
      <c r="K109" s="1">
        <v>1108</v>
      </c>
    </row>
    <row r="110" spans="1:11" x14ac:dyDescent="0.3">
      <c r="A110" s="1" t="s">
        <v>21</v>
      </c>
      <c r="B110" s="1" t="s">
        <v>31</v>
      </c>
      <c r="C110" s="1" t="s">
        <v>18</v>
      </c>
      <c r="D110" s="1" t="s">
        <v>44</v>
      </c>
      <c r="E110" s="1">
        <v>19</v>
      </c>
      <c r="F110" s="1">
        <v>6512</v>
      </c>
      <c r="G110" s="1">
        <v>10</v>
      </c>
      <c r="H110" s="2">
        <v>46033</v>
      </c>
      <c r="I110" s="2">
        <v>46037</v>
      </c>
      <c r="J110" s="1" t="s">
        <v>20</v>
      </c>
      <c r="K110" s="1">
        <v>1109</v>
      </c>
    </row>
    <row r="111" spans="1:11" x14ac:dyDescent="0.3">
      <c r="A111" s="1" t="s">
        <v>49</v>
      </c>
      <c r="B111" s="1" t="s">
        <v>38</v>
      </c>
      <c r="C111" s="1" t="s">
        <v>18</v>
      </c>
      <c r="D111" s="1" t="s">
        <v>23</v>
      </c>
      <c r="E111" s="1">
        <v>14</v>
      </c>
      <c r="F111" s="1">
        <v>6793</v>
      </c>
      <c r="G111" s="1">
        <v>7</v>
      </c>
      <c r="H111" s="2">
        <v>46077</v>
      </c>
      <c r="I111" s="2">
        <v>46082</v>
      </c>
      <c r="J111" s="1" t="s">
        <v>29</v>
      </c>
      <c r="K111" s="1">
        <v>1110</v>
      </c>
    </row>
    <row r="112" spans="1:11" x14ac:dyDescent="0.3">
      <c r="A112" s="1" t="s">
        <v>47</v>
      </c>
      <c r="B112" s="1" t="s">
        <v>17</v>
      </c>
      <c r="C112" s="1" t="s">
        <v>34</v>
      </c>
      <c r="D112" s="1" t="s">
        <v>35</v>
      </c>
      <c r="E112" s="1">
        <v>5</v>
      </c>
      <c r="F112" s="1">
        <v>49945</v>
      </c>
      <c r="G112" s="1">
        <v>12</v>
      </c>
      <c r="H112" s="2">
        <v>46133</v>
      </c>
      <c r="I112" s="2">
        <v>46141</v>
      </c>
      <c r="J112" s="1" t="s">
        <v>29</v>
      </c>
      <c r="K112" s="1">
        <v>1111</v>
      </c>
    </row>
    <row r="113" spans="1:11" x14ac:dyDescent="0.3">
      <c r="A113" s="1" t="s">
        <v>21</v>
      </c>
      <c r="B113" s="1" t="s">
        <v>43</v>
      </c>
      <c r="C113" s="1" t="s">
        <v>18</v>
      </c>
      <c r="D113" s="1" t="s">
        <v>44</v>
      </c>
      <c r="E113" s="1">
        <v>7</v>
      </c>
      <c r="F113" s="1">
        <v>1959</v>
      </c>
      <c r="G113" s="1">
        <v>15</v>
      </c>
      <c r="H113" s="2">
        <v>46090</v>
      </c>
      <c r="I113" s="2">
        <v>46100</v>
      </c>
      <c r="J113" s="1" t="s">
        <v>15</v>
      </c>
      <c r="K113" s="1">
        <v>1112</v>
      </c>
    </row>
    <row r="114" spans="1:11" x14ac:dyDescent="0.3">
      <c r="A114" s="1" t="s">
        <v>26</v>
      </c>
      <c r="B114" s="1" t="s">
        <v>43</v>
      </c>
      <c r="C114" s="1" t="s">
        <v>18</v>
      </c>
      <c r="D114" s="1" t="s">
        <v>56</v>
      </c>
      <c r="E114" s="1">
        <v>13</v>
      </c>
      <c r="F114" s="1">
        <v>6719</v>
      </c>
      <c r="G114" s="1">
        <v>15</v>
      </c>
      <c r="H114" s="2">
        <v>46076</v>
      </c>
      <c r="I114" s="2">
        <v>46081</v>
      </c>
      <c r="J114" s="1" t="s">
        <v>24</v>
      </c>
      <c r="K114" s="1">
        <v>1113</v>
      </c>
    </row>
    <row r="115" spans="1:11" x14ac:dyDescent="0.3">
      <c r="A115" s="1" t="s">
        <v>16</v>
      </c>
      <c r="B115" s="1" t="s">
        <v>25</v>
      </c>
      <c r="C115" s="1" t="s">
        <v>13</v>
      </c>
      <c r="D115" s="1" t="s">
        <v>50</v>
      </c>
      <c r="E115" s="1">
        <v>13</v>
      </c>
      <c r="F115" s="1">
        <v>32</v>
      </c>
      <c r="G115" s="1">
        <v>15</v>
      </c>
      <c r="H115" s="2">
        <v>46066</v>
      </c>
      <c r="I115" s="2">
        <v>46069</v>
      </c>
      <c r="J115" s="1" t="s">
        <v>15</v>
      </c>
      <c r="K115" s="1">
        <v>1114</v>
      </c>
    </row>
    <row r="116" spans="1:11" x14ac:dyDescent="0.3">
      <c r="A116" s="1" t="s">
        <v>59</v>
      </c>
      <c r="B116" s="1" t="s">
        <v>43</v>
      </c>
      <c r="C116" s="1" t="s">
        <v>13</v>
      </c>
      <c r="D116" s="1" t="s">
        <v>50</v>
      </c>
      <c r="E116" s="1">
        <v>9</v>
      </c>
      <c r="F116" s="1">
        <v>303</v>
      </c>
      <c r="G116" s="1">
        <v>10</v>
      </c>
      <c r="H116" s="2">
        <v>46149</v>
      </c>
      <c r="I116" s="2">
        <v>46157</v>
      </c>
      <c r="J116" s="1" t="s">
        <v>29</v>
      </c>
      <c r="K116" s="1">
        <v>1115</v>
      </c>
    </row>
    <row r="117" spans="1:11" x14ac:dyDescent="0.3">
      <c r="A117" s="1" t="s">
        <v>16</v>
      </c>
      <c r="B117" s="1" t="s">
        <v>25</v>
      </c>
      <c r="C117" s="1" t="s">
        <v>18</v>
      </c>
      <c r="D117" s="1" t="s">
        <v>56</v>
      </c>
      <c r="E117" s="1">
        <v>2</v>
      </c>
      <c r="F117" s="1">
        <v>12692</v>
      </c>
      <c r="G117" s="1">
        <v>15</v>
      </c>
      <c r="H117" s="2">
        <v>46049</v>
      </c>
      <c r="I117" s="2">
        <v>46051</v>
      </c>
      <c r="J117" s="1" t="s">
        <v>15</v>
      </c>
      <c r="K117" s="1">
        <v>1116</v>
      </c>
    </row>
    <row r="118" spans="1:11" x14ac:dyDescent="0.3">
      <c r="A118" s="1" t="s">
        <v>55</v>
      </c>
      <c r="B118" s="1" t="s">
        <v>43</v>
      </c>
      <c r="C118" s="1" t="s">
        <v>34</v>
      </c>
      <c r="D118" s="1" t="s">
        <v>39</v>
      </c>
      <c r="E118" s="1">
        <v>16</v>
      </c>
      <c r="F118" s="1">
        <v>33162</v>
      </c>
      <c r="G118" s="1">
        <v>7</v>
      </c>
      <c r="H118" s="2">
        <v>46147</v>
      </c>
      <c r="I118" s="2">
        <v>46155</v>
      </c>
      <c r="J118" s="1" t="s">
        <v>29</v>
      </c>
      <c r="K118" s="1">
        <v>1117</v>
      </c>
    </row>
    <row r="119" spans="1:11" x14ac:dyDescent="0.3">
      <c r="A119" s="1" t="s">
        <v>21</v>
      </c>
      <c r="B119" s="1" t="s">
        <v>22</v>
      </c>
      <c r="C119" s="1" t="s">
        <v>18</v>
      </c>
      <c r="D119" s="1" t="s">
        <v>23</v>
      </c>
      <c r="E119" s="1">
        <v>18</v>
      </c>
      <c r="F119" s="1">
        <v>9118</v>
      </c>
      <c r="G119" s="1">
        <v>5</v>
      </c>
      <c r="H119" s="2">
        <v>46178</v>
      </c>
      <c r="I119" s="2">
        <v>46187</v>
      </c>
      <c r="J119" s="1" t="s">
        <v>29</v>
      </c>
      <c r="K119" s="1">
        <v>1118</v>
      </c>
    </row>
    <row r="120" spans="1:11" x14ac:dyDescent="0.3">
      <c r="A120" s="1" t="s">
        <v>30</v>
      </c>
      <c r="B120" s="1" t="s">
        <v>43</v>
      </c>
      <c r="C120" s="1" t="s">
        <v>18</v>
      </c>
      <c r="D120" s="1" t="s">
        <v>28</v>
      </c>
      <c r="E120" s="1">
        <v>2</v>
      </c>
      <c r="F120" s="1">
        <v>3706</v>
      </c>
      <c r="G120" s="1">
        <v>5</v>
      </c>
      <c r="H120" s="2">
        <v>46184</v>
      </c>
      <c r="I120" s="2">
        <v>46192</v>
      </c>
      <c r="J120" s="1" t="s">
        <v>51</v>
      </c>
      <c r="K120" s="1">
        <v>1119</v>
      </c>
    </row>
    <row r="121" spans="1:11" x14ac:dyDescent="0.3">
      <c r="A121" s="1" t="s">
        <v>32</v>
      </c>
      <c r="B121" s="1" t="s">
        <v>38</v>
      </c>
      <c r="C121" s="1" t="s">
        <v>13</v>
      </c>
      <c r="D121" s="1" t="s">
        <v>36</v>
      </c>
      <c r="E121" s="1">
        <v>10</v>
      </c>
      <c r="F121" s="1">
        <v>438</v>
      </c>
      <c r="G121" s="1">
        <v>10</v>
      </c>
      <c r="H121" s="2">
        <v>46061</v>
      </c>
      <c r="I121" s="2">
        <v>46065</v>
      </c>
      <c r="J121" s="1" t="s">
        <v>51</v>
      </c>
      <c r="K121" s="1">
        <v>1120</v>
      </c>
    </row>
    <row r="122" spans="1:11" x14ac:dyDescent="0.3">
      <c r="A122" s="1" t="s">
        <v>29</v>
      </c>
      <c r="B122" s="1" t="s">
        <v>12</v>
      </c>
      <c r="C122" s="1" t="s">
        <v>34</v>
      </c>
      <c r="D122" s="1" t="s">
        <v>39</v>
      </c>
      <c r="E122" s="1">
        <v>4</v>
      </c>
      <c r="F122" s="1">
        <v>55809</v>
      </c>
      <c r="G122" s="1">
        <v>2</v>
      </c>
      <c r="H122" s="2">
        <v>46103</v>
      </c>
      <c r="I122" s="2">
        <v>46108</v>
      </c>
      <c r="J122" s="1" t="s">
        <v>29</v>
      </c>
      <c r="K122" s="1">
        <v>1121</v>
      </c>
    </row>
    <row r="123" spans="1:11" x14ac:dyDescent="0.3">
      <c r="A123" s="1" t="s">
        <v>40</v>
      </c>
      <c r="B123" s="1" t="s">
        <v>22</v>
      </c>
      <c r="C123" s="1" t="s">
        <v>34</v>
      </c>
      <c r="D123" s="1" t="s">
        <v>39</v>
      </c>
      <c r="E123" s="1">
        <v>14</v>
      </c>
      <c r="F123" s="1">
        <v>49990</v>
      </c>
      <c r="G123" s="1">
        <v>10</v>
      </c>
      <c r="H123" s="2">
        <v>46132</v>
      </c>
      <c r="I123" s="2">
        <v>46135</v>
      </c>
      <c r="J123" s="1" t="s">
        <v>29</v>
      </c>
      <c r="K123" s="1">
        <v>1122</v>
      </c>
    </row>
    <row r="124" spans="1:11" x14ac:dyDescent="0.3">
      <c r="A124" s="1" t="s">
        <v>32</v>
      </c>
      <c r="B124" s="1" t="s">
        <v>31</v>
      </c>
      <c r="C124" s="1" t="s">
        <v>34</v>
      </c>
      <c r="D124" s="1" t="s">
        <v>45</v>
      </c>
      <c r="E124" s="1">
        <v>16</v>
      </c>
      <c r="F124" s="1">
        <v>1332</v>
      </c>
      <c r="G124" s="1">
        <v>7</v>
      </c>
      <c r="H124" s="2">
        <v>46107</v>
      </c>
      <c r="I124" s="2">
        <v>46109</v>
      </c>
      <c r="J124" s="1" t="s">
        <v>29</v>
      </c>
      <c r="K124" s="1">
        <v>1123</v>
      </c>
    </row>
    <row r="125" spans="1:11" x14ac:dyDescent="0.3">
      <c r="A125" s="1" t="s">
        <v>27</v>
      </c>
      <c r="B125" s="1" t="s">
        <v>38</v>
      </c>
      <c r="C125" s="1" t="s">
        <v>18</v>
      </c>
      <c r="D125" s="1" t="s">
        <v>56</v>
      </c>
      <c r="E125" s="1">
        <v>4</v>
      </c>
      <c r="F125" s="1">
        <v>14195</v>
      </c>
      <c r="G125" s="1">
        <v>15</v>
      </c>
      <c r="H125" s="2">
        <v>46182</v>
      </c>
      <c r="I125" s="2">
        <v>46189</v>
      </c>
      <c r="J125" s="1" t="s">
        <v>51</v>
      </c>
      <c r="K125" s="1">
        <v>1124</v>
      </c>
    </row>
    <row r="126" spans="1:11" x14ac:dyDescent="0.3">
      <c r="A126" s="1" t="s">
        <v>49</v>
      </c>
      <c r="B126" s="1" t="s">
        <v>33</v>
      </c>
      <c r="C126" s="1" t="s">
        <v>13</v>
      </c>
      <c r="D126" s="1" t="s">
        <v>14</v>
      </c>
      <c r="E126" s="1">
        <v>6</v>
      </c>
      <c r="F126" s="1">
        <v>30</v>
      </c>
      <c r="G126" s="1">
        <v>2</v>
      </c>
      <c r="H126" s="2">
        <v>46133</v>
      </c>
      <c r="I126" s="2">
        <v>46138</v>
      </c>
      <c r="J126" s="1" t="s">
        <v>24</v>
      </c>
      <c r="K126" s="1">
        <v>1125</v>
      </c>
    </row>
    <row r="127" spans="1:11" x14ac:dyDescent="0.3">
      <c r="A127" s="1" t="s">
        <v>46</v>
      </c>
      <c r="B127" s="1" t="s">
        <v>22</v>
      </c>
      <c r="C127" s="1" t="s">
        <v>34</v>
      </c>
      <c r="D127" s="1" t="s">
        <v>39</v>
      </c>
      <c r="E127" s="1">
        <v>17</v>
      </c>
      <c r="F127" s="1">
        <v>19390</v>
      </c>
      <c r="G127" s="1">
        <v>12</v>
      </c>
      <c r="H127" s="2">
        <v>46201</v>
      </c>
      <c r="I127" s="2">
        <v>46206</v>
      </c>
      <c r="J127" s="1" t="s">
        <v>29</v>
      </c>
      <c r="K127" s="1">
        <v>1126</v>
      </c>
    </row>
    <row r="128" spans="1:11" x14ac:dyDescent="0.3">
      <c r="A128" s="1" t="s">
        <v>26</v>
      </c>
      <c r="B128" s="1" t="s">
        <v>33</v>
      </c>
      <c r="C128" s="1" t="s">
        <v>18</v>
      </c>
      <c r="D128" s="1" t="s">
        <v>28</v>
      </c>
      <c r="E128" s="1">
        <v>15</v>
      </c>
      <c r="F128" s="1">
        <v>11694</v>
      </c>
      <c r="G128" s="1">
        <v>12</v>
      </c>
      <c r="H128" s="2">
        <v>46170</v>
      </c>
      <c r="I128" s="2">
        <v>46179</v>
      </c>
      <c r="J128" s="1" t="s">
        <v>29</v>
      </c>
      <c r="K128" s="1">
        <v>1127</v>
      </c>
    </row>
    <row r="129" spans="1:11" x14ac:dyDescent="0.3">
      <c r="A129" s="1" t="s">
        <v>30</v>
      </c>
      <c r="B129" s="1" t="s">
        <v>22</v>
      </c>
      <c r="C129" s="1" t="s">
        <v>34</v>
      </c>
      <c r="D129" s="1" t="s">
        <v>61</v>
      </c>
      <c r="E129" s="1">
        <v>6</v>
      </c>
      <c r="F129" s="1">
        <v>5001</v>
      </c>
      <c r="G129" s="1">
        <v>7</v>
      </c>
      <c r="H129" s="2">
        <v>46044</v>
      </c>
      <c r="I129" s="2">
        <v>46050</v>
      </c>
      <c r="J129" s="1" t="s">
        <v>29</v>
      </c>
      <c r="K129" s="1">
        <v>1128</v>
      </c>
    </row>
    <row r="130" spans="1:11" x14ac:dyDescent="0.3">
      <c r="A130" s="1" t="s">
        <v>58</v>
      </c>
      <c r="B130" s="1" t="s">
        <v>17</v>
      </c>
      <c r="C130" s="1" t="s">
        <v>13</v>
      </c>
      <c r="D130" s="1" t="s">
        <v>50</v>
      </c>
      <c r="E130" s="1">
        <v>15</v>
      </c>
      <c r="F130" s="1">
        <v>75</v>
      </c>
      <c r="G130" s="1">
        <v>7</v>
      </c>
      <c r="H130" s="2">
        <v>46160</v>
      </c>
      <c r="I130" s="2">
        <v>46164</v>
      </c>
      <c r="J130" s="1" t="s">
        <v>29</v>
      </c>
      <c r="K130" s="1">
        <v>1129</v>
      </c>
    </row>
    <row r="131" spans="1:11" x14ac:dyDescent="0.3">
      <c r="A131" s="1" t="s">
        <v>48</v>
      </c>
      <c r="B131" s="1" t="s">
        <v>33</v>
      </c>
      <c r="C131" s="1" t="s">
        <v>13</v>
      </c>
      <c r="D131" s="1" t="s">
        <v>14</v>
      </c>
      <c r="E131" s="1">
        <v>12</v>
      </c>
      <c r="F131" s="1">
        <v>50</v>
      </c>
      <c r="G131" s="1">
        <v>2</v>
      </c>
      <c r="H131" s="2">
        <v>46125</v>
      </c>
      <c r="I131" s="2">
        <v>46131</v>
      </c>
      <c r="J131" s="1" t="s">
        <v>24</v>
      </c>
      <c r="K131" s="1">
        <v>1130</v>
      </c>
    </row>
    <row r="132" spans="1:11" x14ac:dyDescent="0.3">
      <c r="A132" s="1" t="s">
        <v>21</v>
      </c>
      <c r="B132" s="1" t="s">
        <v>31</v>
      </c>
      <c r="C132" s="1" t="s">
        <v>18</v>
      </c>
      <c r="D132" s="1" t="s">
        <v>23</v>
      </c>
      <c r="E132" s="1">
        <v>13</v>
      </c>
      <c r="F132" s="1">
        <v>3083</v>
      </c>
      <c r="G132" s="1">
        <v>7</v>
      </c>
      <c r="H132" s="2">
        <v>46168</v>
      </c>
      <c r="I132" s="2">
        <v>46173</v>
      </c>
      <c r="J132" s="1" t="s">
        <v>51</v>
      </c>
      <c r="K132" s="1">
        <v>1131</v>
      </c>
    </row>
    <row r="133" spans="1:11" x14ac:dyDescent="0.3">
      <c r="A133" s="1" t="s">
        <v>11</v>
      </c>
      <c r="B133" s="1" t="s">
        <v>31</v>
      </c>
      <c r="C133" s="1" t="s">
        <v>13</v>
      </c>
      <c r="D133" s="1" t="s">
        <v>50</v>
      </c>
      <c r="E133" s="1">
        <v>10</v>
      </c>
      <c r="F133" s="1">
        <v>270</v>
      </c>
      <c r="G133" s="1">
        <v>7</v>
      </c>
      <c r="H133" s="2">
        <v>46024</v>
      </c>
      <c r="I133" s="2">
        <v>46034</v>
      </c>
      <c r="J133" s="1" t="s">
        <v>24</v>
      </c>
      <c r="K133" s="1">
        <v>1132</v>
      </c>
    </row>
    <row r="134" spans="1:11" x14ac:dyDescent="0.3">
      <c r="A134" s="1" t="s">
        <v>11</v>
      </c>
      <c r="B134" s="1" t="s">
        <v>12</v>
      </c>
      <c r="C134" s="1" t="s">
        <v>18</v>
      </c>
      <c r="D134" s="1" t="s">
        <v>56</v>
      </c>
      <c r="E134" s="1">
        <v>6</v>
      </c>
      <c r="F134" s="1">
        <v>9037</v>
      </c>
      <c r="G134" s="1">
        <v>2</v>
      </c>
      <c r="H134" s="2">
        <v>46112</v>
      </c>
      <c r="I134" s="2">
        <v>46121</v>
      </c>
      <c r="J134" s="1" t="s">
        <v>51</v>
      </c>
      <c r="K134" s="1">
        <v>1133</v>
      </c>
    </row>
    <row r="135" spans="1:11" x14ac:dyDescent="0.3">
      <c r="A135" s="1" t="s">
        <v>57</v>
      </c>
      <c r="B135" s="1" t="s">
        <v>31</v>
      </c>
      <c r="C135" s="1" t="s">
        <v>34</v>
      </c>
      <c r="D135" s="1" t="s">
        <v>61</v>
      </c>
      <c r="E135" s="1">
        <v>10</v>
      </c>
      <c r="F135" s="1">
        <v>29217</v>
      </c>
      <c r="G135" s="1">
        <v>15</v>
      </c>
      <c r="H135" s="2">
        <v>46148</v>
      </c>
      <c r="I135" s="2">
        <v>46150</v>
      </c>
      <c r="J135" s="1" t="s">
        <v>24</v>
      </c>
      <c r="K135" s="1">
        <v>1134</v>
      </c>
    </row>
    <row r="136" spans="1:11" x14ac:dyDescent="0.3">
      <c r="A136" s="1" t="s">
        <v>49</v>
      </c>
      <c r="B136" s="1" t="s">
        <v>43</v>
      </c>
      <c r="C136" s="1" t="s">
        <v>34</v>
      </c>
      <c r="D136" s="1" t="s">
        <v>39</v>
      </c>
      <c r="E136" s="1">
        <v>14</v>
      </c>
      <c r="F136" s="1">
        <v>68534</v>
      </c>
      <c r="G136" s="1">
        <v>0</v>
      </c>
      <c r="H136" s="2">
        <v>46041</v>
      </c>
      <c r="I136" s="2">
        <v>46042</v>
      </c>
      <c r="J136" s="1" t="s">
        <v>15</v>
      </c>
      <c r="K136" s="1">
        <v>1135</v>
      </c>
    </row>
    <row r="137" spans="1:11" x14ac:dyDescent="0.3">
      <c r="A137" s="1" t="s">
        <v>27</v>
      </c>
      <c r="B137" s="1" t="s">
        <v>43</v>
      </c>
      <c r="C137" s="1" t="s">
        <v>18</v>
      </c>
      <c r="D137" s="1" t="s">
        <v>56</v>
      </c>
      <c r="E137" s="1">
        <v>19</v>
      </c>
      <c r="F137" s="1">
        <v>14528</v>
      </c>
      <c r="G137" s="1">
        <v>12</v>
      </c>
      <c r="H137" s="2">
        <v>46056</v>
      </c>
      <c r="I137" s="2">
        <v>46062</v>
      </c>
      <c r="J137" s="1" t="s">
        <v>24</v>
      </c>
      <c r="K137" s="1">
        <v>1136</v>
      </c>
    </row>
    <row r="138" spans="1:11" x14ac:dyDescent="0.3">
      <c r="A138" s="1" t="s">
        <v>52</v>
      </c>
      <c r="B138" s="1" t="s">
        <v>12</v>
      </c>
      <c r="C138" s="1" t="s">
        <v>13</v>
      </c>
      <c r="D138" s="1" t="s">
        <v>37</v>
      </c>
      <c r="E138" s="1">
        <v>16</v>
      </c>
      <c r="F138" s="1">
        <v>270</v>
      </c>
      <c r="G138" s="1">
        <v>10</v>
      </c>
      <c r="H138" s="2">
        <v>46184</v>
      </c>
      <c r="I138" s="2">
        <v>46190</v>
      </c>
      <c r="J138" s="1" t="s">
        <v>29</v>
      </c>
      <c r="K138" s="1">
        <v>1137</v>
      </c>
    </row>
    <row r="139" spans="1:11" x14ac:dyDescent="0.3">
      <c r="A139" s="1" t="s">
        <v>55</v>
      </c>
      <c r="B139" s="1" t="s">
        <v>43</v>
      </c>
      <c r="C139" s="1" t="s">
        <v>18</v>
      </c>
      <c r="D139" s="1" t="s">
        <v>19</v>
      </c>
      <c r="E139" s="1">
        <v>5</v>
      </c>
      <c r="F139" s="1">
        <v>14466</v>
      </c>
      <c r="G139" s="1">
        <v>2</v>
      </c>
      <c r="H139" s="2">
        <v>46084</v>
      </c>
      <c r="I139" s="2">
        <v>46092</v>
      </c>
      <c r="J139" s="1" t="s">
        <v>51</v>
      </c>
      <c r="K139" s="1">
        <v>1138</v>
      </c>
    </row>
    <row r="140" spans="1:11" x14ac:dyDescent="0.3">
      <c r="A140" s="1" t="s">
        <v>55</v>
      </c>
      <c r="B140" s="1" t="s">
        <v>33</v>
      </c>
      <c r="C140" s="1" t="s">
        <v>34</v>
      </c>
      <c r="D140" s="1" t="s">
        <v>61</v>
      </c>
      <c r="E140" s="1">
        <v>17</v>
      </c>
      <c r="F140" s="1">
        <v>28839</v>
      </c>
      <c r="G140" s="1">
        <v>10</v>
      </c>
      <c r="H140" s="2">
        <v>46093</v>
      </c>
      <c r="I140" s="2">
        <v>46099</v>
      </c>
      <c r="J140" s="1" t="s">
        <v>15</v>
      </c>
      <c r="K140" s="1">
        <v>1139</v>
      </c>
    </row>
    <row r="141" spans="1:11" x14ac:dyDescent="0.3">
      <c r="A141" s="1" t="s">
        <v>57</v>
      </c>
      <c r="B141" s="1" t="s">
        <v>38</v>
      </c>
      <c r="C141" s="1" t="s">
        <v>34</v>
      </c>
      <c r="D141" s="1" t="s">
        <v>41</v>
      </c>
      <c r="E141" s="1">
        <v>5</v>
      </c>
      <c r="F141" s="1">
        <v>68012</v>
      </c>
      <c r="G141" s="1">
        <v>5</v>
      </c>
      <c r="H141" s="2">
        <v>46061</v>
      </c>
      <c r="I141" s="2">
        <v>46065</v>
      </c>
      <c r="J141" s="1" t="s">
        <v>15</v>
      </c>
      <c r="K141" s="1">
        <v>1140</v>
      </c>
    </row>
    <row r="142" spans="1:11" x14ac:dyDescent="0.3">
      <c r="A142" s="1" t="s">
        <v>11</v>
      </c>
      <c r="B142" s="1" t="s">
        <v>17</v>
      </c>
      <c r="C142" s="1" t="s">
        <v>18</v>
      </c>
      <c r="D142" s="1" t="s">
        <v>44</v>
      </c>
      <c r="E142" s="1">
        <v>20</v>
      </c>
      <c r="F142" s="1">
        <v>6835</v>
      </c>
      <c r="G142" s="1">
        <v>2</v>
      </c>
      <c r="H142" s="2">
        <v>46043</v>
      </c>
      <c r="I142" s="2">
        <v>46053</v>
      </c>
      <c r="J142" s="1" t="s">
        <v>15</v>
      </c>
      <c r="K142" s="1">
        <v>1141</v>
      </c>
    </row>
    <row r="143" spans="1:11" x14ac:dyDescent="0.3">
      <c r="A143" s="1" t="s">
        <v>40</v>
      </c>
      <c r="B143" s="1" t="s">
        <v>25</v>
      </c>
      <c r="C143" s="1" t="s">
        <v>34</v>
      </c>
      <c r="D143" s="1" t="s">
        <v>60</v>
      </c>
      <c r="E143" s="1">
        <v>9</v>
      </c>
      <c r="F143" s="1">
        <v>59788</v>
      </c>
      <c r="G143" s="1">
        <v>7</v>
      </c>
      <c r="H143" s="2">
        <v>46064</v>
      </c>
      <c r="I143" s="2">
        <v>46071</v>
      </c>
      <c r="J143" s="1" t="s">
        <v>29</v>
      </c>
      <c r="K143" s="1">
        <v>1142</v>
      </c>
    </row>
    <row r="144" spans="1:11" x14ac:dyDescent="0.3">
      <c r="A144" s="1" t="s">
        <v>29</v>
      </c>
      <c r="B144" s="1" t="s">
        <v>17</v>
      </c>
      <c r="C144" s="1" t="s">
        <v>13</v>
      </c>
      <c r="D144" s="1" t="s">
        <v>37</v>
      </c>
      <c r="E144" s="1">
        <v>13</v>
      </c>
      <c r="F144" s="1">
        <v>456</v>
      </c>
      <c r="G144" s="1">
        <v>2</v>
      </c>
      <c r="H144" s="2">
        <v>46160</v>
      </c>
      <c r="I144" s="2">
        <v>46167</v>
      </c>
      <c r="J144" s="1" t="s">
        <v>24</v>
      </c>
      <c r="K144" s="1">
        <v>1143</v>
      </c>
    </row>
    <row r="145" spans="1:11" x14ac:dyDescent="0.3">
      <c r="A145" s="1" t="s">
        <v>42</v>
      </c>
      <c r="B145" s="1" t="s">
        <v>25</v>
      </c>
      <c r="C145" s="1" t="s">
        <v>13</v>
      </c>
      <c r="D145" s="1" t="s">
        <v>14</v>
      </c>
      <c r="E145" s="1">
        <v>16</v>
      </c>
      <c r="F145" s="1">
        <v>219</v>
      </c>
      <c r="G145" s="1">
        <v>7</v>
      </c>
      <c r="H145" s="2">
        <v>46138</v>
      </c>
      <c r="I145" s="2">
        <v>46140</v>
      </c>
      <c r="J145" s="1" t="s">
        <v>20</v>
      </c>
      <c r="K145" s="1">
        <v>1144</v>
      </c>
    </row>
    <row r="146" spans="1:11" x14ac:dyDescent="0.3">
      <c r="A146" s="1" t="s">
        <v>42</v>
      </c>
      <c r="B146" s="1" t="s">
        <v>33</v>
      </c>
      <c r="C146" s="1" t="s">
        <v>34</v>
      </c>
      <c r="D146" s="1" t="s">
        <v>39</v>
      </c>
      <c r="E146" s="1">
        <v>2</v>
      </c>
      <c r="F146" s="1">
        <v>34429</v>
      </c>
      <c r="G146" s="1">
        <v>12</v>
      </c>
      <c r="H146" s="2">
        <v>46102</v>
      </c>
      <c r="I146" s="2">
        <v>46112</v>
      </c>
      <c r="J146" s="1" t="s">
        <v>24</v>
      </c>
      <c r="K146" s="1">
        <v>1145</v>
      </c>
    </row>
    <row r="147" spans="1:11" x14ac:dyDescent="0.3">
      <c r="A147" s="1" t="s">
        <v>16</v>
      </c>
      <c r="B147" s="1" t="s">
        <v>43</v>
      </c>
      <c r="C147" s="1" t="s">
        <v>34</v>
      </c>
      <c r="D147" s="1" t="s">
        <v>45</v>
      </c>
      <c r="E147" s="1">
        <v>7</v>
      </c>
      <c r="F147" s="1">
        <v>68217</v>
      </c>
      <c r="G147" s="1">
        <v>0</v>
      </c>
      <c r="H147" s="2">
        <v>46190</v>
      </c>
      <c r="I147" s="2">
        <v>46197</v>
      </c>
      <c r="J147" s="1" t="s">
        <v>29</v>
      </c>
      <c r="K147" s="1">
        <v>1146</v>
      </c>
    </row>
    <row r="148" spans="1:11" x14ac:dyDescent="0.3">
      <c r="A148" s="1" t="s">
        <v>11</v>
      </c>
      <c r="B148" s="1" t="s">
        <v>22</v>
      </c>
      <c r="C148" s="1" t="s">
        <v>18</v>
      </c>
      <c r="D148" s="1" t="s">
        <v>28</v>
      </c>
      <c r="E148" s="1">
        <v>7</v>
      </c>
      <c r="F148" s="1">
        <v>9581</v>
      </c>
      <c r="G148" s="1">
        <v>5</v>
      </c>
      <c r="H148" s="2">
        <v>46154</v>
      </c>
      <c r="I148" s="2">
        <v>46155</v>
      </c>
      <c r="J148" s="1" t="s">
        <v>20</v>
      </c>
      <c r="K148" s="1">
        <v>1147</v>
      </c>
    </row>
    <row r="149" spans="1:11" x14ac:dyDescent="0.3">
      <c r="A149" s="1" t="s">
        <v>59</v>
      </c>
      <c r="B149" s="1" t="s">
        <v>33</v>
      </c>
      <c r="C149" s="1" t="s">
        <v>18</v>
      </c>
      <c r="D149" s="1" t="s">
        <v>28</v>
      </c>
      <c r="E149" s="1">
        <v>11</v>
      </c>
      <c r="F149" s="1">
        <v>3023</v>
      </c>
      <c r="G149" s="1">
        <v>7</v>
      </c>
      <c r="H149" s="2">
        <v>46030</v>
      </c>
      <c r="I149" s="2">
        <v>46032</v>
      </c>
      <c r="J149" s="1" t="s">
        <v>24</v>
      </c>
      <c r="K149" s="1">
        <v>1148</v>
      </c>
    </row>
    <row r="150" spans="1:11" x14ac:dyDescent="0.3">
      <c r="A150" s="1" t="s">
        <v>26</v>
      </c>
      <c r="B150" s="1" t="s">
        <v>38</v>
      </c>
      <c r="C150" s="1" t="s">
        <v>34</v>
      </c>
      <c r="D150" s="1" t="s">
        <v>35</v>
      </c>
      <c r="E150" s="1">
        <v>10</v>
      </c>
      <c r="F150" s="1">
        <v>22853</v>
      </c>
      <c r="G150" s="1">
        <v>7</v>
      </c>
      <c r="H150" s="2">
        <v>46053</v>
      </c>
      <c r="I150" s="2">
        <v>46054</v>
      </c>
      <c r="J150" s="1" t="s">
        <v>29</v>
      </c>
      <c r="K150" s="1">
        <v>1149</v>
      </c>
    </row>
    <row r="151" spans="1:11" x14ac:dyDescent="0.3">
      <c r="A151" s="1" t="s">
        <v>42</v>
      </c>
      <c r="B151" s="1" t="s">
        <v>12</v>
      </c>
      <c r="C151" s="1" t="s">
        <v>18</v>
      </c>
      <c r="D151" s="1" t="s">
        <v>56</v>
      </c>
      <c r="E151" s="1">
        <v>10</v>
      </c>
      <c r="F151" s="1">
        <v>5323</v>
      </c>
      <c r="G151" s="1">
        <v>7</v>
      </c>
      <c r="H151" s="2">
        <v>46143</v>
      </c>
      <c r="I151" s="2">
        <v>46153</v>
      </c>
      <c r="J151" s="1" t="s">
        <v>24</v>
      </c>
      <c r="K151" s="1">
        <v>1150</v>
      </c>
    </row>
    <row r="152" spans="1:11" x14ac:dyDescent="0.3">
      <c r="A152" s="1" t="s">
        <v>46</v>
      </c>
      <c r="B152" s="1" t="s">
        <v>43</v>
      </c>
      <c r="C152" s="1" t="s">
        <v>13</v>
      </c>
      <c r="D152" s="1" t="s">
        <v>50</v>
      </c>
      <c r="E152" s="1">
        <v>20</v>
      </c>
      <c r="F152" s="1">
        <v>272</v>
      </c>
      <c r="G152" s="1">
        <v>15</v>
      </c>
      <c r="H152" s="2">
        <v>46024</v>
      </c>
      <c r="I152" s="2">
        <v>46029</v>
      </c>
      <c r="J152" s="1" t="s">
        <v>51</v>
      </c>
      <c r="K152" s="1">
        <v>1151</v>
      </c>
    </row>
    <row r="153" spans="1:11" x14ac:dyDescent="0.3">
      <c r="A153" s="1" t="s">
        <v>27</v>
      </c>
      <c r="B153" s="1" t="s">
        <v>31</v>
      </c>
      <c r="C153" s="1" t="s">
        <v>34</v>
      </c>
      <c r="D153" s="1" t="s">
        <v>61</v>
      </c>
      <c r="E153" s="1">
        <v>14</v>
      </c>
      <c r="F153" s="1">
        <v>8150</v>
      </c>
      <c r="G153" s="1">
        <v>10</v>
      </c>
      <c r="H153" s="2">
        <v>46062</v>
      </c>
      <c r="I153" s="2">
        <v>46070</v>
      </c>
      <c r="J153" s="1" t="s">
        <v>15</v>
      </c>
      <c r="K153" s="1">
        <v>1152</v>
      </c>
    </row>
    <row r="154" spans="1:11" x14ac:dyDescent="0.3">
      <c r="A154" s="1" t="s">
        <v>42</v>
      </c>
      <c r="B154" s="1" t="s">
        <v>25</v>
      </c>
      <c r="C154" s="1" t="s">
        <v>18</v>
      </c>
      <c r="D154" s="1" t="s">
        <v>23</v>
      </c>
      <c r="E154" s="1">
        <v>19</v>
      </c>
      <c r="F154" s="1">
        <v>10273</v>
      </c>
      <c r="G154" s="1">
        <v>12</v>
      </c>
      <c r="H154" s="2">
        <v>46069</v>
      </c>
      <c r="I154" s="2">
        <v>46072</v>
      </c>
      <c r="J154" s="1" t="s">
        <v>29</v>
      </c>
      <c r="K154" s="1">
        <v>1153</v>
      </c>
    </row>
    <row r="155" spans="1:11" x14ac:dyDescent="0.3">
      <c r="A155" s="1" t="s">
        <v>32</v>
      </c>
      <c r="B155" s="1" t="s">
        <v>17</v>
      </c>
      <c r="C155" s="1" t="s">
        <v>18</v>
      </c>
      <c r="D155" s="1" t="s">
        <v>56</v>
      </c>
      <c r="E155" s="1">
        <v>15</v>
      </c>
      <c r="F155" s="1">
        <v>6101</v>
      </c>
      <c r="G155" s="1">
        <v>0</v>
      </c>
      <c r="H155" s="2">
        <v>46178</v>
      </c>
      <c r="I155" s="2">
        <v>46183</v>
      </c>
      <c r="J155" s="1" t="s">
        <v>51</v>
      </c>
      <c r="K155" s="1">
        <v>1154</v>
      </c>
    </row>
    <row r="156" spans="1:11" x14ac:dyDescent="0.3">
      <c r="A156" s="1" t="s">
        <v>11</v>
      </c>
      <c r="B156" s="1" t="s">
        <v>31</v>
      </c>
      <c r="C156" s="1" t="s">
        <v>18</v>
      </c>
      <c r="D156" s="1" t="s">
        <v>28</v>
      </c>
      <c r="E156" s="1">
        <v>13</v>
      </c>
      <c r="F156" s="1">
        <v>4341</v>
      </c>
      <c r="G156" s="1">
        <v>15</v>
      </c>
      <c r="H156" s="2">
        <v>46093</v>
      </c>
      <c r="I156" s="2">
        <v>46096</v>
      </c>
      <c r="J156" s="1" t="s">
        <v>24</v>
      </c>
      <c r="K156" s="1">
        <v>1155</v>
      </c>
    </row>
    <row r="157" spans="1:11" x14ac:dyDescent="0.3">
      <c r="A157" s="1" t="s">
        <v>54</v>
      </c>
      <c r="B157" s="1" t="s">
        <v>38</v>
      </c>
      <c r="C157" s="1" t="s">
        <v>13</v>
      </c>
      <c r="D157" s="1" t="s">
        <v>36</v>
      </c>
      <c r="E157" s="1">
        <v>5</v>
      </c>
      <c r="F157" s="1">
        <v>466</v>
      </c>
      <c r="G157" s="1">
        <v>15</v>
      </c>
      <c r="H157" s="2">
        <v>46025</v>
      </c>
      <c r="I157" s="2">
        <v>46029</v>
      </c>
      <c r="J157" s="1" t="s">
        <v>15</v>
      </c>
      <c r="K157" s="1">
        <v>1156</v>
      </c>
    </row>
    <row r="158" spans="1:11" x14ac:dyDescent="0.3">
      <c r="A158" s="1" t="s">
        <v>52</v>
      </c>
      <c r="B158" s="1" t="s">
        <v>33</v>
      </c>
      <c r="C158" s="1" t="s">
        <v>13</v>
      </c>
      <c r="D158" s="1" t="s">
        <v>50</v>
      </c>
      <c r="E158" s="1">
        <v>3</v>
      </c>
      <c r="F158" s="1">
        <v>203</v>
      </c>
      <c r="G158" s="1">
        <v>15</v>
      </c>
      <c r="H158" s="2">
        <v>46076</v>
      </c>
      <c r="I158" s="2">
        <v>46080</v>
      </c>
      <c r="J158" s="1" t="s">
        <v>29</v>
      </c>
      <c r="K158" s="1">
        <v>1157</v>
      </c>
    </row>
    <row r="159" spans="1:11" x14ac:dyDescent="0.3">
      <c r="A159" s="1" t="s">
        <v>26</v>
      </c>
      <c r="B159" s="1" t="s">
        <v>38</v>
      </c>
      <c r="C159" s="1" t="s">
        <v>34</v>
      </c>
      <c r="D159" s="1" t="s">
        <v>41</v>
      </c>
      <c r="E159" s="1">
        <v>13</v>
      </c>
      <c r="F159" s="1">
        <v>12518</v>
      </c>
      <c r="G159" s="1">
        <v>2</v>
      </c>
      <c r="H159" s="2">
        <v>46079</v>
      </c>
      <c r="I159" s="2">
        <v>46082</v>
      </c>
      <c r="J159" s="1" t="s">
        <v>51</v>
      </c>
      <c r="K159" s="1">
        <v>1158</v>
      </c>
    </row>
    <row r="160" spans="1:11" x14ac:dyDescent="0.3">
      <c r="A160" s="1" t="s">
        <v>32</v>
      </c>
      <c r="B160" s="1" t="s">
        <v>43</v>
      </c>
      <c r="C160" s="1" t="s">
        <v>18</v>
      </c>
      <c r="D160" s="1" t="s">
        <v>28</v>
      </c>
      <c r="E160" s="1">
        <v>20</v>
      </c>
      <c r="F160" s="1">
        <v>14000</v>
      </c>
      <c r="G160" s="1">
        <v>15</v>
      </c>
      <c r="H160" s="2">
        <v>46184</v>
      </c>
      <c r="I160" s="2">
        <v>46187</v>
      </c>
      <c r="J160" s="1" t="s">
        <v>15</v>
      </c>
      <c r="K160" s="1">
        <v>1159</v>
      </c>
    </row>
    <row r="161" spans="1:11" x14ac:dyDescent="0.3">
      <c r="A161" s="1" t="s">
        <v>59</v>
      </c>
      <c r="B161" s="1" t="s">
        <v>22</v>
      </c>
      <c r="C161" s="1" t="s">
        <v>34</v>
      </c>
      <c r="D161" s="1" t="s">
        <v>39</v>
      </c>
      <c r="E161" s="1">
        <v>7</v>
      </c>
      <c r="F161" s="1">
        <v>53986</v>
      </c>
      <c r="G161" s="1">
        <v>10</v>
      </c>
      <c r="H161" s="2">
        <v>46142</v>
      </c>
      <c r="I161" s="2">
        <v>46147</v>
      </c>
      <c r="J161" s="1" t="s">
        <v>51</v>
      </c>
      <c r="K161" s="1">
        <v>1160</v>
      </c>
    </row>
    <row r="162" spans="1:11" x14ac:dyDescent="0.3">
      <c r="A162" s="1" t="s">
        <v>27</v>
      </c>
      <c r="B162" s="1" t="s">
        <v>25</v>
      </c>
      <c r="C162" s="1" t="s">
        <v>34</v>
      </c>
      <c r="D162" s="1" t="s">
        <v>39</v>
      </c>
      <c r="E162" s="1">
        <v>4</v>
      </c>
      <c r="F162" s="1">
        <v>54659</v>
      </c>
      <c r="G162" s="1">
        <v>7</v>
      </c>
      <c r="H162" s="2">
        <v>46105</v>
      </c>
      <c r="I162" s="2">
        <v>46109</v>
      </c>
      <c r="J162" s="1" t="s">
        <v>20</v>
      </c>
      <c r="K162" s="1">
        <v>1161</v>
      </c>
    </row>
    <row r="163" spans="1:11" x14ac:dyDescent="0.3">
      <c r="A163" s="1" t="s">
        <v>57</v>
      </c>
      <c r="B163" s="1" t="s">
        <v>31</v>
      </c>
      <c r="C163" s="1" t="s">
        <v>34</v>
      </c>
      <c r="D163" s="1" t="s">
        <v>45</v>
      </c>
      <c r="E163" s="1">
        <v>2</v>
      </c>
      <c r="F163" s="1">
        <v>28176</v>
      </c>
      <c r="G163" s="1">
        <v>10</v>
      </c>
      <c r="H163" s="2">
        <v>46100</v>
      </c>
      <c r="I163" s="2">
        <v>46101</v>
      </c>
      <c r="J163" s="1" t="s">
        <v>20</v>
      </c>
      <c r="K163" s="1">
        <v>1162</v>
      </c>
    </row>
    <row r="164" spans="1:11" x14ac:dyDescent="0.3">
      <c r="A164" s="1" t="s">
        <v>29</v>
      </c>
      <c r="B164" s="1" t="s">
        <v>38</v>
      </c>
      <c r="C164" s="1" t="s">
        <v>34</v>
      </c>
      <c r="D164" s="1" t="s">
        <v>39</v>
      </c>
      <c r="E164" s="1">
        <v>9</v>
      </c>
      <c r="F164" s="1">
        <v>62440</v>
      </c>
      <c r="G164" s="1">
        <v>2</v>
      </c>
      <c r="H164" s="2">
        <v>46081</v>
      </c>
      <c r="I164" s="2">
        <v>46086</v>
      </c>
      <c r="J164" s="1" t="s">
        <v>29</v>
      </c>
      <c r="K164" s="1">
        <v>1163</v>
      </c>
    </row>
    <row r="165" spans="1:11" x14ac:dyDescent="0.3">
      <c r="A165" s="1" t="s">
        <v>40</v>
      </c>
      <c r="B165" s="1" t="s">
        <v>43</v>
      </c>
      <c r="C165" s="1" t="s">
        <v>34</v>
      </c>
      <c r="D165" s="1" t="s">
        <v>61</v>
      </c>
      <c r="E165" s="1">
        <v>7</v>
      </c>
      <c r="F165" s="1">
        <v>24615</v>
      </c>
      <c r="G165" s="1">
        <v>12</v>
      </c>
      <c r="H165" s="2">
        <v>46196</v>
      </c>
      <c r="I165" s="2">
        <v>46203</v>
      </c>
      <c r="J165" s="1" t="s">
        <v>51</v>
      </c>
      <c r="K165" s="1">
        <v>1164</v>
      </c>
    </row>
    <row r="166" spans="1:11" x14ac:dyDescent="0.3">
      <c r="A166" s="1" t="s">
        <v>48</v>
      </c>
      <c r="B166" s="1" t="s">
        <v>25</v>
      </c>
      <c r="C166" s="1" t="s">
        <v>13</v>
      </c>
      <c r="D166" s="1" t="s">
        <v>37</v>
      </c>
      <c r="E166" s="1">
        <v>1</v>
      </c>
      <c r="F166" s="1">
        <v>427</v>
      </c>
      <c r="G166" s="1">
        <v>0</v>
      </c>
      <c r="H166" s="2">
        <v>46042</v>
      </c>
      <c r="I166" s="2">
        <v>46050</v>
      </c>
      <c r="J166" s="1" t="s">
        <v>51</v>
      </c>
      <c r="K166" s="1">
        <v>1165</v>
      </c>
    </row>
    <row r="167" spans="1:11" x14ac:dyDescent="0.3">
      <c r="A167" s="1" t="s">
        <v>32</v>
      </c>
      <c r="B167" s="1" t="s">
        <v>31</v>
      </c>
      <c r="C167" s="1" t="s">
        <v>13</v>
      </c>
      <c r="D167" s="1" t="s">
        <v>37</v>
      </c>
      <c r="E167" s="1">
        <v>1</v>
      </c>
      <c r="F167" s="1">
        <v>396</v>
      </c>
      <c r="G167" s="1">
        <v>5</v>
      </c>
      <c r="H167" s="2">
        <v>46092</v>
      </c>
      <c r="I167" s="2">
        <v>46093</v>
      </c>
      <c r="J167" s="1" t="s">
        <v>20</v>
      </c>
      <c r="K167" s="1">
        <v>1166</v>
      </c>
    </row>
    <row r="168" spans="1:11" x14ac:dyDescent="0.3">
      <c r="A168" s="1" t="s">
        <v>48</v>
      </c>
      <c r="B168" s="1" t="s">
        <v>17</v>
      </c>
      <c r="C168" s="1" t="s">
        <v>13</v>
      </c>
      <c r="D168" s="1" t="s">
        <v>37</v>
      </c>
      <c r="E168" s="1">
        <v>20</v>
      </c>
      <c r="F168" s="1">
        <v>251</v>
      </c>
      <c r="G168" s="1">
        <v>5</v>
      </c>
      <c r="H168" s="2">
        <v>46160</v>
      </c>
      <c r="I168" s="2">
        <v>46170</v>
      </c>
      <c r="J168" s="1" t="s">
        <v>29</v>
      </c>
      <c r="K168" s="1">
        <v>1167</v>
      </c>
    </row>
    <row r="169" spans="1:11" x14ac:dyDescent="0.3">
      <c r="A169" s="1" t="s">
        <v>54</v>
      </c>
      <c r="B169" s="1" t="s">
        <v>12</v>
      </c>
      <c r="C169" s="1" t="s">
        <v>13</v>
      </c>
      <c r="D169" s="1" t="s">
        <v>37</v>
      </c>
      <c r="E169" s="1">
        <v>18</v>
      </c>
      <c r="F169" s="1">
        <v>335</v>
      </c>
      <c r="G169" s="1">
        <v>15</v>
      </c>
      <c r="H169" s="2">
        <v>46130</v>
      </c>
      <c r="I169" s="2">
        <v>46140</v>
      </c>
      <c r="J169" s="1" t="s">
        <v>29</v>
      </c>
      <c r="K169" s="1">
        <v>1168</v>
      </c>
    </row>
    <row r="170" spans="1:11" x14ac:dyDescent="0.3">
      <c r="A170" s="1" t="s">
        <v>47</v>
      </c>
      <c r="B170" s="1" t="s">
        <v>12</v>
      </c>
      <c r="C170" s="1" t="s">
        <v>18</v>
      </c>
      <c r="D170" s="1" t="s">
        <v>56</v>
      </c>
      <c r="E170" s="1">
        <v>12</v>
      </c>
      <c r="F170" s="1">
        <v>12104</v>
      </c>
      <c r="G170" s="1">
        <v>7</v>
      </c>
      <c r="H170" s="2">
        <v>46121</v>
      </c>
      <c r="I170" s="2">
        <v>46130</v>
      </c>
      <c r="J170" s="1" t="s">
        <v>24</v>
      </c>
      <c r="K170" s="1">
        <v>1169</v>
      </c>
    </row>
    <row r="171" spans="1:11" x14ac:dyDescent="0.3">
      <c r="A171" s="1" t="s">
        <v>49</v>
      </c>
      <c r="B171" s="1" t="s">
        <v>38</v>
      </c>
      <c r="C171" s="1" t="s">
        <v>13</v>
      </c>
      <c r="D171" s="1" t="s">
        <v>14</v>
      </c>
      <c r="E171" s="1">
        <v>6</v>
      </c>
      <c r="F171" s="1">
        <v>339</v>
      </c>
      <c r="G171" s="1">
        <v>12</v>
      </c>
      <c r="H171" s="2">
        <v>46105</v>
      </c>
      <c r="I171" s="2">
        <v>46106</v>
      </c>
      <c r="J171" s="1" t="s">
        <v>24</v>
      </c>
      <c r="K171" s="1">
        <v>1170</v>
      </c>
    </row>
    <row r="172" spans="1:11" x14ac:dyDescent="0.3">
      <c r="A172" s="1" t="s">
        <v>57</v>
      </c>
      <c r="B172" s="1" t="s">
        <v>25</v>
      </c>
      <c r="C172" s="1" t="s">
        <v>13</v>
      </c>
      <c r="D172" s="1" t="s">
        <v>50</v>
      </c>
      <c r="E172" s="1">
        <v>17</v>
      </c>
      <c r="F172" s="1">
        <v>147</v>
      </c>
      <c r="G172" s="1">
        <v>12</v>
      </c>
      <c r="H172" s="2">
        <v>46155</v>
      </c>
      <c r="I172" s="2">
        <v>46160</v>
      </c>
      <c r="J172" s="1" t="s">
        <v>20</v>
      </c>
      <c r="K172" s="1">
        <v>1171</v>
      </c>
    </row>
    <row r="173" spans="1:11" x14ac:dyDescent="0.3">
      <c r="A173" s="1" t="s">
        <v>16</v>
      </c>
      <c r="B173" s="1" t="s">
        <v>12</v>
      </c>
      <c r="C173" s="1" t="s">
        <v>34</v>
      </c>
      <c r="D173" s="1" t="s">
        <v>45</v>
      </c>
      <c r="E173" s="1">
        <v>13</v>
      </c>
      <c r="F173" s="1">
        <v>43163</v>
      </c>
      <c r="G173" s="1">
        <v>12</v>
      </c>
      <c r="H173" s="2">
        <v>46120</v>
      </c>
      <c r="I173" s="2">
        <v>46129</v>
      </c>
      <c r="J173" s="1" t="s">
        <v>24</v>
      </c>
      <c r="K173" s="1">
        <v>1172</v>
      </c>
    </row>
    <row r="174" spans="1:11" x14ac:dyDescent="0.3">
      <c r="A174" s="1" t="s">
        <v>40</v>
      </c>
      <c r="B174" s="1" t="s">
        <v>17</v>
      </c>
      <c r="C174" s="1" t="s">
        <v>13</v>
      </c>
      <c r="D174" s="1" t="s">
        <v>37</v>
      </c>
      <c r="E174" s="1">
        <v>15</v>
      </c>
      <c r="F174" s="1">
        <v>214</v>
      </c>
      <c r="G174" s="1">
        <v>10</v>
      </c>
      <c r="H174" s="2">
        <v>46050</v>
      </c>
      <c r="I174" s="2">
        <v>46060</v>
      </c>
      <c r="J174" s="1" t="s">
        <v>51</v>
      </c>
      <c r="K174" s="1">
        <v>1173</v>
      </c>
    </row>
    <row r="175" spans="1:11" x14ac:dyDescent="0.3">
      <c r="A175" s="1" t="s">
        <v>58</v>
      </c>
      <c r="B175" s="1" t="s">
        <v>38</v>
      </c>
      <c r="C175" s="1" t="s">
        <v>13</v>
      </c>
      <c r="D175" s="1" t="s">
        <v>14</v>
      </c>
      <c r="E175" s="1">
        <v>13</v>
      </c>
      <c r="F175" s="1">
        <v>155</v>
      </c>
      <c r="G175" s="1">
        <v>2</v>
      </c>
      <c r="H175" s="2">
        <v>46066</v>
      </c>
      <c r="I175" s="2">
        <v>46069</v>
      </c>
      <c r="J175" s="1" t="s">
        <v>24</v>
      </c>
      <c r="K175" s="1">
        <v>1174</v>
      </c>
    </row>
    <row r="176" spans="1:11" x14ac:dyDescent="0.3">
      <c r="A176" s="1" t="s">
        <v>26</v>
      </c>
      <c r="B176" s="1" t="s">
        <v>17</v>
      </c>
      <c r="C176" s="1" t="s">
        <v>34</v>
      </c>
      <c r="D176" s="1" t="s">
        <v>41</v>
      </c>
      <c r="E176" s="1">
        <v>10</v>
      </c>
      <c r="F176" s="1">
        <v>20339</v>
      </c>
      <c r="G176" s="1">
        <v>2</v>
      </c>
      <c r="H176" s="2">
        <v>46088</v>
      </c>
      <c r="I176" s="2">
        <v>46094</v>
      </c>
      <c r="J176" s="1" t="s">
        <v>20</v>
      </c>
      <c r="K176" s="1">
        <v>1175</v>
      </c>
    </row>
    <row r="177" spans="1:11" x14ac:dyDescent="0.3">
      <c r="A177" s="1" t="s">
        <v>58</v>
      </c>
      <c r="B177" s="1" t="s">
        <v>38</v>
      </c>
      <c r="C177" s="1" t="s">
        <v>34</v>
      </c>
      <c r="D177" s="1" t="s">
        <v>41</v>
      </c>
      <c r="E177" s="1">
        <v>17</v>
      </c>
      <c r="F177" s="1">
        <v>46937</v>
      </c>
      <c r="G177" s="1">
        <v>12</v>
      </c>
      <c r="H177" s="2">
        <v>46048</v>
      </c>
      <c r="I177" s="2">
        <v>46056</v>
      </c>
      <c r="J177" s="1" t="s">
        <v>29</v>
      </c>
      <c r="K177" s="1">
        <v>1176</v>
      </c>
    </row>
    <row r="178" spans="1:11" x14ac:dyDescent="0.3">
      <c r="A178" s="1" t="s">
        <v>29</v>
      </c>
      <c r="B178" s="1" t="s">
        <v>22</v>
      </c>
      <c r="C178" s="1" t="s">
        <v>18</v>
      </c>
      <c r="D178" s="1" t="s">
        <v>19</v>
      </c>
      <c r="E178" s="1">
        <v>14</v>
      </c>
      <c r="F178" s="1">
        <v>7501</v>
      </c>
      <c r="G178" s="1">
        <v>7</v>
      </c>
      <c r="H178" s="2">
        <v>46169</v>
      </c>
      <c r="I178" s="2">
        <v>46179</v>
      </c>
      <c r="J178" s="1" t="s">
        <v>20</v>
      </c>
      <c r="K178" s="1">
        <v>1177</v>
      </c>
    </row>
    <row r="179" spans="1:11" x14ac:dyDescent="0.3">
      <c r="A179" s="1" t="s">
        <v>57</v>
      </c>
      <c r="B179" s="1" t="s">
        <v>17</v>
      </c>
      <c r="C179" s="1" t="s">
        <v>13</v>
      </c>
      <c r="D179" s="1" t="s">
        <v>50</v>
      </c>
      <c r="E179" s="1">
        <v>5</v>
      </c>
      <c r="F179" s="1">
        <v>50</v>
      </c>
      <c r="G179" s="1">
        <v>0</v>
      </c>
      <c r="H179" s="2">
        <v>46111</v>
      </c>
      <c r="I179" s="2">
        <v>46117</v>
      </c>
      <c r="J179" s="1" t="s">
        <v>20</v>
      </c>
      <c r="K179" s="1">
        <v>1178</v>
      </c>
    </row>
    <row r="180" spans="1:11" x14ac:dyDescent="0.3">
      <c r="A180" s="1" t="s">
        <v>47</v>
      </c>
      <c r="B180" s="1" t="s">
        <v>17</v>
      </c>
      <c r="C180" s="1" t="s">
        <v>34</v>
      </c>
      <c r="D180" s="1" t="s">
        <v>39</v>
      </c>
      <c r="E180" s="1">
        <v>6</v>
      </c>
      <c r="F180" s="1">
        <v>10400</v>
      </c>
      <c r="G180" s="1">
        <v>2</v>
      </c>
      <c r="H180" s="2">
        <v>46155</v>
      </c>
      <c r="I180" s="2">
        <v>46158</v>
      </c>
      <c r="J180" s="1" t="s">
        <v>15</v>
      </c>
      <c r="K180" s="1">
        <v>1179</v>
      </c>
    </row>
    <row r="181" spans="1:11" x14ac:dyDescent="0.3">
      <c r="A181" s="1" t="s">
        <v>40</v>
      </c>
      <c r="B181" s="1" t="s">
        <v>31</v>
      </c>
      <c r="C181" s="1" t="s">
        <v>18</v>
      </c>
      <c r="D181" s="1" t="s">
        <v>28</v>
      </c>
      <c r="E181" s="1">
        <v>2</v>
      </c>
      <c r="F181" s="1">
        <v>2076</v>
      </c>
      <c r="G181" s="1">
        <v>2</v>
      </c>
      <c r="H181" s="2">
        <v>46111</v>
      </c>
      <c r="I181" s="2">
        <v>46121</v>
      </c>
      <c r="J181" s="1" t="s">
        <v>29</v>
      </c>
      <c r="K181" s="1">
        <v>1180</v>
      </c>
    </row>
    <row r="182" spans="1:11" x14ac:dyDescent="0.3">
      <c r="A182" s="1" t="s">
        <v>58</v>
      </c>
      <c r="B182" s="1" t="s">
        <v>33</v>
      </c>
      <c r="C182" s="1" t="s">
        <v>13</v>
      </c>
      <c r="D182" s="1" t="s">
        <v>36</v>
      </c>
      <c r="E182" s="1">
        <v>4</v>
      </c>
      <c r="F182" s="1">
        <v>357</v>
      </c>
      <c r="G182" s="1">
        <v>2</v>
      </c>
      <c r="H182" s="2">
        <v>46033</v>
      </c>
      <c r="I182" s="2">
        <v>46035</v>
      </c>
      <c r="J182" s="1" t="s">
        <v>15</v>
      </c>
      <c r="K182" s="1">
        <v>1181</v>
      </c>
    </row>
    <row r="183" spans="1:11" x14ac:dyDescent="0.3">
      <c r="A183" s="1" t="s">
        <v>42</v>
      </c>
      <c r="B183" s="1" t="s">
        <v>12</v>
      </c>
      <c r="C183" s="1" t="s">
        <v>34</v>
      </c>
      <c r="D183" s="1" t="s">
        <v>39</v>
      </c>
      <c r="E183" s="1">
        <v>8</v>
      </c>
      <c r="F183" s="1">
        <v>66022</v>
      </c>
      <c r="G183" s="1">
        <v>12</v>
      </c>
      <c r="H183" s="2">
        <v>46108</v>
      </c>
      <c r="I183" s="2">
        <v>46114</v>
      </c>
      <c r="J183" s="1" t="s">
        <v>24</v>
      </c>
      <c r="K183" s="1">
        <v>1182</v>
      </c>
    </row>
    <row r="184" spans="1:11" x14ac:dyDescent="0.3">
      <c r="A184" s="1" t="s">
        <v>52</v>
      </c>
      <c r="B184" s="1" t="s">
        <v>43</v>
      </c>
      <c r="C184" s="1" t="s">
        <v>13</v>
      </c>
      <c r="D184" s="1" t="s">
        <v>14</v>
      </c>
      <c r="E184" s="1">
        <v>2</v>
      </c>
      <c r="F184" s="1">
        <v>309</v>
      </c>
      <c r="G184" s="1">
        <v>2</v>
      </c>
      <c r="H184" s="2">
        <v>46109</v>
      </c>
      <c r="I184" s="2">
        <v>46111</v>
      </c>
      <c r="J184" s="1" t="s">
        <v>20</v>
      </c>
      <c r="K184" s="1">
        <v>1183</v>
      </c>
    </row>
    <row r="185" spans="1:11" x14ac:dyDescent="0.3">
      <c r="A185" s="1" t="s">
        <v>40</v>
      </c>
      <c r="B185" s="1" t="s">
        <v>31</v>
      </c>
      <c r="C185" s="1" t="s">
        <v>34</v>
      </c>
      <c r="D185" s="1" t="s">
        <v>39</v>
      </c>
      <c r="E185" s="1">
        <v>12</v>
      </c>
      <c r="F185" s="1">
        <v>50517</v>
      </c>
      <c r="G185" s="1">
        <v>15</v>
      </c>
      <c r="H185" s="2">
        <v>46145</v>
      </c>
      <c r="I185" s="2">
        <v>46153</v>
      </c>
      <c r="J185" s="1" t="s">
        <v>29</v>
      </c>
      <c r="K185" s="1">
        <v>1184</v>
      </c>
    </row>
    <row r="186" spans="1:11" x14ac:dyDescent="0.3">
      <c r="A186" s="1" t="s">
        <v>58</v>
      </c>
      <c r="B186" s="1" t="s">
        <v>22</v>
      </c>
      <c r="C186" s="1" t="s">
        <v>34</v>
      </c>
      <c r="D186" s="1" t="s">
        <v>60</v>
      </c>
      <c r="E186" s="1">
        <v>16</v>
      </c>
      <c r="F186" s="1">
        <v>15536</v>
      </c>
      <c r="G186" s="1">
        <v>2</v>
      </c>
      <c r="H186" s="2">
        <v>46153</v>
      </c>
      <c r="I186" s="2">
        <v>46156</v>
      </c>
      <c r="J186" s="1" t="s">
        <v>15</v>
      </c>
      <c r="K186" s="1">
        <v>1185</v>
      </c>
    </row>
    <row r="187" spans="1:11" x14ac:dyDescent="0.3">
      <c r="A187" s="1" t="s">
        <v>16</v>
      </c>
      <c r="B187" s="1" t="s">
        <v>25</v>
      </c>
      <c r="C187" s="1" t="s">
        <v>18</v>
      </c>
      <c r="D187" s="1" t="s">
        <v>44</v>
      </c>
      <c r="E187" s="1">
        <v>10</v>
      </c>
      <c r="F187" s="1">
        <v>14951</v>
      </c>
      <c r="G187" s="1">
        <v>2</v>
      </c>
      <c r="H187" s="2">
        <v>46188</v>
      </c>
      <c r="I187" s="2">
        <v>46196</v>
      </c>
      <c r="J187" s="1" t="s">
        <v>24</v>
      </c>
      <c r="K187" s="1">
        <v>1186</v>
      </c>
    </row>
    <row r="188" spans="1:11" x14ac:dyDescent="0.3">
      <c r="A188" s="1" t="s">
        <v>54</v>
      </c>
      <c r="B188" s="1" t="s">
        <v>22</v>
      </c>
      <c r="C188" s="1" t="s">
        <v>34</v>
      </c>
      <c r="D188" s="1" t="s">
        <v>45</v>
      </c>
      <c r="E188" s="1">
        <v>18</v>
      </c>
      <c r="F188" s="1">
        <v>68527</v>
      </c>
      <c r="G188" s="1">
        <v>12</v>
      </c>
      <c r="H188" s="2">
        <v>46178</v>
      </c>
      <c r="I188" s="2">
        <v>46184</v>
      </c>
      <c r="J188" s="1" t="s">
        <v>51</v>
      </c>
      <c r="K188" s="1">
        <v>1187</v>
      </c>
    </row>
    <row r="189" spans="1:11" x14ac:dyDescent="0.3">
      <c r="A189" s="1" t="s">
        <v>29</v>
      </c>
      <c r="B189" s="1" t="s">
        <v>22</v>
      </c>
      <c r="C189" s="1" t="s">
        <v>18</v>
      </c>
      <c r="D189" s="1" t="s">
        <v>56</v>
      </c>
      <c r="E189" s="1">
        <v>6</v>
      </c>
      <c r="F189" s="1">
        <v>10368</v>
      </c>
      <c r="G189" s="1">
        <v>7</v>
      </c>
      <c r="H189" s="2">
        <v>46137</v>
      </c>
      <c r="I189" s="2">
        <v>46142</v>
      </c>
      <c r="J189" s="1" t="s">
        <v>15</v>
      </c>
      <c r="K189" s="1">
        <v>1188</v>
      </c>
    </row>
    <row r="190" spans="1:11" x14ac:dyDescent="0.3">
      <c r="A190" s="1" t="s">
        <v>49</v>
      </c>
      <c r="B190" s="1" t="s">
        <v>31</v>
      </c>
      <c r="C190" s="1" t="s">
        <v>18</v>
      </c>
      <c r="D190" s="1" t="s">
        <v>56</v>
      </c>
      <c r="E190" s="1">
        <v>12</v>
      </c>
      <c r="F190" s="1">
        <v>8327</v>
      </c>
      <c r="G190" s="1">
        <v>10</v>
      </c>
      <c r="H190" s="2">
        <v>46184</v>
      </c>
      <c r="I190" s="2">
        <v>46185</v>
      </c>
      <c r="J190" s="1" t="s">
        <v>29</v>
      </c>
      <c r="K190" s="1">
        <v>1189</v>
      </c>
    </row>
    <row r="191" spans="1:11" x14ac:dyDescent="0.3">
      <c r="A191" s="1" t="s">
        <v>57</v>
      </c>
      <c r="B191" s="1" t="s">
        <v>17</v>
      </c>
      <c r="C191" s="1" t="s">
        <v>18</v>
      </c>
      <c r="D191" s="1" t="s">
        <v>28</v>
      </c>
      <c r="E191" s="1">
        <v>4</v>
      </c>
      <c r="F191" s="1">
        <v>10154</v>
      </c>
      <c r="G191" s="1">
        <v>7</v>
      </c>
      <c r="H191" s="2">
        <v>46052</v>
      </c>
      <c r="I191" s="2">
        <v>46062</v>
      </c>
      <c r="J191" s="1" t="s">
        <v>20</v>
      </c>
      <c r="K191" s="1">
        <v>1190</v>
      </c>
    </row>
    <row r="192" spans="1:11" x14ac:dyDescent="0.3">
      <c r="A192" s="1" t="s">
        <v>52</v>
      </c>
      <c r="B192" s="1" t="s">
        <v>33</v>
      </c>
      <c r="C192" s="1" t="s">
        <v>18</v>
      </c>
      <c r="D192" s="1" t="s">
        <v>56</v>
      </c>
      <c r="E192" s="1">
        <v>9</v>
      </c>
      <c r="F192" s="1">
        <v>8631</v>
      </c>
      <c r="G192" s="1">
        <v>10</v>
      </c>
      <c r="H192" s="2">
        <v>46149</v>
      </c>
      <c r="I192" s="2">
        <v>46156</v>
      </c>
      <c r="J192" s="1" t="s">
        <v>20</v>
      </c>
      <c r="K192" s="1">
        <v>1191</v>
      </c>
    </row>
    <row r="193" spans="1:11" x14ac:dyDescent="0.3">
      <c r="A193" s="1" t="s">
        <v>21</v>
      </c>
      <c r="B193" s="1" t="s">
        <v>33</v>
      </c>
      <c r="C193" s="1" t="s">
        <v>13</v>
      </c>
      <c r="D193" s="1" t="s">
        <v>53</v>
      </c>
      <c r="E193" s="1">
        <v>18</v>
      </c>
      <c r="F193" s="1">
        <v>49</v>
      </c>
      <c r="G193" s="1">
        <v>12</v>
      </c>
      <c r="H193" s="2">
        <v>46089</v>
      </c>
      <c r="I193" s="2">
        <v>46095</v>
      </c>
      <c r="J193" s="1" t="s">
        <v>24</v>
      </c>
      <c r="K193" s="1">
        <v>1192</v>
      </c>
    </row>
    <row r="194" spans="1:11" x14ac:dyDescent="0.3">
      <c r="A194" s="1" t="s">
        <v>57</v>
      </c>
      <c r="B194" s="1" t="s">
        <v>12</v>
      </c>
      <c r="C194" s="1" t="s">
        <v>18</v>
      </c>
      <c r="D194" s="1" t="s">
        <v>23</v>
      </c>
      <c r="E194" s="1">
        <v>19</v>
      </c>
      <c r="F194" s="1">
        <v>2699</v>
      </c>
      <c r="G194" s="1">
        <v>7</v>
      </c>
      <c r="H194" s="2">
        <v>46110</v>
      </c>
      <c r="I194" s="2">
        <v>46112</v>
      </c>
      <c r="J194" s="1" t="s">
        <v>29</v>
      </c>
      <c r="K194" s="1">
        <v>1193</v>
      </c>
    </row>
    <row r="195" spans="1:11" x14ac:dyDescent="0.3">
      <c r="A195" s="1" t="s">
        <v>57</v>
      </c>
      <c r="B195" s="1" t="s">
        <v>43</v>
      </c>
      <c r="C195" s="1" t="s">
        <v>18</v>
      </c>
      <c r="D195" s="1" t="s">
        <v>28</v>
      </c>
      <c r="E195" s="1">
        <v>13</v>
      </c>
      <c r="F195" s="1">
        <v>12856</v>
      </c>
      <c r="G195" s="1">
        <v>15</v>
      </c>
      <c r="H195" s="2">
        <v>46129</v>
      </c>
      <c r="I195" s="2">
        <v>46133</v>
      </c>
      <c r="J195" s="1" t="s">
        <v>51</v>
      </c>
      <c r="K195" s="1">
        <v>1194</v>
      </c>
    </row>
    <row r="196" spans="1:11" x14ac:dyDescent="0.3">
      <c r="A196" s="1" t="s">
        <v>59</v>
      </c>
      <c r="B196" s="1" t="s">
        <v>17</v>
      </c>
      <c r="C196" s="1" t="s">
        <v>13</v>
      </c>
      <c r="D196" s="1" t="s">
        <v>50</v>
      </c>
      <c r="E196" s="1">
        <v>19</v>
      </c>
      <c r="F196" s="1">
        <v>313</v>
      </c>
      <c r="G196" s="1">
        <v>2</v>
      </c>
      <c r="H196" s="2">
        <v>46198</v>
      </c>
      <c r="I196" s="2">
        <v>46206</v>
      </c>
      <c r="J196" s="1" t="s">
        <v>51</v>
      </c>
      <c r="K196" s="1">
        <v>1195</v>
      </c>
    </row>
    <row r="197" spans="1:11" x14ac:dyDescent="0.3">
      <c r="A197" s="1" t="s">
        <v>48</v>
      </c>
      <c r="B197" s="1" t="s">
        <v>22</v>
      </c>
      <c r="C197" s="1" t="s">
        <v>34</v>
      </c>
      <c r="D197" s="1" t="s">
        <v>35</v>
      </c>
      <c r="E197" s="1">
        <v>20</v>
      </c>
      <c r="F197" s="1">
        <v>3172</v>
      </c>
      <c r="G197" s="1">
        <v>5</v>
      </c>
      <c r="H197" s="2">
        <v>46155</v>
      </c>
      <c r="I197" s="2">
        <v>46159</v>
      </c>
      <c r="J197" s="1" t="s">
        <v>20</v>
      </c>
      <c r="K197" s="1">
        <v>1196</v>
      </c>
    </row>
    <row r="198" spans="1:11" x14ac:dyDescent="0.3">
      <c r="A198" s="1" t="s">
        <v>52</v>
      </c>
      <c r="B198" s="1" t="s">
        <v>31</v>
      </c>
      <c r="C198" s="1" t="s">
        <v>34</v>
      </c>
      <c r="D198" s="1" t="s">
        <v>35</v>
      </c>
      <c r="E198" s="1">
        <v>5</v>
      </c>
      <c r="F198" s="1">
        <v>45352</v>
      </c>
      <c r="G198" s="1">
        <v>12</v>
      </c>
      <c r="H198" s="2">
        <v>46045</v>
      </c>
      <c r="I198" s="2">
        <v>46048</v>
      </c>
      <c r="J198" s="1" t="s">
        <v>15</v>
      </c>
      <c r="K198" s="1">
        <v>1197</v>
      </c>
    </row>
    <row r="199" spans="1:11" x14ac:dyDescent="0.3">
      <c r="A199" s="1" t="s">
        <v>58</v>
      </c>
      <c r="B199" s="1" t="s">
        <v>12</v>
      </c>
      <c r="C199" s="1" t="s">
        <v>13</v>
      </c>
      <c r="D199" s="1" t="s">
        <v>14</v>
      </c>
      <c r="E199" s="1">
        <v>12</v>
      </c>
      <c r="F199" s="1">
        <v>491</v>
      </c>
      <c r="G199" s="1">
        <v>2</v>
      </c>
      <c r="H199" s="2">
        <v>46106</v>
      </c>
      <c r="I199" s="2">
        <v>46109</v>
      </c>
      <c r="J199" s="1" t="s">
        <v>51</v>
      </c>
      <c r="K199" s="1">
        <v>1198</v>
      </c>
    </row>
    <row r="200" spans="1:11" x14ac:dyDescent="0.3">
      <c r="A200" s="1" t="s">
        <v>11</v>
      </c>
      <c r="B200" s="1" t="s">
        <v>25</v>
      </c>
      <c r="C200" s="1" t="s">
        <v>34</v>
      </c>
      <c r="D200" s="1" t="s">
        <v>45</v>
      </c>
      <c r="E200" s="1">
        <v>2</v>
      </c>
      <c r="F200" s="1">
        <v>4375</v>
      </c>
      <c r="G200" s="1">
        <v>7</v>
      </c>
      <c r="H200" s="2">
        <v>46178</v>
      </c>
      <c r="I200" s="2">
        <v>46180</v>
      </c>
      <c r="J200" s="1" t="s">
        <v>24</v>
      </c>
      <c r="K200" s="1">
        <v>1199</v>
      </c>
    </row>
    <row r="201" spans="1:11" x14ac:dyDescent="0.3">
      <c r="A201" s="1" t="s">
        <v>29</v>
      </c>
      <c r="B201" s="1" t="s">
        <v>31</v>
      </c>
      <c r="C201" s="1" t="s">
        <v>34</v>
      </c>
      <c r="D201" s="1" t="s">
        <v>45</v>
      </c>
      <c r="E201" s="1">
        <v>13</v>
      </c>
      <c r="F201" s="1">
        <v>69422</v>
      </c>
      <c r="G201" s="1">
        <v>0</v>
      </c>
      <c r="H201" s="2">
        <v>46134</v>
      </c>
      <c r="I201" s="2">
        <v>46143</v>
      </c>
      <c r="J201" s="1" t="s">
        <v>29</v>
      </c>
      <c r="K201" s="1">
        <v>1200</v>
      </c>
    </row>
    <row r="202" spans="1:11" x14ac:dyDescent="0.3">
      <c r="A202" s="1" t="s">
        <v>54</v>
      </c>
      <c r="B202" s="1" t="s">
        <v>31</v>
      </c>
      <c r="C202" s="1" t="s">
        <v>13</v>
      </c>
      <c r="D202" s="1" t="s">
        <v>53</v>
      </c>
      <c r="E202" s="1">
        <v>18</v>
      </c>
      <c r="F202" s="1">
        <v>139</v>
      </c>
      <c r="G202" s="1">
        <v>12</v>
      </c>
      <c r="H202" s="2">
        <v>46075</v>
      </c>
      <c r="I202" s="2">
        <v>46076</v>
      </c>
      <c r="J202" s="1" t="s">
        <v>20</v>
      </c>
      <c r="K202" s="1">
        <v>1201</v>
      </c>
    </row>
    <row r="203" spans="1:11" x14ac:dyDescent="0.3">
      <c r="A203" s="1" t="s">
        <v>57</v>
      </c>
      <c r="B203" s="1" t="s">
        <v>22</v>
      </c>
      <c r="C203" s="1" t="s">
        <v>34</v>
      </c>
      <c r="D203" s="1" t="s">
        <v>35</v>
      </c>
      <c r="E203" s="1">
        <v>2</v>
      </c>
      <c r="F203" s="1">
        <v>20312</v>
      </c>
      <c r="G203" s="1">
        <v>12</v>
      </c>
      <c r="H203" s="2">
        <v>46082</v>
      </c>
      <c r="I203" s="2">
        <v>46091</v>
      </c>
      <c r="J203" s="1" t="s">
        <v>15</v>
      </c>
      <c r="K203" s="1">
        <v>1202</v>
      </c>
    </row>
    <row r="204" spans="1:11" x14ac:dyDescent="0.3">
      <c r="A204" s="1" t="s">
        <v>40</v>
      </c>
      <c r="B204" s="1" t="s">
        <v>22</v>
      </c>
      <c r="C204" s="1" t="s">
        <v>18</v>
      </c>
      <c r="D204" s="1" t="s">
        <v>23</v>
      </c>
      <c r="E204" s="1">
        <v>17</v>
      </c>
      <c r="F204" s="1">
        <v>6695</v>
      </c>
      <c r="G204" s="1">
        <v>2</v>
      </c>
      <c r="H204" s="2">
        <v>46119</v>
      </c>
      <c r="I204" s="2">
        <v>46122</v>
      </c>
      <c r="J204" s="1" t="s">
        <v>51</v>
      </c>
      <c r="K204" s="1">
        <v>1203</v>
      </c>
    </row>
    <row r="205" spans="1:11" x14ac:dyDescent="0.3">
      <c r="A205" s="1" t="s">
        <v>16</v>
      </c>
      <c r="B205" s="1" t="s">
        <v>31</v>
      </c>
      <c r="C205" s="1" t="s">
        <v>13</v>
      </c>
      <c r="D205" s="1" t="s">
        <v>37</v>
      </c>
      <c r="E205" s="1">
        <v>13</v>
      </c>
      <c r="F205" s="1">
        <v>416</v>
      </c>
      <c r="G205" s="1">
        <v>10</v>
      </c>
      <c r="H205" s="2">
        <v>46123</v>
      </c>
      <c r="I205" s="2">
        <v>46132</v>
      </c>
      <c r="J205" s="1" t="s">
        <v>20</v>
      </c>
      <c r="K205" s="1">
        <v>1204</v>
      </c>
    </row>
    <row r="206" spans="1:11" x14ac:dyDescent="0.3">
      <c r="A206" s="1" t="s">
        <v>21</v>
      </c>
      <c r="B206" s="1" t="s">
        <v>38</v>
      </c>
      <c r="C206" s="1" t="s">
        <v>13</v>
      </c>
      <c r="D206" s="1" t="s">
        <v>36</v>
      </c>
      <c r="E206" s="1">
        <v>1</v>
      </c>
      <c r="F206" s="1">
        <v>112</v>
      </c>
      <c r="G206" s="1">
        <v>7</v>
      </c>
      <c r="H206" s="2">
        <v>46033</v>
      </c>
      <c r="I206" s="2">
        <v>46040</v>
      </c>
      <c r="J206" s="1" t="s">
        <v>51</v>
      </c>
      <c r="K206" s="1">
        <v>1205</v>
      </c>
    </row>
    <row r="207" spans="1:11" x14ac:dyDescent="0.3">
      <c r="A207" s="1" t="s">
        <v>55</v>
      </c>
      <c r="B207" s="1" t="s">
        <v>33</v>
      </c>
      <c r="C207" s="1" t="s">
        <v>13</v>
      </c>
      <c r="D207" s="1" t="s">
        <v>14</v>
      </c>
      <c r="E207" s="1">
        <v>9</v>
      </c>
      <c r="F207" s="1">
        <v>60</v>
      </c>
      <c r="G207" s="1">
        <v>0</v>
      </c>
      <c r="H207" s="2">
        <v>46166</v>
      </c>
      <c r="I207" s="2">
        <v>46174</v>
      </c>
      <c r="J207" s="1" t="s">
        <v>15</v>
      </c>
      <c r="K207" s="1">
        <v>1206</v>
      </c>
    </row>
    <row r="208" spans="1:11" x14ac:dyDescent="0.3">
      <c r="A208" s="1" t="s">
        <v>55</v>
      </c>
      <c r="B208" s="1" t="s">
        <v>25</v>
      </c>
      <c r="C208" s="1" t="s">
        <v>13</v>
      </c>
      <c r="D208" s="1" t="s">
        <v>53</v>
      </c>
      <c r="E208" s="1">
        <v>7</v>
      </c>
      <c r="F208" s="1">
        <v>244</v>
      </c>
      <c r="G208" s="1">
        <v>2</v>
      </c>
      <c r="H208" s="2">
        <v>46164</v>
      </c>
      <c r="I208" s="2">
        <v>46173</v>
      </c>
      <c r="J208" s="1" t="s">
        <v>24</v>
      </c>
      <c r="K208" s="1">
        <v>1207</v>
      </c>
    </row>
    <row r="209" spans="1:11" x14ac:dyDescent="0.3">
      <c r="A209" s="1" t="s">
        <v>54</v>
      </c>
      <c r="B209" s="1" t="s">
        <v>43</v>
      </c>
      <c r="C209" s="1" t="s">
        <v>18</v>
      </c>
      <c r="D209" s="1" t="s">
        <v>44</v>
      </c>
      <c r="E209" s="1">
        <v>6</v>
      </c>
      <c r="F209" s="1">
        <v>7627</v>
      </c>
      <c r="G209" s="1">
        <v>10</v>
      </c>
      <c r="H209" s="2">
        <v>46042</v>
      </c>
      <c r="I209" s="2">
        <v>46047</v>
      </c>
      <c r="J209" s="1" t="s">
        <v>20</v>
      </c>
      <c r="K209" s="1">
        <v>1208</v>
      </c>
    </row>
    <row r="210" spans="1:11" x14ac:dyDescent="0.3">
      <c r="A210" s="1" t="s">
        <v>48</v>
      </c>
      <c r="B210" s="1" t="s">
        <v>38</v>
      </c>
      <c r="C210" s="1" t="s">
        <v>34</v>
      </c>
      <c r="D210" s="1" t="s">
        <v>35</v>
      </c>
      <c r="E210" s="1">
        <v>19</v>
      </c>
      <c r="F210" s="1">
        <v>20284</v>
      </c>
      <c r="G210" s="1">
        <v>10</v>
      </c>
      <c r="H210" s="2">
        <v>46103</v>
      </c>
      <c r="I210" s="2">
        <v>46110</v>
      </c>
      <c r="J210" s="1" t="s">
        <v>20</v>
      </c>
      <c r="K210" s="1">
        <v>1209</v>
      </c>
    </row>
    <row r="211" spans="1:11" x14ac:dyDescent="0.3">
      <c r="A211" s="1" t="s">
        <v>30</v>
      </c>
      <c r="B211" s="1" t="s">
        <v>31</v>
      </c>
      <c r="C211" s="1" t="s">
        <v>13</v>
      </c>
      <c r="D211" s="1" t="s">
        <v>53</v>
      </c>
      <c r="E211" s="1">
        <v>10</v>
      </c>
      <c r="F211" s="1">
        <v>349</v>
      </c>
      <c r="G211" s="1">
        <v>0</v>
      </c>
      <c r="H211" s="2">
        <v>46052</v>
      </c>
      <c r="I211" s="2">
        <v>46060</v>
      </c>
      <c r="J211" s="1" t="s">
        <v>29</v>
      </c>
      <c r="K211" s="1">
        <v>1210</v>
      </c>
    </row>
    <row r="212" spans="1:11" x14ac:dyDescent="0.3">
      <c r="A212" s="1" t="s">
        <v>48</v>
      </c>
      <c r="B212" s="1" t="s">
        <v>17</v>
      </c>
      <c r="C212" s="1" t="s">
        <v>34</v>
      </c>
      <c r="D212" s="1" t="s">
        <v>35</v>
      </c>
      <c r="E212" s="1">
        <v>3</v>
      </c>
      <c r="F212" s="1">
        <v>5962</v>
      </c>
      <c r="G212" s="1">
        <v>7</v>
      </c>
      <c r="H212" s="2">
        <v>46175</v>
      </c>
      <c r="I212" s="2">
        <v>46183</v>
      </c>
      <c r="J212" s="1" t="s">
        <v>15</v>
      </c>
      <c r="K212" s="1">
        <v>1211</v>
      </c>
    </row>
    <row r="213" spans="1:11" x14ac:dyDescent="0.3">
      <c r="A213" s="1" t="s">
        <v>59</v>
      </c>
      <c r="B213" s="1" t="s">
        <v>25</v>
      </c>
      <c r="C213" s="1" t="s">
        <v>34</v>
      </c>
      <c r="D213" s="1" t="s">
        <v>60</v>
      </c>
      <c r="E213" s="1">
        <v>10</v>
      </c>
      <c r="F213" s="1">
        <v>34380</v>
      </c>
      <c r="G213" s="1">
        <v>7</v>
      </c>
      <c r="H213" s="2">
        <v>46194</v>
      </c>
      <c r="I213" s="2">
        <v>46195</v>
      </c>
      <c r="J213" s="1" t="s">
        <v>29</v>
      </c>
      <c r="K213" s="1">
        <v>1212</v>
      </c>
    </row>
    <row r="214" spans="1:11" x14ac:dyDescent="0.3">
      <c r="A214" s="1" t="s">
        <v>32</v>
      </c>
      <c r="B214" s="1" t="s">
        <v>38</v>
      </c>
      <c r="C214" s="1" t="s">
        <v>34</v>
      </c>
      <c r="D214" s="1" t="s">
        <v>45</v>
      </c>
      <c r="E214" s="1">
        <v>16</v>
      </c>
      <c r="F214" s="1">
        <v>27741</v>
      </c>
      <c r="G214" s="1">
        <v>12</v>
      </c>
      <c r="H214" s="2">
        <v>46116</v>
      </c>
      <c r="I214" s="2">
        <v>46119</v>
      </c>
      <c r="J214" s="1" t="s">
        <v>15</v>
      </c>
      <c r="K214" s="1">
        <v>1213</v>
      </c>
    </row>
    <row r="215" spans="1:11" x14ac:dyDescent="0.3">
      <c r="A215" s="1" t="s">
        <v>42</v>
      </c>
      <c r="B215" s="1" t="s">
        <v>25</v>
      </c>
      <c r="C215" s="1" t="s">
        <v>18</v>
      </c>
      <c r="D215" s="1" t="s">
        <v>28</v>
      </c>
      <c r="E215" s="1">
        <v>19</v>
      </c>
      <c r="F215" s="1">
        <v>13832</v>
      </c>
      <c r="G215" s="1">
        <v>0</v>
      </c>
      <c r="H215" s="2">
        <v>46140</v>
      </c>
      <c r="I215" s="2">
        <v>46145</v>
      </c>
      <c r="J215" s="1" t="s">
        <v>51</v>
      </c>
      <c r="K215" s="1">
        <v>1214</v>
      </c>
    </row>
    <row r="216" spans="1:11" x14ac:dyDescent="0.3">
      <c r="A216" s="1" t="s">
        <v>27</v>
      </c>
      <c r="B216" s="1" t="s">
        <v>12</v>
      </c>
      <c r="C216" s="1" t="s">
        <v>18</v>
      </c>
      <c r="D216" s="1" t="s">
        <v>28</v>
      </c>
      <c r="E216" s="1">
        <v>6</v>
      </c>
      <c r="F216" s="1">
        <v>1254</v>
      </c>
      <c r="G216" s="1">
        <v>0</v>
      </c>
      <c r="H216" s="2">
        <v>46131</v>
      </c>
      <c r="I216" s="2">
        <v>46136</v>
      </c>
      <c r="J216" s="1" t="s">
        <v>29</v>
      </c>
      <c r="K216" s="1">
        <v>1215</v>
      </c>
    </row>
    <row r="217" spans="1:11" x14ac:dyDescent="0.3">
      <c r="A217" s="1" t="s">
        <v>40</v>
      </c>
      <c r="B217" s="1" t="s">
        <v>22</v>
      </c>
      <c r="C217" s="1" t="s">
        <v>34</v>
      </c>
      <c r="D217" s="1" t="s">
        <v>45</v>
      </c>
      <c r="E217" s="1">
        <v>10</v>
      </c>
      <c r="F217" s="1">
        <v>56709</v>
      </c>
      <c r="G217" s="1">
        <v>15</v>
      </c>
      <c r="H217" s="2">
        <v>46135</v>
      </c>
      <c r="I217" s="2">
        <v>46139</v>
      </c>
      <c r="J217" s="1" t="s">
        <v>29</v>
      </c>
      <c r="K217" s="1">
        <v>1216</v>
      </c>
    </row>
    <row r="218" spans="1:11" x14ac:dyDescent="0.3">
      <c r="A218" s="1" t="s">
        <v>30</v>
      </c>
      <c r="B218" s="1" t="s">
        <v>22</v>
      </c>
      <c r="C218" s="1" t="s">
        <v>13</v>
      </c>
      <c r="D218" s="1" t="s">
        <v>50</v>
      </c>
      <c r="E218" s="1">
        <v>18</v>
      </c>
      <c r="F218" s="1">
        <v>60</v>
      </c>
      <c r="G218" s="1">
        <v>0</v>
      </c>
      <c r="H218" s="2">
        <v>46171</v>
      </c>
      <c r="I218" s="2">
        <v>46172</v>
      </c>
      <c r="J218" s="1" t="s">
        <v>29</v>
      </c>
      <c r="K218" s="1">
        <v>1217</v>
      </c>
    </row>
    <row r="219" spans="1:11" x14ac:dyDescent="0.3">
      <c r="A219" s="1" t="s">
        <v>55</v>
      </c>
      <c r="B219" s="1" t="s">
        <v>38</v>
      </c>
      <c r="C219" s="1" t="s">
        <v>13</v>
      </c>
      <c r="D219" s="1" t="s">
        <v>14</v>
      </c>
      <c r="E219" s="1">
        <v>1</v>
      </c>
      <c r="F219" s="1">
        <v>134</v>
      </c>
      <c r="G219" s="1">
        <v>10</v>
      </c>
      <c r="H219" s="2">
        <v>46143</v>
      </c>
      <c r="I219" s="2">
        <v>46151</v>
      </c>
      <c r="J219" s="1" t="s">
        <v>51</v>
      </c>
      <c r="K219" s="1">
        <v>1218</v>
      </c>
    </row>
    <row r="220" spans="1:11" x14ac:dyDescent="0.3">
      <c r="A220" s="1" t="s">
        <v>46</v>
      </c>
      <c r="B220" s="1" t="s">
        <v>22</v>
      </c>
      <c r="C220" s="1" t="s">
        <v>13</v>
      </c>
      <c r="D220" s="1" t="s">
        <v>14</v>
      </c>
      <c r="E220" s="1">
        <v>4</v>
      </c>
      <c r="F220" s="1">
        <v>117</v>
      </c>
      <c r="G220" s="1">
        <v>15</v>
      </c>
      <c r="H220" s="2">
        <v>46202</v>
      </c>
      <c r="I220" s="2">
        <v>46206</v>
      </c>
      <c r="J220" s="1" t="s">
        <v>29</v>
      </c>
      <c r="K220" s="1">
        <v>1219</v>
      </c>
    </row>
    <row r="221" spans="1:11" x14ac:dyDescent="0.3">
      <c r="A221" s="1" t="s">
        <v>11</v>
      </c>
      <c r="B221" s="1" t="s">
        <v>25</v>
      </c>
      <c r="C221" s="1" t="s">
        <v>18</v>
      </c>
      <c r="D221" s="1" t="s">
        <v>56</v>
      </c>
      <c r="E221" s="1">
        <v>2</v>
      </c>
      <c r="F221" s="1">
        <v>8861</v>
      </c>
      <c r="G221" s="1">
        <v>2</v>
      </c>
      <c r="H221" s="2">
        <v>46170</v>
      </c>
      <c r="I221" s="2">
        <v>46174</v>
      </c>
      <c r="J221" s="1" t="s">
        <v>24</v>
      </c>
      <c r="K221" s="1">
        <v>1220</v>
      </c>
    </row>
    <row r="222" spans="1:11" x14ac:dyDescent="0.3">
      <c r="A222" s="1" t="s">
        <v>11</v>
      </c>
      <c r="B222" s="1" t="s">
        <v>31</v>
      </c>
      <c r="C222" s="1" t="s">
        <v>18</v>
      </c>
      <c r="D222" s="1" t="s">
        <v>56</v>
      </c>
      <c r="E222" s="1">
        <v>18</v>
      </c>
      <c r="F222" s="1">
        <v>2681</v>
      </c>
      <c r="G222" s="1">
        <v>10</v>
      </c>
      <c r="H222" s="2">
        <v>46122</v>
      </c>
      <c r="I222" s="2">
        <v>46125</v>
      </c>
      <c r="J222" s="1" t="s">
        <v>51</v>
      </c>
      <c r="K222" s="1">
        <v>1221</v>
      </c>
    </row>
    <row r="223" spans="1:11" x14ac:dyDescent="0.3">
      <c r="A223" s="1" t="s">
        <v>30</v>
      </c>
      <c r="B223" s="1" t="s">
        <v>33</v>
      </c>
      <c r="C223" s="1" t="s">
        <v>18</v>
      </c>
      <c r="D223" s="1" t="s">
        <v>23</v>
      </c>
      <c r="E223" s="1">
        <v>9</v>
      </c>
      <c r="F223" s="1">
        <v>2712</v>
      </c>
      <c r="G223" s="1">
        <v>12</v>
      </c>
      <c r="H223" s="2">
        <v>46154</v>
      </c>
      <c r="I223" s="2">
        <v>46163</v>
      </c>
      <c r="J223" s="1" t="s">
        <v>15</v>
      </c>
      <c r="K223" s="1">
        <v>1222</v>
      </c>
    </row>
    <row r="224" spans="1:11" x14ac:dyDescent="0.3">
      <c r="A224" s="1" t="s">
        <v>59</v>
      </c>
      <c r="B224" s="1" t="s">
        <v>17</v>
      </c>
      <c r="C224" s="1" t="s">
        <v>18</v>
      </c>
      <c r="D224" s="1" t="s">
        <v>23</v>
      </c>
      <c r="E224" s="1">
        <v>4</v>
      </c>
      <c r="F224" s="1">
        <v>2249</v>
      </c>
      <c r="G224" s="1">
        <v>7</v>
      </c>
      <c r="H224" s="2">
        <v>46077</v>
      </c>
      <c r="I224" s="2">
        <v>46084</v>
      </c>
      <c r="J224" s="1" t="s">
        <v>15</v>
      </c>
      <c r="K224" s="1">
        <v>1223</v>
      </c>
    </row>
    <row r="225" spans="1:11" x14ac:dyDescent="0.3">
      <c r="A225" s="1" t="s">
        <v>30</v>
      </c>
      <c r="B225" s="1" t="s">
        <v>38</v>
      </c>
      <c r="C225" s="1" t="s">
        <v>34</v>
      </c>
      <c r="D225" s="1" t="s">
        <v>45</v>
      </c>
      <c r="E225" s="1">
        <v>16</v>
      </c>
      <c r="F225" s="1">
        <v>18378</v>
      </c>
      <c r="G225" s="1">
        <v>10</v>
      </c>
      <c r="H225" s="2">
        <v>46045</v>
      </c>
      <c r="I225" s="2">
        <v>46052</v>
      </c>
      <c r="J225" s="1" t="s">
        <v>24</v>
      </c>
      <c r="K225" s="1">
        <v>1224</v>
      </c>
    </row>
    <row r="226" spans="1:11" x14ac:dyDescent="0.3">
      <c r="A226" s="1" t="s">
        <v>42</v>
      </c>
      <c r="B226" s="1" t="s">
        <v>31</v>
      </c>
      <c r="C226" s="1" t="s">
        <v>34</v>
      </c>
      <c r="D226" s="1" t="s">
        <v>35</v>
      </c>
      <c r="E226" s="1">
        <v>16</v>
      </c>
      <c r="F226" s="1">
        <v>32262</v>
      </c>
      <c r="G226" s="1">
        <v>12</v>
      </c>
      <c r="H226" s="2">
        <v>46125</v>
      </c>
      <c r="I226" s="2">
        <v>46126</v>
      </c>
      <c r="J226" s="1" t="s">
        <v>20</v>
      </c>
      <c r="K226" s="1">
        <v>1225</v>
      </c>
    </row>
    <row r="227" spans="1:11" x14ac:dyDescent="0.3">
      <c r="A227" s="1" t="s">
        <v>29</v>
      </c>
      <c r="B227" s="1" t="s">
        <v>31</v>
      </c>
      <c r="C227" s="1" t="s">
        <v>34</v>
      </c>
      <c r="D227" s="1" t="s">
        <v>41</v>
      </c>
      <c r="E227" s="1">
        <v>13</v>
      </c>
      <c r="F227" s="1">
        <v>21332</v>
      </c>
      <c r="G227" s="1">
        <v>0</v>
      </c>
      <c r="H227" s="2">
        <v>46044</v>
      </c>
      <c r="I227" s="2">
        <v>46048</v>
      </c>
      <c r="J227" s="1" t="s">
        <v>29</v>
      </c>
      <c r="K227" s="1">
        <v>1226</v>
      </c>
    </row>
    <row r="228" spans="1:11" x14ac:dyDescent="0.3">
      <c r="A228" s="1" t="s">
        <v>58</v>
      </c>
      <c r="B228" s="1" t="s">
        <v>22</v>
      </c>
      <c r="C228" s="1" t="s">
        <v>34</v>
      </c>
      <c r="D228" s="1" t="s">
        <v>45</v>
      </c>
      <c r="E228" s="1">
        <v>16</v>
      </c>
      <c r="F228" s="1">
        <v>1321</v>
      </c>
      <c r="G228" s="1">
        <v>12</v>
      </c>
      <c r="H228" s="2">
        <v>46113</v>
      </c>
      <c r="I228" s="2">
        <v>46116</v>
      </c>
      <c r="J228" s="1" t="s">
        <v>15</v>
      </c>
      <c r="K228" s="1">
        <v>1227</v>
      </c>
    </row>
    <row r="229" spans="1:11" x14ac:dyDescent="0.3">
      <c r="A229" s="1" t="s">
        <v>29</v>
      </c>
      <c r="B229" s="1" t="s">
        <v>25</v>
      </c>
      <c r="C229" s="1" t="s">
        <v>34</v>
      </c>
      <c r="D229" s="1" t="s">
        <v>45</v>
      </c>
      <c r="E229" s="1">
        <v>16</v>
      </c>
      <c r="F229" s="1">
        <v>17477</v>
      </c>
      <c r="G229" s="1">
        <v>10</v>
      </c>
      <c r="H229" s="2">
        <v>46041</v>
      </c>
      <c r="I229" s="2">
        <v>46043</v>
      </c>
      <c r="J229" s="1" t="s">
        <v>24</v>
      </c>
      <c r="K229" s="1">
        <v>1228</v>
      </c>
    </row>
    <row r="230" spans="1:11" x14ac:dyDescent="0.3">
      <c r="A230" s="1" t="s">
        <v>57</v>
      </c>
      <c r="B230" s="1" t="s">
        <v>12</v>
      </c>
      <c r="C230" s="1" t="s">
        <v>18</v>
      </c>
      <c r="D230" s="1" t="s">
        <v>56</v>
      </c>
      <c r="E230" s="1">
        <v>14</v>
      </c>
      <c r="F230" s="1">
        <v>5859</v>
      </c>
      <c r="G230" s="1">
        <v>12</v>
      </c>
      <c r="H230" s="2">
        <v>46027</v>
      </c>
      <c r="I230" s="2">
        <v>46036</v>
      </c>
      <c r="J230" s="1" t="s">
        <v>20</v>
      </c>
      <c r="K230" s="1">
        <v>1229</v>
      </c>
    </row>
    <row r="231" spans="1:11" x14ac:dyDescent="0.3">
      <c r="A231" s="1" t="s">
        <v>59</v>
      </c>
      <c r="B231" s="1" t="s">
        <v>33</v>
      </c>
      <c r="C231" s="1" t="s">
        <v>34</v>
      </c>
      <c r="D231" s="1" t="s">
        <v>60</v>
      </c>
      <c r="E231" s="1">
        <v>7</v>
      </c>
      <c r="F231" s="1">
        <v>2932</v>
      </c>
      <c r="G231" s="1">
        <v>7</v>
      </c>
      <c r="H231" s="2">
        <v>46050</v>
      </c>
      <c r="I231" s="2">
        <v>46059</v>
      </c>
      <c r="J231" s="1" t="s">
        <v>24</v>
      </c>
      <c r="K231" s="1">
        <v>1230</v>
      </c>
    </row>
    <row r="232" spans="1:11" x14ac:dyDescent="0.3">
      <c r="A232" s="1" t="s">
        <v>48</v>
      </c>
      <c r="B232" s="1" t="s">
        <v>38</v>
      </c>
      <c r="C232" s="1" t="s">
        <v>18</v>
      </c>
      <c r="D232" s="1" t="s">
        <v>19</v>
      </c>
      <c r="E232" s="1">
        <v>13</v>
      </c>
      <c r="F232" s="1">
        <v>10297</v>
      </c>
      <c r="G232" s="1">
        <v>12</v>
      </c>
      <c r="H232" s="2">
        <v>46178</v>
      </c>
      <c r="I232" s="2">
        <v>46186</v>
      </c>
      <c r="J232" s="1" t="s">
        <v>20</v>
      </c>
      <c r="K232" s="1">
        <v>1231</v>
      </c>
    </row>
    <row r="233" spans="1:11" x14ac:dyDescent="0.3">
      <c r="A233" s="1" t="s">
        <v>21</v>
      </c>
      <c r="B233" s="1" t="s">
        <v>12</v>
      </c>
      <c r="C233" s="1" t="s">
        <v>34</v>
      </c>
      <c r="D233" s="1" t="s">
        <v>60</v>
      </c>
      <c r="E233" s="1">
        <v>3</v>
      </c>
      <c r="F233" s="1">
        <v>13272</v>
      </c>
      <c r="G233" s="1">
        <v>2</v>
      </c>
      <c r="H233" s="2">
        <v>46060</v>
      </c>
      <c r="I233" s="2">
        <v>46065</v>
      </c>
      <c r="J233" s="1" t="s">
        <v>15</v>
      </c>
      <c r="K233" s="1">
        <v>1232</v>
      </c>
    </row>
    <row r="234" spans="1:11" x14ac:dyDescent="0.3">
      <c r="A234" s="1" t="s">
        <v>58</v>
      </c>
      <c r="B234" s="1" t="s">
        <v>22</v>
      </c>
      <c r="C234" s="1" t="s">
        <v>18</v>
      </c>
      <c r="D234" s="1" t="s">
        <v>19</v>
      </c>
      <c r="E234" s="1">
        <v>20</v>
      </c>
      <c r="F234" s="1">
        <v>13941</v>
      </c>
      <c r="G234" s="1">
        <v>15</v>
      </c>
      <c r="H234" s="2">
        <v>46198</v>
      </c>
      <c r="I234" s="2">
        <v>46202</v>
      </c>
      <c r="J234" s="1" t="s">
        <v>24</v>
      </c>
      <c r="K234" s="1">
        <v>1233</v>
      </c>
    </row>
    <row r="235" spans="1:11" x14ac:dyDescent="0.3">
      <c r="A235" s="1" t="s">
        <v>11</v>
      </c>
      <c r="B235" s="1" t="s">
        <v>25</v>
      </c>
      <c r="C235" s="1" t="s">
        <v>18</v>
      </c>
      <c r="D235" s="1" t="s">
        <v>28</v>
      </c>
      <c r="E235" s="1">
        <v>1</v>
      </c>
      <c r="F235" s="1">
        <v>14320</v>
      </c>
      <c r="G235" s="1">
        <v>12</v>
      </c>
      <c r="H235" s="2">
        <v>46114</v>
      </c>
      <c r="I235" s="2">
        <v>46121</v>
      </c>
      <c r="J235" s="1" t="s">
        <v>51</v>
      </c>
      <c r="K235" s="1">
        <v>1234</v>
      </c>
    </row>
    <row r="236" spans="1:11" x14ac:dyDescent="0.3">
      <c r="A236" s="1" t="s">
        <v>57</v>
      </c>
      <c r="B236" s="1" t="s">
        <v>25</v>
      </c>
      <c r="C236" s="1" t="s">
        <v>13</v>
      </c>
      <c r="D236" s="1" t="s">
        <v>50</v>
      </c>
      <c r="E236" s="1">
        <v>15</v>
      </c>
      <c r="F236" s="1">
        <v>267</v>
      </c>
      <c r="G236" s="1">
        <v>15</v>
      </c>
      <c r="H236" s="2">
        <v>46172</v>
      </c>
      <c r="I236" s="2">
        <v>46177</v>
      </c>
      <c r="J236" s="1" t="s">
        <v>29</v>
      </c>
      <c r="K236" s="1">
        <v>1235</v>
      </c>
    </row>
    <row r="237" spans="1:11" x14ac:dyDescent="0.3">
      <c r="A237" s="1" t="s">
        <v>54</v>
      </c>
      <c r="B237" s="1" t="s">
        <v>43</v>
      </c>
      <c r="C237" s="1" t="s">
        <v>13</v>
      </c>
      <c r="D237" s="1" t="s">
        <v>37</v>
      </c>
      <c r="E237" s="1">
        <v>12</v>
      </c>
      <c r="F237" s="1">
        <v>189</v>
      </c>
      <c r="G237" s="1">
        <v>7</v>
      </c>
      <c r="H237" s="2">
        <v>46164</v>
      </c>
      <c r="I237" s="2">
        <v>46169</v>
      </c>
      <c r="J237" s="1" t="s">
        <v>29</v>
      </c>
      <c r="K237" s="1">
        <v>1236</v>
      </c>
    </row>
    <row r="238" spans="1:11" x14ac:dyDescent="0.3">
      <c r="A238" s="1" t="s">
        <v>46</v>
      </c>
      <c r="B238" s="1" t="s">
        <v>38</v>
      </c>
      <c r="C238" s="1" t="s">
        <v>18</v>
      </c>
      <c r="D238" s="1" t="s">
        <v>56</v>
      </c>
      <c r="E238" s="1">
        <v>8</v>
      </c>
      <c r="F238" s="1">
        <v>12123</v>
      </c>
      <c r="G238" s="1">
        <v>2</v>
      </c>
      <c r="H238" s="2">
        <v>46137</v>
      </c>
      <c r="I238" s="2">
        <v>46145</v>
      </c>
      <c r="J238" s="1" t="s">
        <v>15</v>
      </c>
      <c r="K238" s="1">
        <v>1237</v>
      </c>
    </row>
    <row r="239" spans="1:11" x14ac:dyDescent="0.3">
      <c r="A239" s="1" t="s">
        <v>30</v>
      </c>
      <c r="B239" s="1" t="s">
        <v>31</v>
      </c>
      <c r="C239" s="1" t="s">
        <v>13</v>
      </c>
      <c r="D239" s="1" t="s">
        <v>14</v>
      </c>
      <c r="E239" s="1">
        <v>6</v>
      </c>
      <c r="F239" s="1">
        <v>180</v>
      </c>
      <c r="G239" s="1">
        <v>12</v>
      </c>
      <c r="H239" s="2">
        <v>46096</v>
      </c>
      <c r="I239" s="2">
        <v>46097</v>
      </c>
      <c r="J239" s="1" t="s">
        <v>51</v>
      </c>
      <c r="K239" s="1">
        <v>1238</v>
      </c>
    </row>
    <row r="240" spans="1:11" x14ac:dyDescent="0.3">
      <c r="A240" s="1" t="s">
        <v>48</v>
      </c>
      <c r="B240" s="1" t="s">
        <v>17</v>
      </c>
      <c r="C240" s="1" t="s">
        <v>18</v>
      </c>
      <c r="D240" s="1" t="s">
        <v>56</v>
      </c>
      <c r="E240" s="1">
        <v>2</v>
      </c>
      <c r="F240" s="1">
        <v>12330</v>
      </c>
      <c r="G240" s="1">
        <v>12</v>
      </c>
      <c r="H240" s="2">
        <v>46122</v>
      </c>
      <c r="I240" s="2">
        <v>46125</v>
      </c>
      <c r="J240" s="1" t="s">
        <v>15</v>
      </c>
      <c r="K240" s="1">
        <v>1239</v>
      </c>
    </row>
    <row r="241" spans="1:11" x14ac:dyDescent="0.3">
      <c r="A241" s="1" t="s">
        <v>55</v>
      </c>
      <c r="B241" s="1" t="s">
        <v>33</v>
      </c>
      <c r="C241" s="1" t="s">
        <v>18</v>
      </c>
      <c r="D241" s="1" t="s">
        <v>23</v>
      </c>
      <c r="E241" s="1">
        <v>2</v>
      </c>
      <c r="F241" s="1">
        <v>5475</v>
      </c>
      <c r="G241" s="1">
        <v>2</v>
      </c>
      <c r="H241" s="2">
        <v>46142</v>
      </c>
      <c r="I241" s="2">
        <v>46146</v>
      </c>
      <c r="J241" s="1" t="s">
        <v>29</v>
      </c>
      <c r="K241" s="1">
        <v>1240</v>
      </c>
    </row>
    <row r="242" spans="1:11" x14ac:dyDescent="0.3">
      <c r="A242" s="1" t="s">
        <v>46</v>
      </c>
      <c r="B242" s="1" t="s">
        <v>31</v>
      </c>
      <c r="C242" s="1" t="s">
        <v>18</v>
      </c>
      <c r="D242" s="1" t="s">
        <v>44</v>
      </c>
      <c r="E242" s="1">
        <v>1</v>
      </c>
      <c r="F242" s="1">
        <v>12537</v>
      </c>
      <c r="G242" s="1">
        <v>0</v>
      </c>
      <c r="H242" s="2">
        <v>46119</v>
      </c>
      <c r="I242" s="2">
        <v>46122</v>
      </c>
      <c r="J242" s="1" t="s">
        <v>15</v>
      </c>
      <c r="K242" s="1">
        <v>1241</v>
      </c>
    </row>
    <row r="243" spans="1:11" x14ac:dyDescent="0.3">
      <c r="A243" s="1" t="s">
        <v>54</v>
      </c>
      <c r="B243" s="1" t="s">
        <v>38</v>
      </c>
      <c r="C243" s="1" t="s">
        <v>13</v>
      </c>
      <c r="D243" s="1" t="s">
        <v>50</v>
      </c>
      <c r="E243" s="1">
        <v>7</v>
      </c>
      <c r="F243" s="1">
        <v>168</v>
      </c>
      <c r="G243" s="1">
        <v>10</v>
      </c>
      <c r="H243" s="2">
        <v>46191</v>
      </c>
      <c r="I243" s="2">
        <v>46196</v>
      </c>
      <c r="J243" s="1" t="s">
        <v>51</v>
      </c>
      <c r="K243" s="1">
        <v>1242</v>
      </c>
    </row>
    <row r="244" spans="1:11" x14ac:dyDescent="0.3">
      <c r="A244" s="1" t="s">
        <v>30</v>
      </c>
      <c r="B244" s="1" t="s">
        <v>31</v>
      </c>
      <c r="C244" s="1" t="s">
        <v>34</v>
      </c>
      <c r="D244" s="1" t="s">
        <v>41</v>
      </c>
      <c r="E244" s="1">
        <v>5</v>
      </c>
      <c r="F244" s="1">
        <v>11570</v>
      </c>
      <c r="G244" s="1">
        <v>15</v>
      </c>
      <c r="H244" s="2">
        <v>46069</v>
      </c>
      <c r="I244" s="2">
        <v>46077</v>
      </c>
      <c r="J244" s="1" t="s">
        <v>24</v>
      </c>
      <c r="K244" s="1">
        <v>1243</v>
      </c>
    </row>
    <row r="245" spans="1:11" x14ac:dyDescent="0.3">
      <c r="A245" s="1" t="s">
        <v>57</v>
      </c>
      <c r="B245" s="1" t="s">
        <v>38</v>
      </c>
      <c r="C245" s="1" t="s">
        <v>18</v>
      </c>
      <c r="D245" s="1" t="s">
        <v>28</v>
      </c>
      <c r="E245" s="1">
        <v>10</v>
      </c>
      <c r="F245" s="1">
        <v>6339</v>
      </c>
      <c r="G245" s="1">
        <v>12</v>
      </c>
      <c r="H245" s="2">
        <v>46200</v>
      </c>
      <c r="I245" s="2">
        <v>46205</v>
      </c>
      <c r="J245" s="1" t="s">
        <v>15</v>
      </c>
      <c r="K245" s="1">
        <v>1244</v>
      </c>
    </row>
    <row r="246" spans="1:11" x14ac:dyDescent="0.3">
      <c r="A246" s="1" t="s">
        <v>55</v>
      </c>
      <c r="B246" s="1" t="s">
        <v>43</v>
      </c>
      <c r="C246" s="1" t="s">
        <v>34</v>
      </c>
      <c r="D246" s="1" t="s">
        <v>41</v>
      </c>
      <c r="E246" s="1">
        <v>19</v>
      </c>
      <c r="F246" s="1">
        <v>69029</v>
      </c>
      <c r="G246" s="1">
        <v>7</v>
      </c>
      <c r="H246" s="2">
        <v>46176</v>
      </c>
      <c r="I246" s="2">
        <v>46179</v>
      </c>
      <c r="J246" s="1" t="s">
        <v>29</v>
      </c>
      <c r="K246" s="1">
        <v>1245</v>
      </c>
    </row>
    <row r="247" spans="1:11" x14ac:dyDescent="0.3">
      <c r="A247" s="1" t="s">
        <v>55</v>
      </c>
      <c r="B247" s="1" t="s">
        <v>22</v>
      </c>
      <c r="C247" s="1" t="s">
        <v>34</v>
      </c>
      <c r="D247" s="1" t="s">
        <v>35</v>
      </c>
      <c r="E247" s="1">
        <v>13</v>
      </c>
      <c r="F247" s="1">
        <v>1825</v>
      </c>
      <c r="G247" s="1">
        <v>2</v>
      </c>
      <c r="H247" s="2">
        <v>46039</v>
      </c>
      <c r="I247" s="2">
        <v>46045</v>
      </c>
      <c r="J247" s="1" t="s">
        <v>51</v>
      </c>
      <c r="K247" s="1">
        <v>1246</v>
      </c>
    </row>
    <row r="248" spans="1:11" x14ac:dyDescent="0.3">
      <c r="A248" s="1" t="s">
        <v>26</v>
      </c>
      <c r="B248" s="1" t="s">
        <v>12</v>
      </c>
      <c r="C248" s="1" t="s">
        <v>13</v>
      </c>
      <c r="D248" s="1" t="s">
        <v>50</v>
      </c>
      <c r="E248" s="1">
        <v>10</v>
      </c>
      <c r="F248" s="1">
        <v>336</v>
      </c>
      <c r="G248" s="1">
        <v>7</v>
      </c>
      <c r="H248" s="2">
        <v>46173</v>
      </c>
      <c r="I248" s="2">
        <v>46175</v>
      </c>
      <c r="J248" s="1" t="s">
        <v>20</v>
      </c>
      <c r="K248" s="1">
        <v>1247</v>
      </c>
    </row>
    <row r="249" spans="1:11" x14ac:dyDescent="0.3">
      <c r="A249" s="1" t="s">
        <v>27</v>
      </c>
      <c r="B249" s="1" t="s">
        <v>43</v>
      </c>
      <c r="C249" s="1" t="s">
        <v>13</v>
      </c>
      <c r="D249" s="1" t="s">
        <v>37</v>
      </c>
      <c r="E249" s="1">
        <v>5</v>
      </c>
      <c r="F249" s="1">
        <v>398</v>
      </c>
      <c r="G249" s="1">
        <v>7</v>
      </c>
      <c r="H249" s="2">
        <v>46161</v>
      </c>
      <c r="I249" s="2">
        <v>46171</v>
      </c>
      <c r="J249" s="1" t="s">
        <v>29</v>
      </c>
      <c r="K249" s="1">
        <v>1248</v>
      </c>
    </row>
    <row r="250" spans="1:11" x14ac:dyDescent="0.3">
      <c r="A250" s="1" t="s">
        <v>16</v>
      </c>
      <c r="B250" s="1" t="s">
        <v>25</v>
      </c>
      <c r="C250" s="1" t="s">
        <v>34</v>
      </c>
      <c r="D250" s="1" t="s">
        <v>41</v>
      </c>
      <c r="E250" s="1">
        <v>18</v>
      </c>
      <c r="F250" s="1">
        <v>6360</v>
      </c>
      <c r="G250" s="1">
        <v>12</v>
      </c>
      <c r="H250" s="2">
        <v>46163</v>
      </c>
      <c r="I250" s="2">
        <v>46165</v>
      </c>
      <c r="J250" s="1" t="s">
        <v>20</v>
      </c>
      <c r="K250" s="1">
        <v>1249</v>
      </c>
    </row>
    <row r="251" spans="1:11" x14ac:dyDescent="0.3">
      <c r="A251" s="1" t="s">
        <v>11</v>
      </c>
      <c r="B251" s="1" t="s">
        <v>17</v>
      </c>
      <c r="C251" s="1" t="s">
        <v>34</v>
      </c>
      <c r="D251" s="1" t="s">
        <v>45</v>
      </c>
      <c r="E251" s="1">
        <v>2</v>
      </c>
      <c r="F251" s="1">
        <v>65953</v>
      </c>
      <c r="G251" s="1">
        <v>7</v>
      </c>
      <c r="H251" s="2">
        <v>46051</v>
      </c>
      <c r="I251" s="2">
        <v>46053</v>
      </c>
      <c r="J251" s="1" t="s">
        <v>29</v>
      </c>
      <c r="K251" s="1">
        <v>1250</v>
      </c>
    </row>
    <row r="252" spans="1:11" x14ac:dyDescent="0.3">
      <c r="A252" s="1" t="s">
        <v>55</v>
      </c>
      <c r="B252" s="1" t="s">
        <v>38</v>
      </c>
      <c r="C252" s="1" t="s">
        <v>34</v>
      </c>
      <c r="D252" s="1" t="s">
        <v>61</v>
      </c>
      <c r="E252" s="1">
        <v>19</v>
      </c>
      <c r="F252" s="1">
        <v>48548</v>
      </c>
      <c r="G252" s="1">
        <v>0</v>
      </c>
      <c r="H252" s="2">
        <v>46112</v>
      </c>
      <c r="I252" s="2">
        <v>46121</v>
      </c>
      <c r="J252" s="1" t="s">
        <v>51</v>
      </c>
      <c r="K252" s="1">
        <v>1251</v>
      </c>
    </row>
    <row r="253" spans="1:11" x14ac:dyDescent="0.3">
      <c r="A253" s="1" t="s">
        <v>47</v>
      </c>
      <c r="B253" s="1" t="s">
        <v>25</v>
      </c>
      <c r="C253" s="1" t="s">
        <v>13</v>
      </c>
      <c r="D253" s="1" t="s">
        <v>36</v>
      </c>
      <c r="E253" s="1">
        <v>15</v>
      </c>
      <c r="F253" s="1">
        <v>257</v>
      </c>
      <c r="G253" s="1">
        <v>5</v>
      </c>
      <c r="H253" s="2">
        <v>46166</v>
      </c>
      <c r="I253" s="2">
        <v>46173</v>
      </c>
      <c r="J253" s="1" t="s">
        <v>20</v>
      </c>
      <c r="K253" s="1">
        <v>1252</v>
      </c>
    </row>
    <row r="254" spans="1:11" x14ac:dyDescent="0.3">
      <c r="A254" s="1" t="s">
        <v>21</v>
      </c>
      <c r="B254" s="1" t="s">
        <v>31</v>
      </c>
      <c r="C254" s="1" t="s">
        <v>34</v>
      </c>
      <c r="D254" s="1" t="s">
        <v>45</v>
      </c>
      <c r="E254" s="1">
        <v>20</v>
      </c>
      <c r="F254" s="1">
        <v>47880</v>
      </c>
      <c r="G254" s="1">
        <v>7</v>
      </c>
      <c r="H254" s="2">
        <v>46074</v>
      </c>
      <c r="I254" s="2">
        <v>46075</v>
      </c>
      <c r="J254" s="1" t="s">
        <v>29</v>
      </c>
      <c r="K254" s="1">
        <v>1253</v>
      </c>
    </row>
    <row r="255" spans="1:11" x14ac:dyDescent="0.3">
      <c r="A255" s="1" t="s">
        <v>52</v>
      </c>
      <c r="B255" s="1" t="s">
        <v>22</v>
      </c>
      <c r="C255" s="1" t="s">
        <v>13</v>
      </c>
      <c r="D255" s="1" t="s">
        <v>50</v>
      </c>
      <c r="E255" s="1">
        <v>18</v>
      </c>
      <c r="F255" s="1">
        <v>447</v>
      </c>
      <c r="G255" s="1">
        <v>15</v>
      </c>
      <c r="H255" s="2">
        <v>46141</v>
      </c>
      <c r="I255" s="2">
        <v>46149</v>
      </c>
      <c r="J255" s="1" t="s">
        <v>24</v>
      </c>
      <c r="K255" s="1">
        <v>1254</v>
      </c>
    </row>
    <row r="256" spans="1:11" x14ac:dyDescent="0.3">
      <c r="A256" s="1" t="s">
        <v>32</v>
      </c>
      <c r="B256" s="1" t="s">
        <v>17</v>
      </c>
      <c r="C256" s="1" t="s">
        <v>18</v>
      </c>
      <c r="D256" s="1" t="s">
        <v>19</v>
      </c>
      <c r="E256" s="1">
        <v>1</v>
      </c>
      <c r="F256" s="1">
        <v>2240</v>
      </c>
      <c r="G256" s="1">
        <v>5</v>
      </c>
      <c r="H256" s="2">
        <v>46091</v>
      </c>
      <c r="I256" s="2">
        <v>46095</v>
      </c>
      <c r="J256" s="1" t="s">
        <v>20</v>
      </c>
      <c r="K256" s="1">
        <v>1255</v>
      </c>
    </row>
    <row r="257" spans="1:11" x14ac:dyDescent="0.3">
      <c r="A257" s="1" t="s">
        <v>48</v>
      </c>
      <c r="B257" s="1" t="s">
        <v>31</v>
      </c>
      <c r="C257" s="1" t="s">
        <v>13</v>
      </c>
      <c r="D257" s="1" t="s">
        <v>50</v>
      </c>
      <c r="E257" s="1">
        <v>19</v>
      </c>
      <c r="F257" s="1">
        <v>406</v>
      </c>
      <c r="G257" s="1">
        <v>7</v>
      </c>
      <c r="H257" s="2">
        <v>46057</v>
      </c>
      <c r="I257" s="2">
        <v>46061</v>
      </c>
      <c r="J257" s="1" t="s">
        <v>15</v>
      </c>
      <c r="K257" s="1">
        <v>1256</v>
      </c>
    </row>
    <row r="258" spans="1:11" x14ac:dyDescent="0.3">
      <c r="A258" s="1" t="s">
        <v>54</v>
      </c>
      <c r="B258" s="1" t="s">
        <v>25</v>
      </c>
      <c r="C258" s="1" t="s">
        <v>34</v>
      </c>
      <c r="D258" s="1" t="s">
        <v>61</v>
      </c>
      <c r="E258" s="1">
        <v>7</v>
      </c>
      <c r="F258" s="1">
        <v>53243</v>
      </c>
      <c r="G258" s="1">
        <v>12</v>
      </c>
      <c r="H258" s="2">
        <v>46161</v>
      </c>
      <c r="I258" s="2">
        <v>46171</v>
      </c>
      <c r="J258" s="1" t="s">
        <v>15</v>
      </c>
      <c r="K258" s="1">
        <v>1257</v>
      </c>
    </row>
    <row r="259" spans="1:11" x14ac:dyDescent="0.3">
      <c r="A259" s="1" t="s">
        <v>32</v>
      </c>
      <c r="B259" s="1" t="s">
        <v>31</v>
      </c>
      <c r="C259" s="1" t="s">
        <v>34</v>
      </c>
      <c r="D259" s="1" t="s">
        <v>60</v>
      </c>
      <c r="E259" s="1">
        <v>1</v>
      </c>
      <c r="F259" s="1">
        <v>10600</v>
      </c>
      <c r="G259" s="1">
        <v>5</v>
      </c>
      <c r="H259" s="2">
        <v>46137</v>
      </c>
      <c r="I259" s="2">
        <v>46138</v>
      </c>
      <c r="J259" s="1" t="s">
        <v>29</v>
      </c>
      <c r="K259" s="1">
        <v>1258</v>
      </c>
    </row>
    <row r="260" spans="1:11" x14ac:dyDescent="0.3">
      <c r="A260" s="1" t="s">
        <v>42</v>
      </c>
      <c r="B260" s="1" t="s">
        <v>22</v>
      </c>
      <c r="C260" s="1" t="s">
        <v>34</v>
      </c>
      <c r="D260" s="1" t="s">
        <v>45</v>
      </c>
      <c r="E260" s="1">
        <v>10</v>
      </c>
      <c r="F260" s="1">
        <v>38771</v>
      </c>
      <c r="G260" s="1">
        <v>15</v>
      </c>
      <c r="H260" s="2">
        <v>46172</v>
      </c>
      <c r="I260" s="2">
        <v>46182</v>
      </c>
      <c r="J260" s="1" t="s">
        <v>15</v>
      </c>
      <c r="K260" s="1">
        <v>1259</v>
      </c>
    </row>
    <row r="261" spans="1:11" x14ac:dyDescent="0.3">
      <c r="A261" s="1" t="s">
        <v>54</v>
      </c>
      <c r="B261" s="1" t="s">
        <v>38</v>
      </c>
      <c r="C261" s="1" t="s">
        <v>34</v>
      </c>
      <c r="D261" s="1" t="s">
        <v>41</v>
      </c>
      <c r="E261" s="1">
        <v>19</v>
      </c>
      <c r="F261" s="1">
        <v>54981</v>
      </c>
      <c r="G261" s="1">
        <v>10</v>
      </c>
      <c r="H261" s="2">
        <v>46040</v>
      </c>
      <c r="I261" s="2">
        <v>46045</v>
      </c>
      <c r="J261" s="1" t="s">
        <v>29</v>
      </c>
      <c r="K261" s="1">
        <v>1260</v>
      </c>
    </row>
    <row r="262" spans="1:11" x14ac:dyDescent="0.3">
      <c r="A262" s="1" t="s">
        <v>40</v>
      </c>
      <c r="B262" s="1" t="s">
        <v>17</v>
      </c>
      <c r="C262" s="1" t="s">
        <v>13</v>
      </c>
      <c r="D262" s="1" t="s">
        <v>50</v>
      </c>
      <c r="E262" s="1">
        <v>20</v>
      </c>
      <c r="F262" s="1">
        <v>162</v>
      </c>
      <c r="G262" s="1">
        <v>7</v>
      </c>
      <c r="H262" s="2">
        <v>46119</v>
      </c>
      <c r="I262" s="2">
        <v>46120</v>
      </c>
      <c r="J262" s="1" t="s">
        <v>51</v>
      </c>
      <c r="K262" s="1">
        <v>1261</v>
      </c>
    </row>
    <row r="263" spans="1:11" x14ac:dyDescent="0.3">
      <c r="A263" s="1" t="s">
        <v>16</v>
      </c>
      <c r="B263" s="1" t="s">
        <v>22</v>
      </c>
      <c r="C263" s="1" t="s">
        <v>18</v>
      </c>
      <c r="D263" s="1" t="s">
        <v>28</v>
      </c>
      <c r="E263" s="1">
        <v>9</v>
      </c>
      <c r="F263" s="1">
        <v>2231</v>
      </c>
      <c r="G263" s="1">
        <v>15</v>
      </c>
      <c r="H263" s="2">
        <v>46174</v>
      </c>
      <c r="I263" s="2">
        <v>46183</v>
      </c>
      <c r="J263" s="1" t="s">
        <v>15</v>
      </c>
      <c r="K263" s="1">
        <v>1262</v>
      </c>
    </row>
    <row r="264" spans="1:11" x14ac:dyDescent="0.3">
      <c r="A264" s="1" t="s">
        <v>29</v>
      </c>
      <c r="B264" s="1" t="s">
        <v>38</v>
      </c>
      <c r="C264" s="1" t="s">
        <v>18</v>
      </c>
      <c r="D264" s="1" t="s">
        <v>28</v>
      </c>
      <c r="E264" s="1">
        <v>10</v>
      </c>
      <c r="F264" s="1">
        <v>1505</v>
      </c>
      <c r="G264" s="1">
        <v>0</v>
      </c>
      <c r="H264" s="2">
        <v>46130</v>
      </c>
      <c r="I264" s="2">
        <v>46138</v>
      </c>
      <c r="J264" s="1" t="s">
        <v>51</v>
      </c>
      <c r="K264" s="1">
        <v>1263</v>
      </c>
    </row>
    <row r="265" spans="1:11" x14ac:dyDescent="0.3">
      <c r="A265" s="1" t="s">
        <v>11</v>
      </c>
      <c r="B265" s="1" t="s">
        <v>22</v>
      </c>
      <c r="C265" s="1" t="s">
        <v>18</v>
      </c>
      <c r="D265" s="1" t="s">
        <v>28</v>
      </c>
      <c r="E265" s="1">
        <v>15</v>
      </c>
      <c r="F265" s="1">
        <v>6365</v>
      </c>
      <c r="G265" s="1">
        <v>10</v>
      </c>
      <c r="H265" s="2">
        <v>46200</v>
      </c>
      <c r="I265" s="2">
        <v>46206</v>
      </c>
      <c r="J265" s="1" t="s">
        <v>20</v>
      </c>
      <c r="K265" s="1">
        <v>1264</v>
      </c>
    </row>
    <row r="266" spans="1:11" x14ac:dyDescent="0.3">
      <c r="A266" s="1" t="s">
        <v>58</v>
      </c>
      <c r="B266" s="1" t="s">
        <v>22</v>
      </c>
      <c r="C266" s="1" t="s">
        <v>18</v>
      </c>
      <c r="D266" s="1" t="s">
        <v>19</v>
      </c>
      <c r="E266" s="1">
        <v>1</v>
      </c>
      <c r="F266" s="1">
        <v>1052</v>
      </c>
      <c r="G266" s="1">
        <v>7</v>
      </c>
      <c r="H266" s="2">
        <v>46117</v>
      </c>
      <c r="I266" s="2">
        <v>46127</v>
      </c>
      <c r="J266" s="1" t="s">
        <v>51</v>
      </c>
      <c r="K266" s="1">
        <v>1265</v>
      </c>
    </row>
    <row r="267" spans="1:11" x14ac:dyDescent="0.3">
      <c r="A267" s="1" t="s">
        <v>29</v>
      </c>
      <c r="B267" s="1" t="s">
        <v>33</v>
      </c>
      <c r="C267" s="1" t="s">
        <v>13</v>
      </c>
      <c r="D267" s="1" t="s">
        <v>14</v>
      </c>
      <c r="E267" s="1">
        <v>17</v>
      </c>
      <c r="F267" s="1">
        <v>365</v>
      </c>
      <c r="G267" s="1">
        <v>2</v>
      </c>
      <c r="H267" s="2">
        <v>46096</v>
      </c>
      <c r="I267" s="2">
        <v>46104</v>
      </c>
      <c r="J267" s="1" t="s">
        <v>51</v>
      </c>
      <c r="K267" s="1">
        <v>1266</v>
      </c>
    </row>
    <row r="268" spans="1:11" x14ac:dyDescent="0.3">
      <c r="A268" s="1" t="s">
        <v>27</v>
      </c>
      <c r="B268" s="1" t="s">
        <v>38</v>
      </c>
      <c r="C268" s="1" t="s">
        <v>13</v>
      </c>
      <c r="D268" s="1" t="s">
        <v>50</v>
      </c>
      <c r="E268" s="1">
        <v>1</v>
      </c>
      <c r="F268" s="1">
        <v>50</v>
      </c>
      <c r="G268" s="1">
        <v>0</v>
      </c>
      <c r="H268" s="2">
        <v>46129</v>
      </c>
      <c r="I268" s="2">
        <v>46138</v>
      </c>
      <c r="J268" s="1" t="s">
        <v>20</v>
      </c>
      <c r="K268" s="1">
        <v>1267</v>
      </c>
    </row>
    <row r="269" spans="1:11" x14ac:dyDescent="0.3">
      <c r="A269" s="1" t="s">
        <v>42</v>
      </c>
      <c r="B269" s="1" t="s">
        <v>38</v>
      </c>
      <c r="C269" s="1" t="s">
        <v>34</v>
      </c>
      <c r="D269" s="1" t="s">
        <v>45</v>
      </c>
      <c r="E269" s="1">
        <v>10</v>
      </c>
      <c r="F269" s="1">
        <v>46291</v>
      </c>
      <c r="G269" s="1">
        <v>12</v>
      </c>
      <c r="H269" s="2">
        <v>46199</v>
      </c>
      <c r="I269" s="2">
        <v>46202</v>
      </c>
      <c r="J269" s="1" t="s">
        <v>20</v>
      </c>
      <c r="K269" s="1">
        <v>1268</v>
      </c>
    </row>
    <row r="270" spans="1:11" x14ac:dyDescent="0.3">
      <c r="A270" s="1" t="s">
        <v>52</v>
      </c>
      <c r="B270" s="1" t="s">
        <v>43</v>
      </c>
      <c r="C270" s="1" t="s">
        <v>18</v>
      </c>
      <c r="D270" s="1" t="s">
        <v>19</v>
      </c>
      <c r="E270" s="1">
        <v>14</v>
      </c>
      <c r="F270" s="1">
        <v>5704</v>
      </c>
      <c r="G270" s="1">
        <v>2</v>
      </c>
      <c r="H270" s="2">
        <v>46129</v>
      </c>
      <c r="I270" s="2">
        <v>46131</v>
      </c>
      <c r="J270" s="1" t="s">
        <v>15</v>
      </c>
      <c r="K270" s="1">
        <v>1269</v>
      </c>
    </row>
    <row r="271" spans="1:11" x14ac:dyDescent="0.3">
      <c r="A271" s="1" t="s">
        <v>49</v>
      </c>
      <c r="B271" s="1" t="s">
        <v>43</v>
      </c>
      <c r="C271" s="1" t="s">
        <v>34</v>
      </c>
      <c r="D271" s="1" t="s">
        <v>35</v>
      </c>
      <c r="E271" s="1">
        <v>16</v>
      </c>
      <c r="F271" s="1">
        <v>62941</v>
      </c>
      <c r="G271" s="1">
        <v>7</v>
      </c>
      <c r="H271" s="2">
        <v>46135</v>
      </c>
      <c r="I271" s="2">
        <v>46141</v>
      </c>
      <c r="J271" s="1" t="s">
        <v>51</v>
      </c>
      <c r="K271" s="1">
        <v>1270</v>
      </c>
    </row>
    <row r="272" spans="1:11" x14ac:dyDescent="0.3">
      <c r="A272" s="1" t="s">
        <v>40</v>
      </c>
      <c r="B272" s="1" t="s">
        <v>33</v>
      </c>
      <c r="C272" s="1" t="s">
        <v>34</v>
      </c>
      <c r="D272" s="1" t="s">
        <v>60</v>
      </c>
      <c r="E272" s="1">
        <v>20</v>
      </c>
      <c r="F272" s="1">
        <v>36941</v>
      </c>
      <c r="G272" s="1">
        <v>15</v>
      </c>
      <c r="H272" s="2">
        <v>46083</v>
      </c>
      <c r="I272" s="2">
        <v>46085</v>
      </c>
      <c r="J272" s="1" t="s">
        <v>29</v>
      </c>
      <c r="K272" s="1">
        <v>1271</v>
      </c>
    </row>
    <row r="273" spans="1:11" x14ac:dyDescent="0.3">
      <c r="A273" s="1" t="s">
        <v>52</v>
      </c>
      <c r="B273" s="1" t="s">
        <v>38</v>
      </c>
      <c r="C273" s="1" t="s">
        <v>34</v>
      </c>
      <c r="D273" s="1" t="s">
        <v>41</v>
      </c>
      <c r="E273" s="1">
        <v>13</v>
      </c>
      <c r="F273" s="1">
        <v>42179</v>
      </c>
      <c r="G273" s="1">
        <v>0</v>
      </c>
      <c r="H273" s="2">
        <v>46078</v>
      </c>
      <c r="I273" s="2">
        <v>46084</v>
      </c>
      <c r="J273" s="1" t="s">
        <v>20</v>
      </c>
      <c r="K273" s="1">
        <v>1272</v>
      </c>
    </row>
    <row r="274" spans="1:11" x14ac:dyDescent="0.3">
      <c r="A274" s="1" t="s">
        <v>46</v>
      </c>
      <c r="B274" s="1" t="s">
        <v>25</v>
      </c>
      <c r="C274" s="1" t="s">
        <v>34</v>
      </c>
      <c r="D274" s="1" t="s">
        <v>39</v>
      </c>
      <c r="E274" s="1">
        <v>12</v>
      </c>
      <c r="F274" s="1">
        <v>20618</v>
      </c>
      <c r="G274" s="1">
        <v>12</v>
      </c>
      <c r="H274" s="2">
        <v>46172</v>
      </c>
      <c r="I274" s="2">
        <v>46174</v>
      </c>
      <c r="J274" s="1" t="s">
        <v>20</v>
      </c>
      <c r="K274" s="1">
        <v>1273</v>
      </c>
    </row>
    <row r="275" spans="1:11" x14ac:dyDescent="0.3">
      <c r="A275" s="1" t="s">
        <v>26</v>
      </c>
      <c r="B275" s="1" t="s">
        <v>25</v>
      </c>
      <c r="C275" s="1" t="s">
        <v>34</v>
      </c>
      <c r="D275" s="1" t="s">
        <v>41</v>
      </c>
      <c r="E275" s="1">
        <v>13</v>
      </c>
      <c r="F275" s="1">
        <v>36652</v>
      </c>
      <c r="G275" s="1">
        <v>12</v>
      </c>
      <c r="H275" s="2">
        <v>46179</v>
      </c>
      <c r="I275" s="2">
        <v>46186</v>
      </c>
      <c r="J275" s="1" t="s">
        <v>20</v>
      </c>
      <c r="K275" s="1">
        <v>1274</v>
      </c>
    </row>
    <row r="276" spans="1:11" x14ac:dyDescent="0.3">
      <c r="A276" s="1" t="s">
        <v>16</v>
      </c>
      <c r="B276" s="1" t="s">
        <v>31</v>
      </c>
      <c r="C276" s="1" t="s">
        <v>13</v>
      </c>
      <c r="D276" s="1" t="s">
        <v>50</v>
      </c>
      <c r="E276" s="1">
        <v>20</v>
      </c>
      <c r="F276" s="1">
        <v>451</v>
      </c>
      <c r="G276" s="1">
        <v>15</v>
      </c>
      <c r="H276" s="2">
        <v>46092</v>
      </c>
      <c r="I276" s="2">
        <v>46094</v>
      </c>
      <c r="J276" s="1" t="s">
        <v>20</v>
      </c>
      <c r="K276" s="1">
        <v>1275</v>
      </c>
    </row>
    <row r="277" spans="1:11" x14ac:dyDescent="0.3">
      <c r="A277" s="1" t="s">
        <v>40</v>
      </c>
      <c r="B277" s="1" t="s">
        <v>12</v>
      </c>
      <c r="C277" s="1" t="s">
        <v>18</v>
      </c>
      <c r="D277" s="1" t="s">
        <v>19</v>
      </c>
      <c r="E277" s="1">
        <v>1</v>
      </c>
      <c r="F277" s="1">
        <v>13437</v>
      </c>
      <c r="G277" s="1">
        <v>15</v>
      </c>
      <c r="H277" s="2">
        <v>46097</v>
      </c>
      <c r="I277" s="2">
        <v>46099</v>
      </c>
      <c r="J277" s="1" t="s">
        <v>24</v>
      </c>
      <c r="K277" s="1">
        <v>1276</v>
      </c>
    </row>
    <row r="278" spans="1:11" x14ac:dyDescent="0.3">
      <c r="A278" s="1" t="s">
        <v>59</v>
      </c>
      <c r="B278" s="1" t="s">
        <v>17</v>
      </c>
      <c r="C278" s="1" t="s">
        <v>13</v>
      </c>
      <c r="D278" s="1" t="s">
        <v>36</v>
      </c>
      <c r="E278" s="1">
        <v>14</v>
      </c>
      <c r="F278" s="1">
        <v>276</v>
      </c>
      <c r="G278" s="1">
        <v>0</v>
      </c>
      <c r="H278" s="2">
        <v>46086</v>
      </c>
      <c r="I278" s="2">
        <v>46089</v>
      </c>
      <c r="J278" s="1" t="s">
        <v>15</v>
      </c>
      <c r="K278" s="1">
        <v>1277</v>
      </c>
    </row>
    <row r="279" spans="1:11" x14ac:dyDescent="0.3">
      <c r="A279" s="1" t="s">
        <v>47</v>
      </c>
      <c r="B279" s="1" t="s">
        <v>22</v>
      </c>
      <c r="C279" s="1" t="s">
        <v>34</v>
      </c>
      <c r="D279" s="1" t="s">
        <v>61</v>
      </c>
      <c r="E279" s="1">
        <v>4</v>
      </c>
      <c r="F279" s="1">
        <v>20639</v>
      </c>
      <c r="G279" s="1">
        <v>7</v>
      </c>
      <c r="H279" s="2">
        <v>46180</v>
      </c>
      <c r="I279" s="2">
        <v>46186</v>
      </c>
      <c r="J279" s="1" t="s">
        <v>20</v>
      </c>
      <c r="K279" s="1">
        <v>1278</v>
      </c>
    </row>
    <row r="280" spans="1:11" x14ac:dyDescent="0.3">
      <c r="A280" s="1" t="s">
        <v>55</v>
      </c>
      <c r="B280" s="1" t="s">
        <v>33</v>
      </c>
      <c r="C280" s="1" t="s">
        <v>34</v>
      </c>
      <c r="D280" s="1" t="s">
        <v>45</v>
      </c>
      <c r="E280" s="1">
        <v>20</v>
      </c>
      <c r="F280" s="1">
        <v>49042</v>
      </c>
      <c r="G280" s="1">
        <v>2</v>
      </c>
      <c r="H280" s="2">
        <v>46124</v>
      </c>
      <c r="I280" s="2">
        <v>46126</v>
      </c>
      <c r="J280" s="1" t="s">
        <v>15</v>
      </c>
      <c r="K280" s="1">
        <v>1279</v>
      </c>
    </row>
    <row r="281" spans="1:11" x14ac:dyDescent="0.3">
      <c r="A281" s="1" t="s">
        <v>59</v>
      </c>
      <c r="B281" s="1" t="s">
        <v>38</v>
      </c>
      <c r="C281" s="1" t="s">
        <v>13</v>
      </c>
      <c r="D281" s="1" t="s">
        <v>53</v>
      </c>
      <c r="E281" s="1">
        <v>9</v>
      </c>
      <c r="F281" s="1">
        <v>50</v>
      </c>
      <c r="G281" s="1">
        <v>7</v>
      </c>
      <c r="H281" s="2">
        <v>46085</v>
      </c>
      <c r="I281" s="2">
        <v>46095</v>
      </c>
      <c r="J281" s="1" t="s">
        <v>51</v>
      </c>
      <c r="K281" s="1">
        <v>1280</v>
      </c>
    </row>
    <row r="282" spans="1:11" x14ac:dyDescent="0.3">
      <c r="A282" s="1" t="s">
        <v>55</v>
      </c>
      <c r="B282" s="1" t="s">
        <v>17</v>
      </c>
      <c r="C282" s="1" t="s">
        <v>13</v>
      </c>
      <c r="D282" s="1" t="s">
        <v>50</v>
      </c>
      <c r="E282" s="1">
        <v>6</v>
      </c>
      <c r="F282" s="1">
        <v>253</v>
      </c>
      <c r="G282" s="1">
        <v>0</v>
      </c>
      <c r="H282" s="2">
        <v>46055</v>
      </c>
      <c r="I282" s="2">
        <v>46063</v>
      </c>
      <c r="J282" s="1" t="s">
        <v>24</v>
      </c>
      <c r="K282" s="1">
        <v>1281</v>
      </c>
    </row>
    <row r="283" spans="1:11" x14ac:dyDescent="0.3">
      <c r="A283" s="1" t="s">
        <v>57</v>
      </c>
      <c r="B283" s="1" t="s">
        <v>43</v>
      </c>
      <c r="C283" s="1" t="s">
        <v>18</v>
      </c>
      <c r="D283" s="1" t="s">
        <v>44</v>
      </c>
      <c r="E283" s="1">
        <v>12</v>
      </c>
      <c r="F283" s="1">
        <v>3178</v>
      </c>
      <c r="G283" s="1">
        <v>10</v>
      </c>
      <c r="H283" s="2">
        <v>46176</v>
      </c>
      <c r="I283" s="2">
        <v>46177</v>
      </c>
      <c r="J283" s="1" t="s">
        <v>29</v>
      </c>
      <c r="K283" s="1">
        <v>1282</v>
      </c>
    </row>
    <row r="284" spans="1:11" x14ac:dyDescent="0.3">
      <c r="A284" s="1" t="s">
        <v>40</v>
      </c>
      <c r="B284" s="1" t="s">
        <v>12</v>
      </c>
      <c r="C284" s="1" t="s">
        <v>18</v>
      </c>
      <c r="D284" s="1" t="s">
        <v>23</v>
      </c>
      <c r="E284" s="1">
        <v>6</v>
      </c>
      <c r="F284" s="1">
        <v>1167</v>
      </c>
      <c r="G284" s="1">
        <v>2</v>
      </c>
      <c r="H284" s="2">
        <v>46100</v>
      </c>
      <c r="I284" s="2">
        <v>46106</v>
      </c>
      <c r="J284" s="1" t="s">
        <v>15</v>
      </c>
      <c r="K284" s="1">
        <v>1283</v>
      </c>
    </row>
    <row r="285" spans="1:11" x14ac:dyDescent="0.3">
      <c r="A285" s="1" t="s">
        <v>40</v>
      </c>
      <c r="B285" s="1" t="s">
        <v>25</v>
      </c>
      <c r="C285" s="1" t="s">
        <v>13</v>
      </c>
      <c r="D285" s="1" t="s">
        <v>37</v>
      </c>
      <c r="E285" s="1">
        <v>16</v>
      </c>
      <c r="F285" s="1">
        <v>419</v>
      </c>
      <c r="G285" s="1">
        <v>2</v>
      </c>
      <c r="H285" s="2">
        <v>46082</v>
      </c>
      <c r="I285" s="2">
        <v>46090</v>
      </c>
      <c r="J285" s="1" t="s">
        <v>15</v>
      </c>
      <c r="K285" s="1">
        <v>1284</v>
      </c>
    </row>
    <row r="286" spans="1:11" x14ac:dyDescent="0.3">
      <c r="A286" s="1" t="s">
        <v>32</v>
      </c>
      <c r="B286" s="1" t="s">
        <v>38</v>
      </c>
      <c r="C286" s="1" t="s">
        <v>13</v>
      </c>
      <c r="D286" s="1" t="s">
        <v>36</v>
      </c>
      <c r="E286" s="1">
        <v>7</v>
      </c>
      <c r="F286" s="1">
        <v>439</v>
      </c>
      <c r="G286" s="1">
        <v>15</v>
      </c>
      <c r="H286" s="2">
        <v>46055</v>
      </c>
      <c r="I286" s="2">
        <v>46058</v>
      </c>
      <c r="J286" s="1" t="s">
        <v>20</v>
      </c>
      <c r="K286" s="1">
        <v>1285</v>
      </c>
    </row>
    <row r="287" spans="1:11" x14ac:dyDescent="0.3">
      <c r="A287" s="1" t="s">
        <v>46</v>
      </c>
      <c r="B287" s="1" t="s">
        <v>17</v>
      </c>
      <c r="C287" s="1" t="s">
        <v>18</v>
      </c>
      <c r="D287" s="1" t="s">
        <v>56</v>
      </c>
      <c r="E287" s="1">
        <v>9</v>
      </c>
      <c r="F287" s="1">
        <v>1340</v>
      </c>
      <c r="G287" s="1">
        <v>2</v>
      </c>
      <c r="H287" s="2">
        <v>46168</v>
      </c>
      <c r="I287" s="2">
        <v>46173</v>
      </c>
      <c r="J287" s="1" t="s">
        <v>15</v>
      </c>
      <c r="K287" s="1">
        <v>1286</v>
      </c>
    </row>
    <row r="288" spans="1:11" x14ac:dyDescent="0.3">
      <c r="A288" s="1" t="s">
        <v>59</v>
      </c>
      <c r="B288" s="1" t="s">
        <v>31</v>
      </c>
      <c r="C288" s="1" t="s">
        <v>13</v>
      </c>
      <c r="D288" s="1" t="s">
        <v>14</v>
      </c>
      <c r="E288" s="1">
        <v>15</v>
      </c>
      <c r="F288" s="1">
        <v>251</v>
      </c>
      <c r="G288" s="1">
        <v>2</v>
      </c>
      <c r="H288" s="2">
        <v>46116</v>
      </c>
      <c r="I288" s="2">
        <v>46122</v>
      </c>
      <c r="J288" s="1" t="s">
        <v>51</v>
      </c>
      <c r="K288" s="1">
        <v>1287</v>
      </c>
    </row>
    <row r="289" spans="1:11" x14ac:dyDescent="0.3">
      <c r="A289" s="1" t="s">
        <v>54</v>
      </c>
      <c r="B289" s="1" t="s">
        <v>22</v>
      </c>
      <c r="C289" s="1" t="s">
        <v>34</v>
      </c>
      <c r="D289" s="1" t="s">
        <v>60</v>
      </c>
      <c r="E289" s="1">
        <v>14</v>
      </c>
      <c r="F289" s="1">
        <v>35601</v>
      </c>
      <c r="G289" s="1">
        <v>10</v>
      </c>
      <c r="H289" s="2">
        <v>46179</v>
      </c>
      <c r="I289" s="2">
        <v>46187</v>
      </c>
      <c r="J289" s="1" t="s">
        <v>29</v>
      </c>
      <c r="K289" s="1">
        <v>1288</v>
      </c>
    </row>
    <row r="290" spans="1:11" x14ac:dyDescent="0.3">
      <c r="A290" s="1" t="s">
        <v>26</v>
      </c>
      <c r="B290" s="1" t="s">
        <v>22</v>
      </c>
      <c r="C290" s="1" t="s">
        <v>34</v>
      </c>
      <c r="D290" s="1" t="s">
        <v>45</v>
      </c>
      <c r="E290" s="1">
        <v>19</v>
      </c>
      <c r="F290" s="1">
        <v>25336</v>
      </c>
      <c r="G290" s="1">
        <v>2</v>
      </c>
      <c r="H290" s="2">
        <v>46122</v>
      </c>
      <c r="I290" s="2">
        <v>46130</v>
      </c>
      <c r="J290" s="1" t="s">
        <v>24</v>
      </c>
      <c r="K290" s="1">
        <v>1289</v>
      </c>
    </row>
    <row r="291" spans="1:11" x14ac:dyDescent="0.3">
      <c r="A291" s="1" t="s">
        <v>26</v>
      </c>
      <c r="B291" s="1" t="s">
        <v>22</v>
      </c>
      <c r="C291" s="1" t="s">
        <v>34</v>
      </c>
      <c r="D291" s="1" t="s">
        <v>35</v>
      </c>
      <c r="E291" s="1">
        <v>3</v>
      </c>
      <c r="F291" s="1">
        <v>69793</v>
      </c>
      <c r="G291" s="1">
        <v>15</v>
      </c>
      <c r="H291" s="2">
        <v>46110</v>
      </c>
      <c r="I291" s="2">
        <v>46111</v>
      </c>
      <c r="J291" s="1" t="s">
        <v>29</v>
      </c>
      <c r="K291" s="1">
        <v>1290</v>
      </c>
    </row>
    <row r="292" spans="1:11" x14ac:dyDescent="0.3">
      <c r="A292" s="1" t="s">
        <v>21</v>
      </c>
      <c r="B292" s="1" t="s">
        <v>17</v>
      </c>
      <c r="C292" s="1" t="s">
        <v>13</v>
      </c>
      <c r="D292" s="1" t="s">
        <v>36</v>
      </c>
      <c r="E292" s="1">
        <v>17</v>
      </c>
      <c r="F292" s="1">
        <v>415</v>
      </c>
      <c r="G292" s="1">
        <v>5</v>
      </c>
      <c r="H292" s="2">
        <v>46137</v>
      </c>
      <c r="I292" s="2">
        <v>46141</v>
      </c>
      <c r="J292" s="1" t="s">
        <v>20</v>
      </c>
      <c r="K292" s="1">
        <v>1291</v>
      </c>
    </row>
    <row r="293" spans="1:11" x14ac:dyDescent="0.3">
      <c r="A293" s="1" t="s">
        <v>54</v>
      </c>
      <c r="B293" s="1" t="s">
        <v>33</v>
      </c>
      <c r="C293" s="1" t="s">
        <v>34</v>
      </c>
      <c r="D293" s="1" t="s">
        <v>61</v>
      </c>
      <c r="E293" s="1">
        <v>11</v>
      </c>
      <c r="F293" s="1">
        <v>25158</v>
      </c>
      <c r="G293" s="1">
        <v>5</v>
      </c>
      <c r="H293" s="2">
        <v>46186</v>
      </c>
      <c r="I293" s="2">
        <v>46193</v>
      </c>
      <c r="J293" s="1" t="s">
        <v>20</v>
      </c>
      <c r="K293" s="1">
        <v>1292</v>
      </c>
    </row>
    <row r="294" spans="1:11" x14ac:dyDescent="0.3">
      <c r="A294" s="1" t="s">
        <v>49</v>
      </c>
      <c r="B294" s="1" t="s">
        <v>43</v>
      </c>
      <c r="C294" s="1" t="s">
        <v>18</v>
      </c>
      <c r="D294" s="1" t="s">
        <v>23</v>
      </c>
      <c r="E294" s="1">
        <v>7</v>
      </c>
      <c r="F294" s="1">
        <v>11481</v>
      </c>
      <c r="G294" s="1">
        <v>15</v>
      </c>
      <c r="H294" s="2">
        <v>46045</v>
      </c>
      <c r="I294" s="2">
        <v>46050</v>
      </c>
      <c r="J294" s="1" t="s">
        <v>20</v>
      </c>
      <c r="K294" s="1">
        <v>1293</v>
      </c>
    </row>
    <row r="295" spans="1:11" x14ac:dyDescent="0.3">
      <c r="A295" s="1" t="s">
        <v>21</v>
      </c>
      <c r="B295" s="1" t="s">
        <v>12</v>
      </c>
      <c r="C295" s="1" t="s">
        <v>18</v>
      </c>
      <c r="D295" s="1" t="s">
        <v>19</v>
      </c>
      <c r="E295" s="1">
        <v>8</v>
      </c>
      <c r="F295" s="1">
        <v>14448</v>
      </c>
      <c r="G295" s="1">
        <v>10</v>
      </c>
      <c r="H295" s="2">
        <v>46181</v>
      </c>
      <c r="I295" s="2">
        <v>46189</v>
      </c>
      <c r="J295" s="1" t="s">
        <v>15</v>
      </c>
      <c r="K295" s="1">
        <v>1294</v>
      </c>
    </row>
    <row r="296" spans="1:11" x14ac:dyDescent="0.3">
      <c r="A296" s="1" t="s">
        <v>52</v>
      </c>
      <c r="B296" s="1" t="s">
        <v>38</v>
      </c>
      <c r="C296" s="1" t="s">
        <v>18</v>
      </c>
      <c r="D296" s="1" t="s">
        <v>28</v>
      </c>
      <c r="E296" s="1">
        <v>16</v>
      </c>
      <c r="F296" s="1">
        <v>11935</v>
      </c>
      <c r="G296" s="1">
        <v>12</v>
      </c>
      <c r="H296" s="2">
        <v>46157</v>
      </c>
      <c r="I296" s="2">
        <v>46162</v>
      </c>
      <c r="J296" s="1" t="s">
        <v>15</v>
      </c>
      <c r="K296" s="1">
        <v>1295</v>
      </c>
    </row>
    <row r="297" spans="1:11" x14ac:dyDescent="0.3">
      <c r="A297" s="1" t="s">
        <v>26</v>
      </c>
      <c r="B297" s="1" t="s">
        <v>38</v>
      </c>
      <c r="C297" s="1" t="s">
        <v>13</v>
      </c>
      <c r="D297" s="1" t="s">
        <v>50</v>
      </c>
      <c r="E297" s="1">
        <v>6</v>
      </c>
      <c r="F297" s="1">
        <v>201</v>
      </c>
      <c r="G297" s="1">
        <v>0</v>
      </c>
      <c r="H297" s="2">
        <v>46063</v>
      </c>
      <c r="I297" s="2">
        <v>46072</v>
      </c>
      <c r="J297" s="1" t="s">
        <v>51</v>
      </c>
      <c r="K297" s="1">
        <v>1296</v>
      </c>
    </row>
    <row r="298" spans="1:11" x14ac:dyDescent="0.3">
      <c r="A298" s="1" t="s">
        <v>54</v>
      </c>
      <c r="B298" s="1" t="s">
        <v>25</v>
      </c>
      <c r="C298" s="1" t="s">
        <v>34</v>
      </c>
      <c r="D298" s="1" t="s">
        <v>35</v>
      </c>
      <c r="E298" s="1">
        <v>14</v>
      </c>
      <c r="F298" s="1">
        <v>24524</v>
      </c>
      <c r="G298" s="1">
        <v>10</v>
      </c>
      <c r="H298" s="2">
        <v>46178</v>
      </c>
      <c r="I298" s="2">
        <v>46187</v>
      </c>
      <c r="J298" s="1" t="s">
        <v>29</v>
      </c>
      <c r="K298" s="1">
        <v>1297</v>
      </c>
    </row>
    <row r="299" spans="1:11" x14ac:dyDescent="0.3">
      <c r="A299" s="1" t="s">
        <v>21</v>
      </c>
      <c r="B299" s="1" t="s">
        <v>12</v>
      </c>
      <c r="C299" s="1" t="s">
        <v>34</v>
      </c>
      <c r="D299" s="1" t="s">
        <v>61</v>
      </c>
      <c r="E299" s="1">
        <v>19</v>
      </c>
      <c r="F299" s="1">
        <v>20745</v>
      </c>
      <c r="G299" s="1">
        <v>2</v>
      </c>
      <c r="H299" s="2">
        <v>46083</v>
      </c>
      <c r="I299" s="2">
        <v>46093</v>
      </c>
      <c r="J299" s="1" t="s">
        <v>24</v>
      </c>
      <c r="K299" s="1">
        <v>1298</v>
      </c>
    </row>
    <row r="300" spans="1:11" x14ac:dyDescent="0.3">
      <c r="A300" s="1" t="s">
        <v>26</v>
      </c>
      <c r="B300" s="1" t="s">
        <v>17</v>
      </c>
      <c r="C300" s="1" t="s">
        <v>18</v>
      </c>
      <c r="D300" s="1" t="s">
        <v>56</v>
      </c>
      <c r="E300" s="1">
        <v>8</v>
      </c>
      <c r="F300" s="1">
        <v>8783</v>
      </c>
      <c r="G300" s="1">
        <v>2</v>
      </c>
      <c r="H300" s="2">
        <v>46123</v>
      </c>
      <c r="I300" s="2">
        <v>46132</v>
      </c>
      <c r="J300" s="1" t="s">
        <v>15</v>
      </c>
      <c r="K300" s="1">
        <v>1299</v>
      </c>
    </row>
    <row r="301" spans="1:11" x14ac:dyDescent="0.3">
      <c r="A301" s="1" t="s">
        <v>47</v>
      </c>
      <c r="B301" s="1" t="s">
        <v>33</v>
      </c>
      <c r="C301" s="1" t="s">
        <v>34</v>
      </c>
      <c r="D301" s="1" t="s">
        <v>45</v>
      </c>
      <c r="E301" s="1">
        <v>20</v>
      </c>
      <c r="F301" s="1">
        <v>1392</v>
      </c>
      <c r="G301" s="1">
        <v>2</v>
      </c>
      <c r="H301" s="2">
        <v>46110</v>
      </c>
      <c r="I301" s="2">
        <v>46117</v>
      </c>
      <c r="J301" s="1" t="s">
        <v>24</v>
      </c>
      <c r="K301" s="1">
        <v>1300</v>
      </c>
    </row>
    <row r="302" spans="1:11" x14ac:dyDescent="0.3">
      <c r="A302" s="1" t="s">
        <v>54</v>
      </c>
      <c r="B302" s="1" t="s">
        <v>17</v>
      </c>
      <c r="C302" s="1" t="s">
        <v>18</v>
      </c>
      <c r="D302" s="1" t="s">
        <v>28</v>
      </c>
      <c r="E302" s="1">
        <v>3</v>
      </c>
      <c r="F302" s="1">
        <v>7020</v>
      </c>
      <c r="G302" s="1">
        <v>10</v>
      </c>
      <c r="H302" s="2">
        <v>46028</v>
      </c>
      <c r="I302" s="2">
        <v>46038</v>
      </c>
      <c r="J302" s="1" t="s">
        <v>24</v>
      </c>
      <c r="K302" s="1">
        <v>1301</v>
      </c>
    </row>
    <row r="303" spans="1:11" x14ac:dyDescent="0.3">
      <c r="A303" s="1" t="s">
        <v>57</v>
      </c>
      <c r="B303" s="1" t="s">
        <v>12</v>
      </c>
      <c r="C303" s="1" t="s">
        <v>34</v>
      </c>
      <c r="D303" s="1" t="s">
        <v>35</v>
      </c>
      <c r="E303" s="1">
        <v>9</v>
      </c>
      <c r="F303" s="1">
        <v>8500</v>
      </c>
      <c r="G303" s="1">
        <v>15</v>
      </c>
      <c r="H303" s="2">
        <v>46163</v>
      </c>
      <c r="I303" s="2">
        <v>46172</v>
      </c>
      <c r="J303" s="1" t="s">
        <v>24</v>
      </c>
      <c r="K303" s="1">
        <v>1302</v>
      </c>
    </row>
    <row r="304" spans="1:11" x14ac:dyDescent="0.3">
      <c r="A304" s="1" t="s">
        <v>57</v>
      </c>
      <c r="B304" s="1" t="s">
        <v>38</v>
      </c>
      <c r="C304" s="1" t="s">
        <v>34</v>
      </c>
      <c r="D304" s="1" t="s">
        <v>35</v>
      </c>
      <c r="E304" s="1">
        <v>13</v>
      </c>
      <c r="F304" s="1">
        <v>5170</v>
      </c>
      <c r="G304" s="1">
        <v>2</v>
      </c>
      <c r="H304" s="2">
        <v>46124</v>
      </c>
      <c r="I304" s="2">
        <v>46127</v>
      </c>
      <c r="J304" s="1" t="s">
        <v>15</v>
      </c>
      <c r="K304" s="1">
        <v>1303</v>
      </c>
    </row>
    <row r="305" spans="1:11" x14ac:dyDescent="0.3">
      <c r="A305" s="1" t="s">
        <v>59</v>
      </c>
      <c r="B305" s="1" t="s">
        <v>25</v>
      </c>
      <c r="C305" s="1" t="s">
        <v>13</v>
      </c>
      <c r="D305" s="1" t="s">
        <v>36</v>
      </c>
      <c r="E305" s="1">
        <v>20</v>
      </c>
      <c r="F305" s="1">
        <v>368</v>
      </c>
      <c r="G305" s="1">
        <v>7</v>
      </c>
      <c r="H305" s="2">
        <v>46042</v>
      </c>
      <c r="I305" s="2">
        <v>46051</v>
      </c>
      <c r="J305" s="1" t="s">
        <v>51</v>
      </c>
      <c r="K305" s="1">
        <v>1304</v>
      </c>
    </row>
    <row r="306" spans="1:11" x14ac:dyDescent="0.3">
      <c r="A306" s="1" t="s">
        <v>58</v>
      </c>
      <c r="B306" s="1" t="s">
        <v>31</v>
      </c>
      <c r="C306" s="1" t="s">
        <v>34</v>
      </c>
      <c r="D306" s="1" t="s">
        <v>60</v>
      </c>
      <c r="E306" s="1">
        <v>20</v>
      </c>
      <c r="F306" s="1">
        <v>31406</v>
      </c>
      <c r="G306" s="1">
        <v>15</v>
      </c>
      <c r="H306" s="2">
        <v>46146</v>
      </c>
      <c r="I306" s="2">
        <v>46154</v>
      </c>
      <c r="J306" s="1" t="s">
        <v>51</v>
      </c>
      <c r="K306" s="1">
        <v>1305</v>
      </c>
    </row>
    <row r="307" spans="1:11" x14ac:dyDescent="0.3">
      <c r="A307" s="1" t="s">
        <v>54</v>
      </c>
      <c r="B307" s="1" t="s">
        <v>43</v>
      </c>
      <c r="C307" s="1" t="s">
        <v>13</v>
      </c>
      <c r="D307" s="1" t="s">
        <v>36</v>
      </c>
      <c r="E307" s="1">
        <v>1</v>
      </c>
      <c r="F307" s="1">
        <v>332</v>
      </c>
      <c r="G307" s="1">
        <v>0</v>
      </c>
      <c r="H307" s="2">
        <v>46191</v>
      </c>
      <c r="I307" s="2">
        <v>46194</v>
      </c>
      <c r="J307" s="1" t="s">
        <v>20</v>
      </c>
      <c r="K307" s="1">
        <v>1306</v>
      </c>
    </row>
    <row r="308" spans="1:11" x14ac:dyDescent="0.3">
      <c r="A308" s="1" t="s">
        <v>57</v>
      </c>
      <c r="B308" s="1" t="s">
        <v>43</v>
      </c>
      <c r="C308" s="1" t="s">
        <v>34</v>
      </c>
      <c r="D308" s="1" t="s">
        <v>35</v>
      </c>
      <c r="E308" s="1">
        <v>18</v>
      </c>
      <c r="F308" s="1">
        <v>7541</v>
      </c>
      <c r="G308" s="1">
        <v>12</v>
      </c>
      <c r="H308" s="2">
        <v>46048</v>
      </c>
      <c r="I308" s="2">
        <v>46051</v>
      </c>
      <c r="J308" s="1" t="s">
        <v>51</v>
      </c>
      <c r="K308" s="1">
        <v>1307</v>
      </c>
    </row>
    <row r="309" spans="1:11" x14ac:dyDescent="0.3">
      <c r="A309" s="1" t="s">
        <v>30</v>
      </c>
      <c r="B309" s="1" t="s">
        <v>22</v>
      </c>
      <c r="C309" s="1" t="s">
        <v>34</v>
      </c>
      <c r="D309" s="1" t="s">
        <v>41</v>
      </c>
      <c r="E309" s="1">
        <v>12</v>
      </c>
      <c r="F309" s="1">
        <v>66075</v>
      </c>
      <c r="G309" s="1">
        <v>5</v>
      </c>
      <c r="H309" s="2">
        <v>46129</v>
      </c>
      <c r="I309" s="2">
        <v>46135</v>
      </c>
      <c r="J309" s="1" t="s">
        <v>20</v>
      </c>
      <c r="K309" s="1">
        <v>1308</v>
      </c>
    </row>
    <row r="310" spans="1:11" x14ac:dyDescent="0.3">
      <c r="A310" s="1" t="s">
        <v>29</v>
      </c>
      <c r="B310" s="1" t="s">
        <v>31</v>
      </c>
      <c r="C310" s="1" t="s">
        <v>13</v>
      </c>
      <c r="D310" s="1" t="s">
        <v>50</v>
      </c>
      <c r="E310" s="1">
        <v>2</v>
      </c>
      <c r="F310" s="1">
        <v>35</v>
      </c>
      <c r="G310" s="1">
        <v>5</v>
      </c>
      <c r="H310" s="2">
        <v>46197</v>
      </c>
      <c r="I310" s="2">
        <v>46198</v>
      </c>
      <c r="J310" s="1" t="s">
        <v>24</v>
      </c>
      <c r="K310" s="1">
        <v>1309</v>
      </c>
    </row>
    <row r="311" spans="1:11" x14ac:dyDescent="0.3">
      <c r="A311" s="1" t="s">
        <v>49</v>
      </c>
      <c r="B311" s="1" t="s">
        <v>17</v>
      </c>
      <c r="C311" s="1" t="s">
        <v>18</v>
      </c>
      <c r="D311" s="1" t="s">
        <v>56</v>
      </c>
      <c r="E311" s="1">
        <v>19</v>
      </c>
      <c r="F311" s="1">
        <v>12691</v>
      </c>
      <c r="G311" s="1">
        <v>0</v>
      </c>
      <c r="H311" s="2">
        <v>46181</v>
      </c>
      <c r="I311" s="2">
        <v>46189</v>
      </c>
      <c r="J311" s="1" t="s">
        <v>29</v>
      </c>
      <c r="K311" s="1">
        <v>1310</v>
      </c>
    </row>
    <row r="312" spans="1:11" x14ac:dyDescent="0.3">
      <c r="A312" s="1" t="s">
        <v>55</v>
      </c>
      <c r="B312" s="1" t="s">
        <v>12</v>
      </c>
      <c r="C312" s="1" t="s">
        <v>13</v>
      </c>
      <c r="D312" s="1" t="s">
        <v>14</v>
      </c>
      <c r="E312" s="1">
        <v>2</v>
      </c>
      <c r="F312" s="1">
        <v>209</v>
      </c>
      <c r="G312" s="1">
        <v>0</v>
      </c>
      <c r="H312" s="2">
        <v>46173</v>
      </c>
      <c r="I312" s="2">
        <v>46176</v>
      </c>
      <c r="J312" s="1" t="s">
        <v>20</v>
      </c>
      <c r="K312" s="1">
        <v>1311</v>
      </c>
    </row>
    <row r="313" spans="1:11" x14ac:dyDescent="0.3">
      <c r="A313" s="1" t="s">
        <v>57</v>
      </c>
      <c r="B313" s="1" t="s">
        <v>22</v>
      </c>
      <c r="C313" s="1" t="s">
        <v>18</v>
      </c>
      <c r="D313" s="1" t="s">
        <v>56</v>
      </c>
      <c r="E313" s="1">
        <v>20</v>
      </c>
      <c r="F313" s="1">
        <v>3274</v>
      </c>
      <c r="G313" s="1">
        <v>2</v>
      </c>
      <c r="H313" s="2">
        <v>46148</v>
      </c>
      <c r="I313" s="2">
        <v>46156</v>
      </c>
      <c r="J313" s="1" t="s">
        <v>24</v>
      </c>
      <c r="K313" s="1">
        <v>1312</v>
      </c>
    </row>
    <row r="314" spans="1:11" x14ac:dyDescent="0.3">
      <c r="A314" s="1" t="s">
        <v>59</v>
      </c>
      <c r="B314" s="1" t="s">
        <v>22</v>
      </c>
      <c r="C314" s="1" t="s">
        <v>18</v>
      </c>
      <c r="D314" s="1" t="s">
        <v>56</v>
      </c>
      <c r="E314" s="1">
        <v>6</v>
      </c>
      <c r="F314" s="1">
        <v>10864</v>
      </c>
      <c r="G314" s="1">
        <v>10</v>
      </c>
      <c r="H314" s="2">
        <v>46041</v>
      </c>
      <c r="I314" s="2">
        <v>46049</v>
      </c>
      <c r="J314" s="1" t="s">
        <v>15</v>
      </c>
      <c r="K314" s="1">
        <v>1313</v>
      </c>
    </row>
    <row r="315" spans="1:11" x14ac:dyDescent="0.3">
      <c r="A315" s="1" t="s">
        <v>52</v>
      </c>
      <c r="B315" s="1" t="s">
        <v>33</v>
      </c>
      <c r="C315" s="1" t="s">
        <v>18</v>
      </c>
      <c r="D315" s="1" t="s">
        <v>19</v>
      </c>
      <c r="E315" s="1">
        <v>10</v>
      </c>
      <c r="F315" s="1">
        <v>6328</v>
      </c>
      <c r="G315" s="1">
        <v>2</v>
      </c>
      <c r="H315" s="2">
        <v>46196</v>
      </c>
      <c r="I315" s="2">
        <v>46197</v>
      </c>
      <c r="J315" s="1" t="s">
        <v>29</v>
      </c>
      <c r="K315" s="1">
        <v>1314</v>
      </c>
    </row>
    <row r="316" spans="1:11" x14ac:dyDescent="0.3">
      <c r="A316" s="1" t="s">
        <v>49</v>
      </c>
      <c r="B316" s="1" t="s">
        <v>31</v>
      </c>
      <c r="C316" s="1" t="s">
        <v>34</v>
      </c>
      <c r="D316" s="1" t="s">
        <v>41</v>
      </c>
      <c r="E316" s="1">
        <v>14</v>
      </c>
      <c r="F316" s="1">
        <v>57670</v>
      </c>
      <c r="G316" s="1">
        <v>2</v>
      </c>
      <c r="H316" s="2">
        <v>46186</v>
      </c>
      <c r="I316" s="2">
        <v>46196</v>
      </c>
      <c r="J316" s="1" t="s">
        <v>15</v>
      </c>
      <c r="K316" s="1">
        <v>1315</v>
      </c>
    </row>
    <row r="317" spans="1:11" x14ac:dyDescent="0.3">
      <c r="A317" s="1" t="s">
        <v>46</v>
      </c>
      <c r="B317" s="1" t="s">
        <v>12</v>
      </c>
      <c r="C317" s="1" t="s">
        <v>18</v>
      </c>
      <c r="D317" s="1" t="s">
        <v>28</v>
      </c>
      <c r="E317" s="1">
        <v>7</v>
      </c>
      <c r="F317" s="1">
        <v>9838</v>
      </c>
      <c r="G317" s="1">
        <v>7</v>
      </c>
      <c r="H317" s="2">
        <v>46078</v>
      </c>
      <c r="I317" s="2">
        <v>46085</v>
      </c>
      <c r="J317" s="1" t="s">
        <v>20</v>
      </c>
      <c r="K317" s="1">
        <v>1316</v>
      </c>
    </row>
    <row r="318" spans="1:11" x14ac:dyDescent="0.3">
      <c r="A318" s="1" t="s">
        <v>59</v>
      </c>
      <c r="B318" s="1" t="s">
        <v>33</v>
      </c>
      <c r="C318" s="1" t="s">
        <v>34</v>
      </c>
      <c r="D318" s="1" t="s">
        <v>41</v>
      </c>
      <c r="E318" s="1">
        <v>7</v>
      </c>
      <c r="F318" s="1">
        <v>67339</v>
      </c>
      <c r="G318" s="1">
        <v>5</v>
      </c>
      <c r="H318" s="2">
        <v>46159</v>
      </c>
      <c r="I318" s="2">
        <v>46169</v>
      </c>
      <c r="J318" s="1" t="s">
        <v>51</v>
      </c>
      <c r="K318" s="1">
        <v>1317</v>
      </c>
    </row>
    <row r="319" spans="1:11" x14ac:dyDescent="0.3">
      <c r="A319" s="1" t="s">
        <v>11</v>
      </c>
      <c r="B319" s="1" t="s">
        <v>43</v>
      </c>
      <c r="C319" s="1" t="s">
        <v>13</v>
      </c>
      <c r="D319" s="1" t="s">
        <v>50</v>
      </c>
      <c r="E319" s="1">
        <v>4</v>
      </c>
      <c r="F319" s="1">
        <v>38</v>
      </c>
      <c r="G319" s="1">
        <v>12</v>
      </c>
      <c r="H319" s="2">
        <v>46169</v>
      </c>
      <c r="I319" s="2">
        <v>46175</v>
      </c>
      <c r="J319" s="1" t="s">
        <v>29</v>
      </c>
      <c r="K319" s="1">
        <v>1318</v>
      </c>
    </row>
    <row r="320" spans="1:11" x14ac:dyDescent="0.3">
      <c r="A320" s="1" t="s">
        <v>21</v>
      </c>
      <c r="B320" s="1" t="s">
        <v>17</v>
      </c>
      <c r="C320" s="1" t="s">
        <v>34</v>
      </c>
      <c r="D320" s="1" t="s">
        <v>61</v>
      </c>
      <c r="E320" s="1">
        <v>17</v>
      </c>
      <c r="F320" s="1">
        <v>58407</v>
      </c>
      <c r="G320" s="1">
        <v>7</v>
      </c>
      <c r="H320" s="2">
        <v>46094</v>
      </c>
      <c r="I320" s="2">
        <v>46102</v>
      </c>
      <c r="J320" s="1" t="s">
        <v>15</v>
      </c>
      <c r="K320" s="1">
        <v>1319</v>
      </c>
    </row>
    <row r="321" spans="1:11" x14ac:dyDescent="0.3">
      <c r="A321" s="1" t="s">
        <v>47</v>
      </c>
      <c r="B321" s="1" t="s">
        <v>38</v>
      </c>
      <c r="C321" s="1" t="s">
        <v>13</v>
      </c>
      <c r="D321" s="1" t="s">
        <v>36</v>
      </c>
      <c r="E321" s="1">
        <v>20</v>
      </c>
      <c r="F321" s="1">
        <v>55</v>
      </c>
      <c r="G321" s="1">
        <v>7</v>
      </c>
      <c r="H321" s="2">
        <v>46183</v>
      </c>
      <c r="I321" s="2">
        <v>46186</v>
      </c>
      <c r="J321" s="1" t="s">
        <v>20</v>
      </c>
      <c r="K321" s="1">
        <v>1320</v>
      </c>
    </row>
    <row r="322" spans="1:11" x14ac:dyDescent="0.3">
      <c r="A322" s="1" t="s">
        <v>32</v>
      </c>
      <c r="B322" s="1" t="s">
        <v>22</v>
      </c>
      <c r="C322" s="1" t="s">
        <v>18</v>
      </c>
      <c r="D322" s="1" t="s">
        <v>19</v>
      </c>
      <c r="E322" s="1">
        <v>8</v>
      </c>
      <c r="F322" s="1">
        <v>5619</v>
      </c>
      <c r="G322" s="1">
        <v>7</v>
      </c>
      <c r="H322" s="2">
        <v>46107</v>
      </c>
      <c r="I322" s="2">
        <v>46109</v>
      </c>
      <c r="J322" s="1" t="s">
        <v>51</v>
      </c>
      <c r="K322" s="1">
        <v>1321</v>
      </c>
    </row>
    <row r="323" spans="1:11" x14ac:dyDescent="0.3">
      <c r="A323" s="1" t="s">
        <v>27</v>
      </c>
      <c r="B323" s="1" t="s">
        <v>12</v>
      </c>
      <c r="C323" s="1" t="s">
        <v>18</v>
      </c>
      <c r="D323" s="1" t="s">
        <v>23</v>
      </c>
      <c r="E323" s="1">
        <v>14</v>
      </c>
      <c r="F323" s="1">
        <v>9081</v>
      </c>
      <c r="G323" s="1">
        <v>15</v>
      </c>
      <c r="H323" s="2">
        <v>46141</v>
      </c>
      <c r="I323" s="2">
        <v>46146</v>
      </c>
      <c r="J323" s="1" t="s">
        <v>15</v>
      </c>
      <c r="K323" s="1">
        <v>1322</v>
      </c>
    </row>
    <row r="324" spans="1:11" x14ac:dyDescent="0.3">
      <c r="A324" s="1" t="s">
        <v>57</v>
      </c>
      <c r="B324" s="1" t="s">
        <v>38</v>
      </c>
      <c r="C324" s="1" t="s">
        <v>34</v>
      </c>
      <c r="D324" s="1" t="s">
        <v>61</v>
      </c>
      <c r="E324" s="1">
        <v>2</v>
      </c>
      <c r="F324" s="1">
        <v>32074</v>
      </c>
      <c r="G324" s="1">
        <v>10</v>
      </c>
      <c r="H324" s="2">
        <v>46073</v>
      </c>
      <c r="I324" s="2">
        <v>46078</v>
      </c>
      <c r="J324" s="1" t="s">
        <v>15</v>
      </c>
      <c r="K324" s="1">
        <v>1323</v>
      </c>
    </row>
    <row r="325" spans="1:11" x14ac:dyDescent="0.3">
      <c r="A325" s="1" t="s">
        <v>32</v>
      </c>
      <c r="B325" s="1" t="s">
        <v>22</v>
      </c>
      <c r="C325" s="1" t="s">
        <v>18</v>
      </c>
      <c r="D325" s="1" t="s">
        <v>19</v>
      </c>
      <c r="E325" s="1">
        <v>1</v>
      </c>
      <c r="F325" s="1">
        <v>4286</v>
      </c>
      <c r="G325" s="1">
        <v>15</v>
      </c>
      <c r="H325" s="2">
        <v>46053</v>
      </c>
      <c r="I325" s="2">
        <v>46056</v>
      </c>
      <c r="J325" s="1" t="s">
        <v>20</v>
      </c>
      <c r="K325" s="1">
        <v>1324</v>
      </c>
    </row>
    <row r="326" spans="1:11" x14ac:dyDescent="0.3">
      <c r="A326" s="1" t="s">
        <v>48</v>
      </c>
      <c r="B326" s="1" t="s">
        <v>43</v>
      </c>
      <c r="C326" s="1" t="s">
        <v>34</v>
      </c>
      <c r="D326" s="1" t="s">
        <v>39</v>
      </c>
      <c r="E326" s="1">
        <v>9</v>
      </c>
      <c r="F326" s="1">
        <v>58442</v>
      </c>
      <c r="G326" s="1">
        <v>12</v>
      </c>
      <c r="H326" s="2">
        <v>46076</v>
      </c>
      <c r="I326" s="2">
        <v>46085</v>
      </c>
      <c r="J326" s="1" t="s">
        <v>20</v>
      </c>
      <c r="K326" s="1">
        <v>1325</v>
      </c>
    </row>
    <row r="327" spans="1:11" x14ac:dyDescent="0.3">
      <c r="A327" s="1" t="s">
        <v>26</v>
      </c>
      <c r="B327" s="1" t="s">
        <v>17</v>
      </c>
      <c r="C327" s="1" t="s">
        <v>18</v>
      </c>
      <c r="D327" s="1" t="s">
        <v>44</v>
      </c>
      <c r="E327" s="1">
        <v>18</v>
      </c>
      <c r="F327" s="1">
        <v>1830</v>
      </c>
      <c r="G327" s="1">
        <v>10</v>
      </c>
      <c r="H327" s="2">
        <v>46165</v>
      </c>
      <c r="I327" s="2">
        <v>46172</v>
      </c>
      <c r="J327" s="1" t="s">
        <v>15</v>
      </c>
      <c r="K327" s="1">
        <v>1326</v>
      </c>
    </row>
    <row r="328" spans="1:11" x14ac:dyDescent="0.3">
      <c r="A328" s="1" t="s">
        <v>48</v>
      </c>
      <c r="B328" s="1" t="s">
        <v>12</v>
      </c>
      <c r="C328" s="1" t="s">
        <v>13</v>
      </c>
      <c r="D328" s="1" t="s">
        <v>53</v>
      </c>
      <c r="E328" s="1">
        <v>15</v>
      </c>
      <c r="F328" s="1">
        <v>449</v>
      </c>
      <c r="G328" s="1">
        <v>5</v>
      </c>
      <c r="H328" s="2">
        <v>46152</v>
      </c>
      <c r="I328" s="2">
        <v>46153</v>
      </c>
      <c r="J328" s="1" t="s">
        <v>15</v>
      </c>
      <c r="K328" s="1">
        <v>1327</v>
      </c>
    </row>
    <row r="329" spans="1:11" x14ac:dyDescent="0.3">
      <c r="A329" s="1" t="s">
        <v>16</v>
      </c>
      <c r="B329" s="1" t="s">
        <v>38</v>
      </c>
      <c r="C329" s="1" t="s">
        <v>13</v>
      </c>
      <c r="D329" s="1" t="s">
        <v>36</v>
      </c>
      <c r="E329" s="1">
        <v>4</v>
      </c>
      <c r="F329" s="1">
        <v>132</v>
      </c>
      <c r="G329" s="1">
        <v>0</v>
      </c>
      <c r="H329" s="2">
        <v>46109</v>
      </c>
      <c r="I329" s="2">
        <v>46114</v>
      </c>
      <c r="J329" s="1" t="s">
        <v>29</v>
      </c>
      <c r="K329" s="1">
        <v>1328</v>
      </c>
    </row>
    <row r="330" spans="1:11" x14ac:dyDescent="0.3">
      <c r="A330" s="1" t="s">
        <v>30</v>
      </c>
      <c r="B330" s="1" t="s">
        <v>43</v>
      </c>
      <c r="C330" s="1" t="s">
        <v>13</v>
      </c>
      <c r="D330" s="1" t="s">
        <v>53</v>
      </c>
      <c r="E330" s="1">
        <v>18</v>
      </c>
      <c r="F330" s="1">
        <v>227</v>
      </c>
      <c r="G330" s="1">
        <v>5</v>
      </c>
      <c r="H330" s="2">
        <v>46126</v>
      </c>
      <c r="I330" s="2">
        <v>46136</v>
      </c>
      <c r="J330" s="1" t="s">
        <v>29</v>
      </c>
      <c r="K330" s="1">
        <v>1329</v>
      </c>
    </row>
    <row r="331" spans="1:11" x14ac:dyDescent="0.3">
      <c r="A331" s="1" t="s">
        <v>49</v>
      </c>
      <c r="B331" s="1" t="s">
        <v>17</v>
      </c>
      <c r="C331" s="1" t="s">
        <v>18</v>
      </c>
      <c r="D331" s="1" t="s">
        <v>19</v>
      </c>
      <c r="E331" s="1">
        <v>13</v>
      </c>
      <c r="F331" s="1">
        <v>12071</v>
      </c>
      <c r="G331" s="1">
        <v>0</v>
      </c>
      <c r="H331" s="2">
        <v>46032</v>
      </c>
      <c r="I331" s="2">
        <v>46036</v>
      </c>
      <c r="J331" s="1" t="s">
        <v>51</v>
      </c>
      <c r="K331" s="1">
        <v>1330</v>
      </c>
    </row>
    <row r="332" spans="1:11" x14ac:dyDescent="0.3">
      <c r="A332" s="1" t="s">
        <v>21</v>
      </c>
      <c r="B332" s="1" t="s">
        <v>25</v>
      </c>
      <c r="C332" s="1" t="s">
        <v>34</v>
      </c>
      <c r="D332" s="1" t="s">
        <v>61</v>
      </c>
      <c r="E332" s="1">
        <v>2</v>
      </c>
      <c r="F332" s="1">
        <v>43557</v>
      </c>
      <c r="G332" s="1">
        <v>2</v>
      </c>
      <c r="H332" s="2">
        <v>46190</v>
      </c>
      <c r="I332" s="2">
        <v>46200</v>
      </c>
      <c r="J332" s="1" t="s">
        <v>15</v>
      </c>
      <c r="K332" s="1">
        <v>1331</v>
      </c>
    </row>
    <row r="333" spans="1:11" x14ac:dyDescent="0.3">
      <c r="A333" s="1" t="s">
        <v>29</v>
      </c>
      <c r="B333" s="1" t="s">
        <v>43</v>
      </c>
      <c r="C333" s="1" t="s">
        <v>13</v>
      </c>
      <c r="D333" s="1" t="s">
        <v>50</v>
      </c>
      <c r="E333" s="1">
        <v>7</v>
      </c>
      <c r="F333" s="1">
        <v>439</v>
      </c>
      <c r="G333" s="1">
        <v>2</v>
      </c>
      <c r="H333" s="2">
        <v>46154</v>
      </c>
      <c r="I333" s="2">
        <v>46157</v>
      </c>
      <c r="J333" s="1" t="s">
        <v>15</v>
      </c>
      <c r="K333" s="1">
        <v>1332</v>
      </c>
    </row>
    <row r="334" spans="1:11" x14ac:dyDescent="0.3">
      <c r="A334" s="1" t="s">
        <v>29</v>
      </c>
      <c r="B334" s="1" t="s">
        <v>38</v>
      </c>
      <c r="C334" s="1" t="s">
        <v>13</v>
      </c>
      <c r="D334" s="1" t="s">
        <v>53</v>
      </c>
      <c r="E334" s="1">
        <v>20</v>
      </c>
      <c r="F334" s="1">
        <v>416</v>
      </c>
      <c r="G334" s="1">
        <v>12</v>
      </c>
      <c r="H334" s="2">
        <v>46145</v>
      </c>
      <c r="I334" s="2">
        <v>46146</v>
      </c>
      <c r="J334" s="1" t="s">
        <v>51</v>
      </c>
      <c r="K334" s="1">
        <v>1333</v>
      </c>
    </row>
    <row r="335" spans="1:11" x14ac:dyDescent="0.3">
      <c r="A335" s="1" t="s">
        <v>40</v>
      </c>
      <c r="B335" s="1" t="s">
        <v>12</v>
      </c>
      <c r="C335" s="1" t="s">
        <v>34</v>
      </c>
      <c r="D335" s="1" t="s">
        <v>41</v>
      </c>
      <c r="E335" s="1">
        <v>15</v>
      </c>
      <c r="F335" s="1">
        <v>39853</v>
      </c>
      <c r="G335" s="1">
        <v>7</v>
      </c>
      <c r="H335" s="2">
        <v>46038</v>
      </c>
      <c r="I335" s="2">
        <v>46047</v>
      </c>
      <c r="J335" s="1" t="s">
        <v>51</v>
      </c>
      <c r="K335" s="1">
        <v>1334</v>
      </c>
    </row>
    <row r="336" spans="1:11" x14ac:dyDescent="0.3">
      <c r="A336" s="1" t="s">
        <v>47</v>
      </c>
      <c r="B336" s="1" t="s">
        <v>17</v>
      </c>
      <c r="C336" s="1" t="s">
        <v>18</v>
      </c>
      <c r="D336" s="1" t="s">
        <v>19</v>
      </c>
      <c r="E336" s="1">
        <v>9</v>
      </c>
      <c r="F336" s="1">
        <v>1495</v>
      </c>
      <c r="G336" s="1">
        <v>12</v>
      </c>
      <c r="H336" s="2">
        <v>46168</v>
      </c>
      <c r="I336" s="2">
        <v>46173</v>
      </c>
      <c r="J336" s="1" t="s">
        <v>15</v>
      </c>
      <c r="K336" s="1">
        <v>1335</v>
      </c>
    </row>
    <row r="337" spans="1:11" x14ac:dyDescent="0.3">
      <c r="A337" s="1" t="s">
        <v>16</v>
      </c>
      <c r="B337" s="1" t="s">
        <v>25</v>
      </c>
      <c r="C337" s="1" t="s">
        <v>18</v>
      </c>
      <c r="D337" s="1" t="s">
        <v>56</v>
      </c>
      <c r="E337" s="1">
        <v>10</v>
      </c>
      <c r="F337" s="1">
        <v>5624</v>
      </c>
      <c r="G337" s="1">
        <v>0</v>
      </c>
      <c r="H337" s="2">
        <v>46086</v>
      </c>
      <c r="I337" s="2">
        <v>46092</v>
      </c>
      <c r="J337" s="1" t="s">
        <v>29</v>
      </c>
      <c r="K337" s="1">
        <v>1336</v>
      </c>
    </row>
    <row r="338" spans="1:11" x14ac:dyDescent="0.3">
      <c r="A338" s="1" t="s">
        <v>16</v>
      </c>
      <c r="B338" s="1" t="s">
        <v>12</v>
      </c>
      <c r="C338" s="1" t="s">
        <v>13</v>
      </c>
      <c r="D338" s="1" t="s">
        <v>53</v>
      </c>
      <c r="E338" s="1">
        <v>14</v>
      </c>
      <c r="F338" s="1">
        <v>373</v>
      </c>
      <c r="G338" s="1">
        <v>10</v>
      </c>
      <c r="H338" s="2">
        <v>46074</v>
      </c>
      <c r="I338" s="2">
        <v>46080</v>
      </c>
      <c r="J338" s="1" t="s">
        <v>29</v>
      </c>
      <c r="K338" s="1">
        <v>1337</v>
      </c>
    </row>
    <row r="339" spans="1:11" x14ac:dyDescent="0.3">
      <c r="A339" s="1" t="s">
        <v>59</v>
      </c>
      <c r="B339" s="1" t="s">
        <v>25</v>
      </c>
      <c r="C339" s="1" t="s">
        <v>34</v>
      </c>
      <c r="D339" s="1" t="s">
        <v>60</v>
      </c>
      <c r="E339" s="1">
        <v>10</v>
      </c>
      <c r="F339" s="1">
        <v>16719</v>
      </c>
      <c r="G339" s="1">
        <v>5</v>
      </c>
      <c r="H339" s="2">
        <v>46177</v>
      </c>
      <c r="I339" s="2">
        <v>46179</v>
      </c>
      <c r="J339" s="1" t="s">
        <v>15</v>
      </c>
      <c r="K339" s="1">
        <v>1338</v>
      </c>
    </row>
    <row r="340" spans="1:11" x14ac:dyDescent="0.3">
      <c r="A340" s="1" t="s">
        <v>32</v>
      </c>
      <c r="B340" s="1" t="s">
        <v>25</v>
      </c>
      <c r="C340" s="1" t="s">
        <v>13</v>
      </c>
      <c r="D340" s="1" t="s">
        <v>14</v>
      </c>
      <c r="E340" s="1">
        <v>6</v>
      </c>
      <c r="F340" s="1">
        <v>302</v>
      </c>
      <c r="G340" s="1">
        <v>5</v>
      </c>
      <c r="H340" s="2">
        <v>46142</v>
      </c>
      <c r="I340" s="2">
        <v>46148</v>
      </c>
      <c r="J340" s="1" t="s">
        <v>20</v>
      </c>
      <c r="K340" s="1">
        <v>1339</v>
      </c>
    </row>
    <row r="341" spans="1:11" x14ac:dyDescent="0.3">
      <c r="A341" s="1" t="s">
        <v>48</v>
      </c>
      <c r="B341" s="1" t="s">
        <v>17</v>
      </c>
      <c r="C341" s="1" t="s">
        <v>18</v>
      </c>
      <c r="D341" s="1" t="s">
        <v>19</v>
      </c>
      <c r="E341" s="1">
        <v>12</v>
      </c>
      <c r="F341" s="1">
        <v>3857</v>
      </c>
      <c r="G341" s="1">
        <v>12</v>
      </c>
      <c r="H341" s="2">
        <v>46196</v>
      </c>
      <c r="I341" s="2">
        <v>46198</v>
      </c>
      <c r="J341" s="1" t="s">
        <v>51</v>
      </c>
      <c r="K341" s="1">
        <v>1340</v>
      </c>
    </row>
    <row r="342" spans="1:11" x14ac:dyDescent="0.3">
      <c r="A342" s="1" t="s">
        <v>57</v>
      </c>
      <c r="B342" s="1" t="s">
        <v>38</v>
      </c>
      <c r="C342" s="1" t="s">
        <v>18</v>
      </c>
      <c r="D342" s="1" t="s">
        <v>19</v>
      </c>
      <c r="E342" s="1">
        <v>19</v>
      </c>
      <c r="F342" s="1">
        <v>6488</v>
      </c>
      <c r="G342" s="1">
        <v>15</v>
      </c>
      <c r="H342" s="2">
        <v>46026</v>
      </c>
      <c r="I342" s="2">
        <v>46030</v>
      </c>
      <c r="J342" s="1" t="s">
        <v>20</v>
      </c>
      <c r="K342" s="1">
        <v>1341</v>
      </c>
    </row>
    <row r="343" spans="1:11" x14ac:dyDescent="0.3">
      <c r="A343" s="1" t="s">
        <v>59</v>
      </c>
      <c r="B343" s="1" t="s">
        <v>31</v>
      </c>
      <c r="C343" s="1" t="s">
        <v>34</v>
      </c>
      <c r="D343" s="1" t="s">
        <v>35</v>
      </c>
      <c r="E343" s="1">
        <v>13</v>
      </c>
      <c r="F343" s="1">
        <v>47881</v>
      </c>
      <c r="G343" s="1">
        <v>15</v>
      </c>
      <c r="H343" s="2">
        <v>46132</v>
      </c>
      <c r="I343" s="2">
        <v>46139</v>
      </c>
      <c r="J343" s="1" t="s">
        <v>29</v>
      </c>
      <c r="K343" s="1">
        <v>1342</v>
      </c>
    </row>
    <row r="344" spans="1:11" x14ac:dyDescent="0.3">
      <c r="A344" s="1" t="s">
        <v>59</v>
      </c>
      <c r="B344" s="1" t="s">
        <v>31</v>
      </c>
      <c r="C344" s="1" t="s">
        <v>34</v>
      </c>
      <c r="D344" s="1" t="s">
        <v>39</v>
      </c>
      <c r="E344" s="1">
        <v>14</v>
      </c>
      <c r="F344" s="1">
        <v>32719</v>
      </c>
      <c r="G344" s="1">
        <v>15</v>
      </c>
      <c r="H344" s="2">
        <v>46174</v>
      </c>
      <c r="I344" s="2">
        <v>46179</v>
      </c>
      <c r="J344" s="1" t="s">
        <v>15</v>
      </c>
      <c r="K344" s="1">
        <v>1343</v>
      </c>
    </row>
    <row r="345" spans="1:11" x14ac:dyDescent="0.3">
      <c r="A345" s="1" t="s">
        <v>30</v>
      </c>
      <c r="B345" s="1" t="s">
        <v>17</v>
      </c>
      <c r="C345" s="1" t="s">
        <v>13</v>
      </c>
      <c r="D345" s="1" t="s">
        <v>53</v>
      </c>
      <c r="E345" s="1">
        <v>18</v>
      </c>
      <c r="F345" s="1">
        <v>240</v>
      </c>
      <c r="G345" s="1">
        <v>10</v>
      </c>
      <c r="H345" s="2">
        <v>46155</v>
      </c>
      <c r="I345" s="2">
        <v>46156</v>
      </c>
      <c r="J345" s="1" t="s">
        <v>24</v>
      </c>
      <c r="K345" s="1">
        <v>1344</v>
      </c>
    </row>
    <row r="346" spans="1:11" x14ac:dyDescent="0.3">
      <c r="A346" s="1" t="s">
        <v>32</v>
      </c>
      <c r="B346" s="1" t="s">
        <v>12</v>
      </c>
      <c r="C346" s="1" t="s">
        <v>34</v>
      </c>
      <c r="D346" s="1" t="s">
        <v>45</v>
      </c>
      <c r="E346" s="1">
        <v>12</v>
      </c>
      <c r="F346" s="1">
        <v>50544</v>
      </c>
      <c r="G346" s="1">
        <v>10</v>
      </c>
      <c r="H346" s="2">
        <v>46095</v>
      </c>
      <c r="I346" s="2">
        <v>46097</v>
      </c>
      <c r="J346" s="1" t="s">
        <v>29</v>
      </c>
      <c r="K346" s="1">
        <v>1345</v>
      </c>
    </row>
    <row r="347" spans="1:11" x14ac:dyDescent="0.3">
      <c r="A347" s="1" t="s">
        <v>32</v>
      </c>
      <c r="B347" s="1" t="s">
        <v>22</v>
      </c>
      <c r="C347" s="1" t="s">
        <v>18</v>
      </c>
      <c r="D347" s="1" t="s">
        <v>19</v>
      </c>
      <c r="E347" s="1">
        <v>16</v>
      </c>
      <c r="F347" s="1">
        <v>6910</v>
      </c>
      <c r="G347" s="1">
        <v>15</v>
      </c>
      <c r="H347" s="2">
        <v>46140</v>
      </c>
      <c r="I347" s="2">
        <v>46142</v>
      </c>
      <c r="J347" s="1" t="s">
        <v>29</v>
      </c>
      <c r="K347" s="1">
        <v>1346</v>
      </c>
    </row>
    <row r="348" spans="1:11" x14ac:dyDescent="0.3">
      <c r="A348" s="1" t="s">
        <v>29</v>
      </c>
      <c r="B348" s="1" t="s">
        <v>22</v>
      </c>
      <c r="C348" s="1" t="s">
        <v>34</v>
      </c>
      <c r="D348" s="1" t="s">
        <v>35</v>
      </c>
      <c r="E348" s="1">
        <v>16</v>
      </c>
      <c r="F348" s="1">
        <v>6034</v>
      </c>
      <c r="G348" s="1">
        <v>15</v>
      </c>
      <c r="H348" s="2">
        <v>46037</v>
      </c>
      <c r="I348" s="2">
        <v>46044</v>
      </c>
      <c r="J348" s="1" t="s">
        <v>24</v>
      </c>
      <c r="K348" s="1">
        <v>1347</v>
      </c>
    </row>
    <row r="349" spans="1:11" x14ac:dyDescent="0.3">
      <c r="A349" s="1" t="s">
        <v>11</v>
      </c>
      <c r="B349" s="1" t="s">
        <v>33</v>
      </c>
      <c r="C349" s="1" t="s">
        <v>13</v>
      </c>
      <c r="D349" s="1" t="s">
        <v>50</v>
      </c>
      <c r="E349" s="1">
        <v>12</v>
      </c>
      <c r="F349" s="1">
        <v>244</v>
      </c>
      <c r="G349" s="1">
        <v>7</v>
      </c>
      <c r="H349" s="2">
        <v>46048</v>
      </c>
      <c r="I349" s="2">
        <v>46053</v>
      </c>
      <c r="J349" s="1" t="s">
        <v>15</v>
      </c>
      <c r="K349" s="1">
        <v>1348</v>
      </c>
    </row>
    <row r="350" spans="1:11" x14ac:dyDescent="0.3">
      <c r="A350" s="1" t="s">
        <v>40</v>
      </c>
      <c r="B350" s="1" t="s">
        <v>33</v>
      </c>
      <c r="C350" s="1" t="s">
        <v>34</v>
      </c>
      <c r="D350" s="1" t="s">
        <v>35</v>
      </c>
      <c r="E350" s="1">
        <v>20</v>
      </c>
      <c r="F350" s="1">
        <v>62721</v>
      </c>
      <c r="G350" s="1">
        <v>7</v>
      </c>
      <c r="H350" s="2">
        <v>46079</v>
      </c>
      <c r="I350" s="2">
        <v>46083</v>
      </c>
      <c r="J350" s="1" t="s">
        <v>20</v>
      </c>
      <c r="K350" s="1">
        <v>1349</v>
      </c>
    </row>
    <row r="351" spans="1:11" x14ac:dyDescent="0.3">
      <c r="A351" s="1" t="s">
        <v>26</v>
      </c>
      <c r="B351" s="1" t="s">
        <v>43</v>
      </c>
      <c r="C351" s="1" t="s">
        <v>18</v>
      </c>
      <c r="D351" s="1" t="s">
        <v>28</v>
      </c>
      <c r="E351" s="1">
        <v>16</v>
      </c>
      <c r="F351" s="1">
        <v>11790</v>
      </c>
      <c r="G351" s="1">
        <v>12</v>
      </c>
      <c r="H351" s="2">
        <v>46185</v>
      </c>
      <c r="I351" s="2">
        <v>46190</v>
      </c>
      <c r="J351" s="1" t="s">
        <v>29</v>
      </c>
      <c r="K351" s="1">
        <v>1350</v>
      </c>
    </row>
    <row r="352" spans="1:11" x14ac:dyDescent="0.3">
      <c r="A352" s="1" t="s">
        <v>42</v>
      </c>
      <c r="B352" s="1" t="s">
        <v>33</v>
      </c>
      <c r="C352" s="1" t="s">
        <v>34</v>
      </c>
      <c r="D352" s="1" t="s">
        <v>45</v>
      </c>
      <c r="E352" s="1">
        <v>12</v>
      </c>
      <c r="F352" s="1">
        <v>1272</v>
      </c>
      <c r="G352" s="1">
        <v>0</v>
      </c>
      <c r="H352" s="2">
        <v>46026</v>
      </c>
      <c r="I352" s="2">
        <v>46029</v>
      </c>
      <c r="J352" s="1" t="s">
        <v>15</v>
      </c>
      <c r="K352" s="1">
        <v>1351</v>
      </c>
    </row>
    <row r="353" spans="1:11" x14ac:dyDescent="0.3">
      <c r="A353" s="1" t="s">
        <v>54</v>
      </c>
      <c r="B353" s="1" t="s">
        <v>22</v>
      </c>
      <c r="C353" s="1" t="s">
        <v>13</v>
      </c>
      <c r="D353" s="1" t="s">
        <v>14</v>
      </c>
      <c r="E353" s="1">
        <v>12</v>
      </c>
      <c r="F353" s="1">
        <v>203</v>
      </c>
      <c r="G353" s="1">
        <v>5</v>
      </c>
      <c r="H353" s="2">
        <v>46024</v>
      </c>
      <c r="I353" s="2">
        <v>46033</v>
      </c>
      <c r="J353" s="1" t="s">
        <v>15</v>
      </c>
      <c r="K353" s="1">
        <v>1352</v>
      </c>
    </row>
    <row r="354" spans="1:11" x14ac:dyDescent="0.3">
      <c r="A354" s="1" t="s">
        <v>47</v>
      </c>
      <c r="B354" s="1" t="s">
        <v>43</v>
      </c>
      <c r="C354" s="1" t="s">
        <v>13</v>
      </c>
      <c r="D354" s="1" t="s">
        <v>14</v>
      </c>
      <c r="E354" s="1">
        <v>6</v>
      </c>
      <c r="F354" s="1">
        <v>495</v>
      </c>
      <c r="G354" s="1">
        <v>2</v>
      </c>
      <c r="H354" s="2">
        <v>46194</v>
      </c>
      <c r="I354" s="2">
        <v>46200</v>
      </c>
      <c r="J354" s="1" t="s">
        <v>24</v>
      </c>
      <c r="K354" s="1">
        <v>1353</v>
      </c>
    </row>
    <row r="355" spans="1:11" x14ac:dyDescent="0.3">
      <c r="A355" s="1" t="s">
        <v>47</v>
      </c>
      <c r="B355" s="1" t="s">
        <v>43</v>
      </c>
      <c r="C355" s="1" t="s">
        <v>34</v>
      </c>
      <c r="D355" s="1" t="s">
        <v>35</v>
      </c>
      <c r="E355" s="1">
        <v>15</v>
      </c>
      <c r="F355" s="1">
        <v>14927</v>
      </c>
      <c r="G355" s="1">
        <v>15</v>
      </c>
      <c r="H355" s="2">
        <v>46118</v>
      </c>
      <c r="I355" s="2">
        <v>46120</v>
      </c>
      <c r="J355" s="1" t="s">
        <v>51</v>
      </c>
      <c r="K355" s="1">
        <v>1354</v>
      </c>
    </row>
    <row r="356" spans="1:11" x14ac:dyDescent="0.3">
      <c r="A356" s="1" t="s">
        <v>27</v>
      </c>
      <c r="B356" s="1" t="s">
        <v>12</v>
      </c>
      <c r="C356" s="1" t="s">
        <v>34</v>
      </c>
      <c r="D356" s="1" t="s">
        <v>60</v>
      </c>
      <c r="E356" s="1">
        <v>18</v>
      </c>
      <c r="F356" s="1">
        <v>35997</v>
      </c>
      <c r="G356" s="1">
        <v>2</v>
      </c>
      <c r="H356" s="2">
        <v>46024</v>
      </c>
      <c r="I356" s="2">
        <v>46031</v>
      </c>
      <c r="J356" s="1" t="s">
        <v>51</v>
      </c>
      <c r="K356" s="1">
        <v>1355</v>
      </c>
    </row>
    <row r="357" spans="1:11" x14ac:dyDescent="0.3">
      <c r="A357" s="1" t="s">
        <v>26</v>
      </c>
      <c r="B357" s="1" t="s">
        <v>38</v>
      </c>
      <c r="C357" s="1" t="s">
        <v>34</v>
      </c>
      <c r="D357" s="1" t="s">
        <v>60</v>
      </c>
      <c r="E357" s="1">
        <v>16</v>
      </c>
      <c r="F357" s="1">
        <v>53457</v>
      </c>
      <c r="G357" s="1">
        <v>10</v>
      </c>
      <c r="H357" s="2">
        <v>46201</v>
      </c>
      <c r="I357" s="2">
        <v>46204</v>
      </c>
      <c r="J357" s="1" t="s">
        <v>15</v>
      </c>
      <c r="K357" s="1">
        <v>1356</v>
      </c>
    </row>
    <row r="358" spans="1:11" x14ac:dyDescent="0.3">
      <c r="A358" s="1" t="s">
        <v>59</v>
      </c>
      <c r="B358" s="1" t="s">
        <v>25</v>
      </c>
      <c r="C358" s="1" t="s">
        <v>13</v>
      </c>
      <c r="D358" s="1" t="s">
        <v>37</v>
      </c>
      <c r="E358" s="1">
        <v>6</v>
      </c>
      <c r="F358" s="1">
        <v>365</v>
      </c>
      <c r="G358" s="1">
        <v>7</v>
      </c>
      <c r="H358" s="2">
        <v>46133</v>
      </c>
      <c r="I358" s="2">
        <v>46140</v>
      </c>
      <c r="J358" s="1" t="s">
        <v>51</v>
      </c>
      <c r="K358" s="1">
        <v>1357</v>
      </c>
    </row>
    <row r="359" spans="1:11" x14ac:dyDescent="0.3">
      <c r="A359" s="1" t="s">
        <v>40</v>
      </c>
      <c r="B359" s="1" t="s">
        <v>38</v>
      </c>
      <c r="C359" s="1" t="s">
        <v>18</v>
      </c>
      <c r="D359" s="1" t="s">
        <v>19</v>
      </c>
      <c r="E359" s="1">
        <v>7</v>
      </c>
      <c r="F359" s="1">
        <v>6618</v>
      </c>
      <c r="G359" s="1">
        <v>0</v>
      </c>
      <c r="H359" s="2">
        <v>46127</v>
      </c>
      <c r="I359" s="2">
        <v>46129</v>
      </c>
      <c r="J359" s="1" t="s">
        <v>20</v>
      </c>
      <c r="K359" s="1">
        <v>1358</v>
      </c>
    </row>
    <row r="360" spans="1:11" x14ac:dyDescent="0.3">
      <c r="A360" s="1" t="s">
        <v>54</v>
      </c>
      <c r="B360" s="1" t="s">
        <v>12</v>
      </c>
      <c r="C360" s="1" t="s">
        <v>34</v>
      </c>
      <c r="D360" s="1" t="s">
        <v>61</v>
      </c>
      <c r="E360" s="1">
        <v>9</v>
      </c>
      <c r="F360" s="1">
        <v>38179</v>
      </c>
      <c r="G360" s="1">
        <v>0</v>
      </c>
      <c r="H360" s="2">
        <v>46096</v>
      </c>
      <c r="I360" s="2">
        <v>46099</v>
      </c>
      <c r="J360" s="1" t="s">
        <v>15</v>
      </c>
      <c r="K360" s="1">
        <v>1359</v>
      </c>
    </row>
    <row r="361" spans="1:11" x14ac:dyDescent="0.3">
      <c r="A361" s="1" t="s">
        <v>11</v>
      </c>
      <c r="B361" s="1" t="s">
        <v>43</v>
      </c>
      <c r="C361" s="1" t="s">
        <v>18</v>
      </c>
      <c r="D361" s="1" t="s">
        <v>23</v>
      </c>
      <c r="E361" s="1">
        <v>19</v>
      </c>
      <c r="F361" s="1">
        <v>6681</v>
      </c>
      <c r="G361" s="1">
        <v>2</v>
      </c>
      <c r="H361" s="2">
        <v>46146</v>
      </c>
      <c r="I361" s="2">
        <v>46150</v>
      </c>
      <c r="J361" s="1" t="s">
        <v>15</v>
      </c>
      <c r="K361" s="1">
        <v>1360</v>
      </c>
    </row>
    <row r="362" spans="1:11" x14ac:dyDescent="0.3">
      <c r="A362" s="1" t="s">
        <v>42</v>
      </c>
      <c r="B362" s="1" t="s">
        <v>17</v>
      </c>
      <c r="C362" s="1" t="s">
        <v>18</v>
      </c>
      <c r="D362" s="1" t="s">
        <v>23</v>
      </c>
      <c r="E362" s="1">
        <v>2</v>
      </c>
      <c r="F362" s="1">
        <v>1822</v>
      </c>
      <c r="G362" s="1">
        <v>5</v>
      </c>
      <c r="H362" s="2">
        <v>46141</v>
      </c>
      <c r="I362" s="2">
        <v>46145</v>
      </c>
      <c r="J362" s="1" t="s">
        <v>20</v>
      </c>
      <c r="K362" s="1">
        <v>1361</v>
      </c>
    </row>
    <row r="363" spans="1:11" x14ac:dyDescent="0.3">
      <c r="A363" s="1" t="s">
        <v>16</v>
      </c>
      <c r="B363" s="1" t="s">
        <v>12</v>
      </c>
      <c r="C363" s="1" t="s">
        <v>18</v>
      </c>
      <c r="D363" s="1" t="s">
        <v>28</v>
      </c>
      <c r="E363" s="1">
        <v>1</v>
      </c>
      <c r="F363" s="1">
        <v>10474</v>
      </c>
      <c r="G363" s="1">
        <v>0</v>
      </c>
      <c r="H363" s="2">
        <v>46094</v>
      </c>
      <c r="I363" s="2">
        <v>46096</v>
      </c>
      <c r="J363" s="1" t="s">
        <v>29</v>
      </c>
      <c r="K363" s="1">
        <v>1362</v>
      </c>
    </row>
    <row r="364" spans="1:11" x14ac:dyDescent="0.3">
      <c r="A364" s="1" t="s">
        <v>27</v>
      </c>
      <c r="B364" s="1" t="s">
        <v>25</v>
      </c>
      <c r="C364" s="1" t="s">
        <v>34</v>
      </c>
      <c r="D364" s="1" t="s">
        <v>35</v>
      </c>
      <c r="E364" s="1">
        <v>7</v>
      </c>
      <c r="F364" s="1">
        <v>45381</v>
      </c>
      <c r="G364" s="1">
        <v>0</v>
      </c>
      <c r="H364" s="2">
        <v>46122</v>
      </c>
      <c r="I364" s="2">
        <v>46128</v>
      </c>
      <c r="J364" s="1" t="s">
        <v>15</v>
      </c>
      <c r="K364" s="1">
        <v>1363</v>
      </c>
    </row>
    <row r="365" spans="1:11" x14ac:dyDescent="0.3">
      <c r="A365" s="1" t="s">
        <v>30</v>
      </c>
      <c r="B365" s="1" t="s">
        <v>22</v>
      </c>
      <c r="C365" s="1" t="s">
        <v>18</v>
      </c>
      <c r="D365" s="1" t="s">
        <v>56</v>
      </c>
      <c r="E365" s="1">
        <v>16</v>
      </c>
      <c r="F365" s="1">
        <v>1744</v>
      </c>
      <c r="G365" s="1">
        <v>15</v>
      </c>
      <c r="H365" s="2">
        <v>46031</v>
      </c>
      <c r="I365" s="2">
        <v>46033</v>
      </c>
      <c r="J365" s="1" t="s">
        <v>51</v>
      </c>
      <c r="K365" s="1">
        <v>1364</v>
      </c>
    </row>
    <row r="366" spans="1:11" x14ac:dyDescent="0.3">
      <c r="A366" s="1" t="s">
        <v>46</v>
      </c>
      <c r="B366" s="1" t="s">
        <v>33</v>
      </c>
      <c r="C366" s="1" t="s">
        <v>13</v>
      </c>
      <c r="D366" s="1" t="s">
        <v>50</v>
      </c>
      <c r="E366" s="1">
        <v>17</v>
      </c>
      <c r="F366" s="1">
        <v>119</v>
      </c>
      <c r="G366" s="1">
        <v>7</v>
      </c>
      <c r="H366" s="2">
        <v>46070</v>
      </c>
      <c r="I366" s="2">
        <v>46072</v>
      </c>
      <c r="J366" s="1" t="s">
        <v>20</v>
      </c>
      <c r="K366" s="1">
        <v>1365</v>
      </c>
    </row>
    <row r="367" spans="1:11" x14ac:dyDescent="0.3">
      <c r="A367" s="1" t="s">
        <v>26</v>
      </c>
      <c r="B367" s="1" t="s">
        <v>17</v>
      </c>
      <c r="C367" s="1" t="s">
        <v>34</v>
      </c>
      <c r="D367" s="1" t="s">
        <v>61</v>
      </c>
      <c r="E367" s="1">
        <v>20</v>
      </c>
      <c r="F367" s="1">
        <v>44312</v>
      </c>
      <c r="G367" s="1">
        <v>10</v>
      </c>
      <c r="H367" s="2">
        <v>46047</v>
      </c>
      <c r="I367" s="2">
        <v>46054</v>
      </c>
      <c r="J367" s="1" t="s">
        <v>29</v>
      </c>
      <c r="K367" s="1">
        <v>1366</v>
      </c>
    </row>
    <row r="368" spans="1:11" x14ac:dyDescent="0.3">
      <c r="A368" s="1" t="s">
        <v>54</v>
      </c>
      <c r="B368" s="1" t="s">
        <v>25</v>
      </c>
      <c r="C368" s="1" t="s">
        <v>13</v>
      </c>
      <c r="D368" s="1" t="s">
        <v>53</v>
      </c>
      <c r="E368" s="1">
        <v>1</v>
      </c>
      <c r="F368" s="1">
        <v>371</v>
      </c>
      <c r="G368" s="1">
        <v>5</v>
      </c>
      <c r="H368" s="2">
        <v>46158</v>
      </c>
      <c r="I368" s="2">
        <v>46168</v>
      </c>
      <c r="J368" s="1" t="s">
        <v>29</v>
      </c>
      <c r="K368" s="1">
        <v>1367</v>
      </c>
    </row>
    <row r="369" spans="1:11" x14ac:dyDescent="0.3">
      <c r="A369" s="1" t="s">
        <v>55</v>
      </c>
      <c r="B369" s="1" t="s">
        <v>38</v>
      </c>
      <c r="C369" s="1" t="s">
        <v>13</v>
      </c>
      <c r="D369" s="1" t="s">
        <v>36</v>
      </c>
      <c r="E369" s="1">
        <v>9</v>
      </c>
      <c r="F369" s="1">
        <v>115</v>
      </c>
      <c r="G369" s="1">
        <v>0</v>
      </c>
      <c r="H369" s="2">
        <v>46036</v>
      </c>
      <c r="I369" s="2">
        <v>46045</v>
      </c>
      <c r="J369" s="1" t="s">
        <v>24</v>
      </c>
      <c r="K369" s="1">
        <v>1368</v>
      </c>
    </row>
    <row r="370" spans="1:11" x14ac:dyDescent="0.3">
      <c r="A370" s="1" t="s">
        <v>57</v>
      </c>
      <c r="B370" s="1" t="s">
        <v>25</v>
      </c>
      <c r="C370" s="1" t="s">
        <v>18</v>
      </c>
      <c r="D370" s="1" t="s">
        <v>19</v>
      </c>
      <c r="E370" s="1">
        <v>19</v>
      </c>
      <c r="F370" s="1">
        <v>5840</v>
      </c>
      <c r="G370" s="1">
        <v>5</v>
      </c>
      <c r="H370" s="2">
        <v>46062</v>
      </c>
      <c r="I370" s="2">
        <v>46067</v>
      </c>
      <c r="J370" s="1" t="s">
        <v>15</v>
      </c>
      <c r="K370" s="1">
        <v>1369</v>
      </c>
    </row>
    <row r="371" spans="1:11" x14ac:dyDescent="0.3">
      <c r="A371" s="1" t="s">
        <v>59</v>
      </c>
      <c r="B371" s="1" t="s">
        <v>38</v>
      </c>
      <c r="C371" s="1" t="s">
        <v>13</v>
      </c>
      <c r="D371" s="1" t="s">
        <v>53</v>
      </c>
      <c r="E371" s="1">
        <v>13</v>
      </c>
      <c r="F371" s="1">
        <v>337</v>
      </c>
      <c r="G371" s="1">
        <v>7</v>
      </c>
      <c r="H371" s="2">
        <v>46184</v>
      </c>
      <c r="I371" s="2">
        <v>46188</v>
      </c>
      <c r="J371" s="1" t="s">
        <v>15</v>
      </c>
      <c r="K371" s="1">
        <v>1370</v>
      </c>
    </row>
    <row r="372" spans="1:11" x14ac:dyDescent="0.3">
      <c r="A372" s="1" t="s">
        <v>48</v>
      </c>
      <c r="B372" s="1" t="s">
        <v>38</v>
      </c>
      <c r="C372" s="1" t="s">
        <v>18</v>
      </c>
      <c r="D372" s="1" t="s">
        <v>19</v>
      </c>
      <c r="E372" s="1">
        <v>19</v>
      </c>
      <c r="F372" s="1">
        <v>1087</v>
      </c>
      <c r="G372" s="1">
        <v>15</v>
      </c>
      <c r="H372" s="2">
        <v>46072</v>
      </c>
      <c r="I372" s="2">
        <v>46082</v>
      </c>
      <c r="J372" s="1" t="s">
        <v>20</v>
      </c>
      <c r="K372" s="1">
        <v>1371</v>
      </c>
    </row>
    <row r="373" spans="1:11" x14ac:dyDescent="0.3">
      <c r="A373" s="1" t="s">
        <v>48</v>
      </c>
      <c r="B373" s="1" t="s">
        <v>17</v>
      </c>
      <c r="C373" s="1" t="s">
        <v>34</v>
      </c>
      <c r="D373" s="1" t="s">
        <v>39</v>
      </c>
      <c r="E373" s="1">
        <v>9</v>
      </c>
      <c r="F373" s="1">
        <v>9551</v>
      </c>
      <c r="G373" s="1">
        <v>10</v>
      </c>
      <c r="H373" s="2">
        <v>46161</v>
      </c>
      <c r="I373" s="2">
        <v>46168</v>
      </c>
      <c r="J373" s="1" t="s">
        <v>15</v>
      </c>
      <c r="K373" s="1">
        <v>1372</v>
      </c>
    </row>
    <row r="374" spans="1:11" x14ac:dyDescent="0.3">
      <c r="A374" s="1" t="s">
        <v>54</v>
      </c>
      <c r="B374" s="1" t="s">
        <v>25</v>
      </c>
      <c r="C374" s="1" t="s">
        <v>34</v>
      </c>
      <c r="D374" s="1" t="s">
        <v>60</v>
      </c>
      <c r="E374" s="1">
        <v>11</v>
      </c>
      <c r="F374" s="1">
        <v>47930</v>
      </c>
      <c r="G374" s="1">
        <v>12</v>
      </c>
      <c r="H374" s="2">
        <v>46191</v>
      </c>
      <c r="I374" s="2">
        <v>46201</v>
      </c>
      <c r="J374" s="1" t="s">
        <v>20</v>
      </c>
      <c r="K374" s="1">
        <v>1373</v>
      </c>
    </row>
    <row r="375" spans="1:11" x14ac:dyDescent="0.3">
      <c r="A375" s="1" t="s">
        <v>57</v>
      </c>
      <c r="B375" s="1" t="s">
        <v>33</v>
      </c>
      <c r="C375" s="1" t="s">
        <v>34</v>
      </c>
      <c r="D375" s="1" t="s">
        <v>35</v>
      </c>
      <c r="E375" s="1">
        <v>12</v>
      </c>
      <c r="F375" s="1">
        <v>66052</v>
      </c>
      <c r="G375" s="1">
        <v>2</v>
      </c>
      <c r="H375" s="2">
        <v>46063</v>
      </c>
      <c r="I375" s="2">
        <v>46066</v>
      </c>
      <c r="J375" s="1" t="s">
        <v>51</v>
      </c>
      <c r="K375" s="1">
        <v>1374</v>
      </c>
    </row>
    <row r="376" spans="1:11" x14ac:dyDescent="0.3">
      <c r="A376" s="1" t="s">
        <v>46</v>
      </c>
      <c r="B376" s="1" t="s">
        <v>43</v>
      </c>
      <c r="C376" s="1" t="s">
        <v>34</v>
      </c>
      <c r="D376" s="1" t="s">
        <v>45</v>
      </c>
      <c r="E376" s="1">
        <v>20</v>
      </c>
      <c r="F376" s="1">
        <v>56766</v>
      </c>
      <c r="G376" s="1">
        <v>0</v>
      </c>
      <c r="H376" s="2">
        <v>46052</v>
      </c>
      <c r="I376" s="2">
        <v>46061</v>
      </c>
      <c r="J376" s="1" t="s">
        <v>24</v>
      </c>
      <c r="K376" s="1">
        <v>1375</v>
      </c>
    </row>
    <row r="377" spans="1:11" x14ac:dyDescent="0.3">
      <c r="A377" s="1" t="s">
        <v>52</v>
      </c>
      <c r="B377" s="1" t="s">
        <v>31</v>
      </c>
      <c r="C377" s="1" t="s">
        <v>13</v>
      </c>
      <c r="D377" s="1" t="s">
        <v>50</v>
      </c>
      <c r="E377" s="1">
        <v>20</v>
      </c>
      <c r="F377" s="1">
        <v>429</v>
      </c>
      <c r="G377" s="1">
        <v>5</v>
      </c>
      <c r="H377" s="2">
        <v>46178</v>
      </c>
      <c r="I377" s="2">
        <v>46184</v>
      </c>
      <c r="J377" s="1" t="s">
        <v>20</v>
      </c>
      <c r="K377" s="1">
        <v>1376</v>
      </c>
    </row>
    <row r="378" spans="1:11" x14ac:dyDescent="0.3">
      <c r="A378" s="1" t="s">
        <v>32</v>
      </c>
      <c r="B378" s="1" t="s">
        <v>38</v>
      </c>
      <c r="C378" s="1" t="s">
        <v>18</v>
      </c>
      <c r="D378" s="1" t="s">
        <v>19</v>
      </c>
      <c r="E378" s="1">
        <v>3</v>
      </c>
      <c r="F378" s="1">
        <v>5480</v>
      </c>
      <c r="G378" s="1">
        <v>12</v>
      </c>
      <c r="H378" s="2">
        <v>46105</v>
      </c>
      <c r="I378" s="2">
        <v>46111</v>
      </c>
      <c r="J378" s="1" t="s">
        <v>24</v>
      </c>
      <c r="K378" s="1">
        <v>1377</v>
      </c>
    </row>
    <row r="379" spans="1:11" x14ac:dyDescent="0.3">
      <c r="A379" s="1" t="s">
        <v>55</v>
      </c>
      <c r="B379" s="1" t="s">
        <v>22</v>
      </c>
      <c r="C379" s="1" t="s">
        <v>34</v>
      </c>
      <c r="D379" s="1" t="s">
        <v>45</v>
      </c>
      <c r="E379" s="1">
        <v>15</v>
      </c>
      <c r="F379" s="1">
        <v>22693</v>
      </c>
      <c r="G379" s="1">
        <v>12</v>
      </c>
      <c r="H379" s="2">
        <v>46074</v>
      </c>
      <c r="I379" s="2">
        <v>46080</v>
      </c>
      <c r="J379" s="1" t="s">
        <v>51</v>
      </c>
      <c r="K379" s="1">
        <v>1378</v>
      </c>
    </row>
    <row r="380" spans="1:11" x14ac:dyDescent="0.3">
      <c r="A380" s="1" t="s">
        <v>47</v>
      </c>
      <c r="B380" s="1" t="s">
        <v>17</v>
      </c>
      <c r="C380" s="1" t="s">
        <v>13</v>
      </c>
      <c r="D380" s="1" t="s">
        <v>14</v>
      </c>
      <c r="E380" s="1">
        <v>11</v>
      </c>
      <c r="F380" s="1">
        <v>136</v>
      </c>
      <c r="G380" s="1">
        <v>15</v>
      </c>
      <c r="H380" s="2">
        <v>46106</v>
      </c>
      <c r="I380" s="2">
        <v>46107</v>
      </c>
      <c r="J380" s="1" t="s">
        <v>20</v>
      </c>
      <c r="K380" s="1">
        <v>1379</v>
      </c>
    </row>
    <row r="381" spans="1:11" x14ac:dyDescent="0.3">
      <c r="A381" s="1" t="s">
        <v>52</v>
      </c>
      <c r="B381" s="1" t="s">
        <v>43</v>
      </c>
      <c r="C381" s="1" t="s">
        <v>13</v>
      </c>
      <c r="D381" s="1" t="s">
        <v>53</v>
      </c>
      <c r="E381" s="1">
        <v>3</v>
      </c>
      <c r="F381" s="1">
        <v>412</v>
      </c>
      <c r="G381" s="1">
        <v>7</v>
      </c>
      <c r="H381" s="2">
        <v>46128</v>
      </c>
      <c r="I381" s="2">
        <v>46138</v>
      </c>
      <c r="J381" s="1" t="s">
        <v>24</v>
      </c>
      <c r="K381" s="1">
        <v>1380</v>
      </c>
    </row>
    <row r="382" spans="1:11" x14ac:dyDescent="0.3">
      <c r="A382" s="1" t="s">
        <v>55</v>
      </c>
      <c r="B382" s="1" t="s">
        <v>33</v>
      </c>
      <c r="C382" s="1" t="s">
        <v>18</v>
      </c>
      <c r="D382" s="1" t="s">
        <v>28</v>
      </c>
      <c r="E382" s="1">
        <v>5</v>
      </c>
      <c r="F382" s="1">
        <v>7484</v>
      </c>
      <c r="G382" s="1">
        <v>2</v>
      </c>
      <c r="H382" s="2">
        <v>46089</v>
      </c>
      <c r="I382" s="2">
        <v>46093</v>
      </c>
      <c r="J382" s="1" t="s">
        <v>20</v>
      </c>
      <c r="K382" s="1">
        <v>1381</v>
      </c>
    </row>
    <row r="383" spans="1:11" x14ac:dyDescent="0.3">
      <c r="A383" s="1" t="s">
        <v>49</v>
      </c>
      <c r="B383" s="1" t="s">
        <v>33</v>
      </c>
      <c r="C383" s="1" t="s">
        <v>34</v>
      </c>
      <c r="D383" s="1" t="s">
        <v>60</v>
      </c>
      <c r="E383" s="1">
        <v>11</v>
      </c>
      <c r="F383" s="1">
        <v>36198</v>
      </c>
      <c r="G383" s="1">
        <v>0</v>
      </c>
      <c r="H383" s="2">
        <v>46130</v>
      </c>
      <c r="I383" s="2">
        <v>46134</v>
      </c>
      <c r="J383" s="1" t="s">
        <v>15</v>
      </c>
      <c r="K383" s="1">
        <v>1382</v>
      </c>
    </row>
    <row r="384" spans="1:11" x14ac:dyDescent="0.3">
      <c r="A384" s="1" t="s">
        <v>32</v>
      </c>
      <c r="B384" s="1" t="s">
        <v>12</v>
      </c>
      <c r="C384" s="1" t="s">
        <v>13</v>
      </c>
      <c r="D384" s="1" t="s">
        <v>53</v>
      </c>
      <c r="E384" s="1">
        <v>14</v>
      </c>
      <c r="F384" s="1">
        <v>334</v>
      </c>
      <c r="G384" s="1">
        <v>10</v>
      </c>
      <c r="H384" s="2">
        <v>46196</v>
      </c>
      <c r="I384" s="2">
        <v>46203</v>
      </c>
      <c r="J384" s="1" t="s">
        <v>15</v>
      </c>
      <c r="K384" s="1">
        <v>1383</v>
      </c>
    </row>
    <row r="385" spans="1:11" x14ac:dyDescent="0.3">
      <c r="A385" s="1" t="s">
        <v>59</v>
      </c>
      <c r="B385" s="1" t="s">
        <v>12</v>
      </c>
      <c r="C385" s="1" t="s">
        <v>34</v>
      </c>
      <c r="D385" s="1" t="s">
        <v>39</v>
      </c>
      <c r="E385" s="1">
        <v>15</v>
      </c>
      <c r="F385" s="1">
        <v>38116</v>
      </c>
      <c r="G385" s="1">
        <v>0</v>
      </c>
      <c r="H385" s="2">
        <v>46074</v>
      </c>
      <c r="I385" s="2">
        <v>46078</v>
      </c>
      <c r="J385" s="1" t="s">
        <v>29</v>
      </c>
      <c r="K385" s="1">
        <v>1384</v>
      </c>
    </row>
    <row r="386" spans="1:11" x14ac:dyDescent="0.3">
      <c r="A386" s="1" t="s">
        <v>26</v>
      </c>
      <c r="B386" s="1" t="s">
        <v>33</v>
      </c>
      <c r="C386" s="1" t="s">
        <v>34</v>
      </c>
      <c r="D386" s="1" t="s">
        <v>39</v>
      </c>
      <c r="E386" s="1">
        <v>12</v>
      </c>
      <c r="F386" s="1">
        <v>61360</v>
      </c>
      <c r="G386" s="1">
        <v>10</v>
      </c>
      <c r="H386" s="2">
        <v>46048</v>
      </c>
      <c r="I386" s="2">
        <v>46053</v>
      </c>
      <c r="J386" s="1" t="s">
        <v>51</v>
      </c>
      <c r="K386" s="1">
        <v>1385</v>
      </c>
    </row>
    <row r="387" spans="1:11" x14ac:dyDescent="0.3">
      <c r="A387" s="1" t="s">
        <v>27</v>
      </c>
      <c r="B387" s="1" t="s">
        <v>31</v>
      </c>
      <c r="C387" s="1" t="s">
        <v>18</v>
      </c>
      <c r="D387" s="1" t="s">
        <v>28</v>
      </c>
      <c r="E387" s="1">
        <v>9</v>
      </c>
      <c r="F387" s="1">
        <v>7509</v>
      </c>
      <c r="G387" s="1">
        <v>5</v>
      </c>
      <c r="H387" s="2">
        <v>46162</v>
      </c>
      <c r="I387" s="2">
        <v>46171</v>
      </c>
      <c r="J387" s="1" t="s">
        <v>51</v>
      </c>
      <c r="K387" s="1">
        <v>1386</v>
      </c>
    </row>
    <row r="388" spans="1:11" x14ac:dyDescent="0.3">
      <c r="A388" s="1" t="s">
        <v>54</v>
      </c>
      <c r="B388" s="1" t="s">
        <v>33</v>
      </c>
      <c r="C388" s="1" t="s">
        <v>34</v>
      </c>
      <c r="D388" s="1" t="s">
        <v>35</v>
      </c>
      <c r="E388" s="1">
        <v>11</v>
      </c>
      <c r="F388" s="1">
        <v>56515</v>
      </c>
      <c r="G388" s="1">
        <v>5</v>
      </c>
      <c r="H388" s="2">
        <v>46102</v>
      </c>
      <c r="I388" s="2">
        <v>46112</v>
      </c>
      <c r="J388" s="1" t="s">
        <v>24</v>
      </c>
      <c r="K388" s="1">
        <v>1387</v>
      </c>
    </row>
    <row r="389" spans="1:11" x14ac:dyDescent="0.3">
      <c r="A389" s="1" t="s">
        <v>55</v>
      </c>
      <c r="B389" s="1" t="s">
        <v>31</v>
      </c>
      <c r="C389" s="1" t="s">
        <v>18</v>
      </c>
      <c r="D389" s="1" t="s">
        <v>28</v>
      </c>
      <c r="E389" s="1">
        <v>12</v>
      </c>
      <c r="F389" s="1">
        <v>11662</v>
      </c>
      <c r="G389" s="1">
        <v>12</v>
      </c>
      <c r="H389" s="2">
        <v>46094</v>
      </c>
      <c r="I389" s="2">
        <v>46096</v>
      </c>
      <c r="J389" s="1" t="s">
        <v>20</v>
      </c>
      <c r="K389" s="1">
        <v>1388</v>
      </c>
    </row>
    <row r="390" spans="1:11" x14ac:dyDescent="0.3">
      <c r="A390" s="1" t="s">
        <v>32</v>
      </c>
      <c r="B390" s="1" t="s">
        <v>12</v>
      </c>
      <c r="C390" s="1" t="s">
        <v>34</v>
      </c>
      <c r="D390" s="1" t="s">
        <v>41</v>
      </c>
      <c r="E390" s="1">
        <v>3</v>
      </c>
      <c r="F390" s="1">
        <v>56380</v>
      </c>
      <c r="G390" s="1">
        <v>5</v>
      </c>
      <c r="H390" s="2">
        <v>46044</v>
      </c>
      <c r="I390" s="2">
        <v>46048</v>
      </c>
      <c r="J390" s="1" t="s">
        <v>51</v>
      </c>
      <c r="K390" s="1">
        <v>1389</v>
      </c>
    </row>
    <row r="391" spans="1:11" x14ac:dyDescent="0.3">
      <c r="A391" s="1" t="s">
        <v>58</v>
      </c>
      <c r="B391" s="1" t="s">
        <v>43</v>
      </c>
      <c r="C391" s="1" t="s">
        <v>18</v>
      </c>
      <c r="D391" s="1" t="s">
        <v>19</v>
      </c>
      <c r="E391" s="1">
        <v>9</v>
      </c>
      <c r="F391" s="1">
        <v>7670</v>
      </c>
      <c r="G391" s="1">
        <v>0</v>
      </c>
      <c r="H391" s="2">
        <v>46076</v>
      </c>
      <c r="I391" s="2">
        <v>46081</v>
      </c>
      <c r="J391" s="1" t="s">
        <v>51</v>
      </c>
      <c r="K391" s="1">
        <v>1390</v>
      </c>
    </row>
    <row r="392" spans="1:11" x14ac:dyDescent="0.3">
      <c r="A392" s="1" t="s">
        <v>30</v>
      </c>
      <c r="B392" s="1" t="s">
        <v>31</v>
      </c>
      <c r="C392" s="1" t="s">
        <v>34</v>
      </c>
      <c r="D392" s="1" t="s">
        <v>35</v>
      </c>
      <c r="E392" s="1">
        <v>5</v>
      </c>
      <c r="F392" s="1">
        <v>65270</v>
      </c>
      <c r="G392" s="1">
        <v>5</v>
      </c>
      <c r="H392" s="2">
        <v>46100</v>
      </c>
      <c r="I392" s="2">
        <v>46103</v>
      </c>
      <c r="J392" s="1" t="s">
        <v>24</v>
      </c>
      <c r="K392" s="1">
        <v>1391</v>
      </c>
    </row>
    <row r="393" spans="1:11" x14ac:dyDescent="0.3">
      <c r="A393" s="1" t="s">
        <v>29</v>
      </c>
      <c r="B393" s="1" t="s">
        <v>43</v>
      </c>
      <c r="C393" s="1" t="s">
        <v>34</v>
      </c>
      <c r="D393" s="1" t="s">
        <v>35</v>
      </c>
      <c r="E393" s="1">
        <v>13</v>
      </c>
      <c r="F393" s="1">
        <v>23903</v>
      </c>
      <c r="G393" s="1">
        <v>5</v>
      </c>
      <c r="H393" s="2">
        <v>46124</v>
      </c>
      <c r="I393" s="2">
        <v>46125</v>
      </c>
      <c r="J393" s="1" t="s">
        <v>29</v>
      </c>
      <c r="K393" s="1">
        <v>1392</v>
      </c>
    </row>
    <row r="394" spans="1:11" x14ac:dyDescent="0.3">
      <c r="A394" s="1" t="s">
        <v>30</v>
      </c>
      <c r="B394" s="1" t="s">
        <v>25</v>
      </c>
      <c r="C394" s="1" t="s">
        <v>34</v>
      </c>
      <c r="D394" s="1" t="s">
        <v>45</v>
      </c>
      <c r="E394" s="1">
        <v>17</v>
      </c>
      <c r="F394" s="1">
        <v>30351</v>
      </c>
      <c r="G394" s="1">
        <v>15</v>
      </c>
      <c r="H394" s="2">
        <v>46047</v>
      </c>
      <c r="I394" s="2">
        <v>46051</v>
      </c>
      <c r="J394" s="1" t="s">
        <v>51</v>
      </c>
      <c r="K394" s="1">
        <v>1393</v>
      </c>
    </row>
    <row r="395" spans="1:11" x14ac:dyDescent="0.3">
      <c r="A395" s="1" t="s">
        <v>54</v>
      </c>
      <c r="B395" s="1" t="s">
        <v>12</v>
      </c>
      <c r="C395" s="1" t="s">
        <v>13</v>
      </c>
      <c r="D395" s="1" t="s">
        <v>14</v>
      </c>
      <c r="E395" s="1">
        <v>10</v>
      </c>
      <c r="F395" s="1">
        <v>138</v>
      </c>
      <c r="G395" s="1">
        <v>2</v>
      </c>
      <c r="H395" s="2">
        <v>46056</v>
      </c>
      <c r="I395" s="2">
        <v>46057</v>
      </c>
      <c r="J395" s="1" t="s">
        <v>15</v>
      </c>
      <c r="K395" s="1">
        <v>1394</v>
      </c>
    </row>
    <row r="396" spans="1:11" x14ac:dyDescent="0.3">
      <c r="A396" s="1" t="s">
        <v>54</v>
      </c>
      <c r="B396" s="1" t="s">
        <v>33</v>
      </c>
      <c r="C396" s="1" t="s">
        <v>18</v>
      </c>
      <c r="D396" s="1" t="s">
        <v>44</v>
      </c>
      <c r="E396" s="1">
        <v>18</v>
      </c>
      <c r="F396" s="1">
        <v>10402</v>
      </c>
      <c r="G396" s="1">
        <v>15</v>
      </c>
      <c r="H396" s="2">
        <v>46062</v>
      </c>
      <c r="I396" s="2">
        <v>46067</v>
      </c>
      <c r="J396" s="1" t="s">
        <v>29</v>
      </c>
      <c r="K396" s="1">
        <v>1395</v>
      </c>
    </row>
    <row r="397" spans="1:11" x14ac:dyDescent="0.3">
      <c r="A397" s="1" t="s">
        <v>21</v>
      </c>
      <c r="B397" s="1" t="s">
        <v>38</v>
      </c>
      <c r="C397" s="1" t="s">
        <v>13</v>
      </c>
      <c r="D397" s="1" t="s">
        <v>53</v>
      </c>
      <c r="E397" s="1">
        <v>8</v>
      </c>
      <c r="F397" s="1">
        <v>54</v>
      </c>
      <c r="G397" s="1">
        <v>15</v>
      </c>
      <c r="H397" s="2">
        <v>46031</v>
      </c>
      <c r="I397" s="2">
        <v>46035</v>
      </c>
      <c r="J397" s="1" t="s">
        <v>15</v>
      </c>
      <c r="K397" s="1">
        <v>1396</v>
      </c>
    </row>
    <row r="398" spans="1:11" x14ac:dyDescent="0.3">
      <c r="A398" s="1" t="s">
        <v>21</v>
      </c>
      <c r="B398" s="1" t="s">
        <v>33</v>
      </c>
      <c r="C398" s="1" t="s">
        <v>18</v>
      </c>
      <c r="D398" s="1" t="s">
        <v>23</v>
      </c>
      <c r="E398" s="1">
        <v>1</v>
      </c>
      <c r="F398" s="1">
        <v>8948</v>
      </c>
      <c r="G398" s="1">
        <v>5</v>
      </c>
      <c r="H398" s="2">
        <v>46194</v>
      </c>
      <c r="I398" s="2">
        <v>46201</v>
      </c>
      <c r="J398" s="1" t="s">
        <v>51</v>
      </c>
      <c r="K398" s="1">
        <v>1397</v>
      </c>
    </row>
    <row r="399" spans="1:11" x14ac:dyDescent="0.3">
      <c r="A399" s="1" t="s">
        <v>58</v>
      </c>
      <c r="B399" s="1" t="s">
        <v>43</v>
      </c>
      <c r="C399" s="1" t="s">
        <v>34</v>
      </c>
      <c r="D399" s="1" t="s">
        <v>39</v>
      </c>
      <c r="E399" s="1">
        <v>12</v>
      </c>
      <c r="F399" s="1">
        <v>10668</v>
      </c>
      <c r="G399" s="1">
        <v>0</v>
      </c>
      <c r="H399" s="2">
        <v>46170</v>
      </c>
      <c r="I399" s="2">
        <v>46176</v>
      </c>
      <c r="J399" s="1" t="s">
        <v>15</v>
      </c>
      <c r="K399" s="1">
        <v>1398</v>
      </c>
    </row>
    <row r="400" spans="1:11" x14ac:dyDescent="0.3">
      <c r="A400" s="1" t="s">
        <v>48</v>
      </c>
      <c r="B400" s="1" t="s">
        <v>31</v>
      </c>
      <c r="C400" s="1" t="s">
        <v>13</v>
      </c>
      <c r="D400" s="1" t="s">
        <v>14</v>
      </c>
      <c r="E400" s="1">
        <v>15</v>
      </c>
      <c r="F400" s="1">
        <v>87</v>
      </c>
      <c r="G400" s="1">
        <v>15</v>
      </c>
      <c r="H400" s="2">
        <v>46089</v>
      </c>
      <c r="I400" s="2">
        <v>46093</v>
      </c>
      <c r="J400" s="1" t="s">
        <v>20</v>
      </c>
      <c r="K400" s="1">
        <v>1399</v>
      </c>
    </row>
    <row r="401" spans="1:11" x14ac:dyDescent="0.3">
      <c r="A401" s="1" t="s">
        <v>40</v>
      </c>
      <c r="B401" s="1" t="s">
        <v>22</v>
      </c>
      <c r="C401" s="1" t="s">
        <v>34</v>
      </c>
      <c r="D401" s="1" t="s">
        <v>35</v>
      </c>
      <c r="E401" s="1">
        <v>13</v>
      </c>
      <c r="F401" s="1">
        <v>52411</v>
      </c>
      <c r="G401" s="1">
        <v>15</v>
      </c>
      <c r="H401" s="2">
        <v>46090</v>
      </c>
      <c r="I401" s="2">
        <v>46092</v>
      </c>
      <c r="J401" s="1" t="s">
        <v>20</v>
      </c>
      <c r="K401" s="1">
        <v>1400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401"/>
  <sheetViews>
    <sheetView workbookViewId="0"/>
  </sheetViews>
  <sheetFormatPr defaultColWidth="14.44140625" defaultRowHeight="15" customHeight="1" x14ac:dyDescent="0.3"/>
  <sheetData>
    <row r="1" spans="1:12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0</v>
      </c>
      <c r="L1" s="1" t="s">
        <v>67</v>
      </c>
    </row>
    <row r="2" spans="1:12" x14ac:dyDescent="0.3">
      <c r="A2" s="1" t="s">
        <v>11</v>
      </c>
      <c r="B2" s="1" t="s">
        <v>12</v>
      </c>
      <c r="C2" s="1" t="s">
        <v>13</v>
      </c>
      <c r="D2" s="1" t="s">
        <v>14</v>
      </c>
      <c r="E2" s="1">
        <v>3</v>
      </c>
      <c r="F2" s="1">
        <v>222</v>
      </c>
      <c r="G2" s="1">
        <v>15</v>
      </c>
      <c r="H2" s="2">
        <v>46081</v>
      </c>
      <c r="I2" s="2">
        <v>46083</v>
      </c>
      <c r="J2" s="1" t="s">
        <v>15</v>
      </c>
      <c r="K2" s="1">
        <v>1001</v>
      </c>
      <c r="L2" s="1" t="str">
        <f t="shared" ref="L2:L256" si="0">IF(E2&gt;=15,"BULK ORDER",IF(E2&gt;=5,"MEDIUM ORDER","REGULAR ORDER"))</f>
        <v>REGULAR ORDER</v>
      </c>
    </row>
    <row r="3" spans="1:12" x14ac:dyDescent="0.3">
      <c r="A3" s="1" t="s">
        <v>16</v>
      </c>
      <c r="B3" s="1" t="s">
        <v>17</v>
      </c>
      <c r="C3" s="1" t="s">
        <v>18</v>
      </c>
      <c r="D3" s="1" t="s">
        <v>19</v>
      </c>
      <c r="E3" s="1">
        <v>7</v>
      </c>
      <c r="F3" s="1">
        <v>8448</v>
      </c>
      <c r="G3" s="1">
        <v>12</v>
      </c>
      <c r="H3" s="2">
        <v>46174</v>
      </c>
      <c r="I3" s="2">
        <v>46179</v>
      </c>
      <c r="J3" s="1" t="s">
        <v>20</v>
      </c>
      <c r="K3" s="1">
        <v>1002</v>
      </c>
      <c r="L3" s="1" t="str">
        <f t="shared" si="0"/>
        <v>MEDIUM ORDER</v>
      </c>
    </row>
    <row r="4" spans="1:12" x14ac:dyDescent="0.3">
      <c r="A4" s="1" t="s">
        <v>21</v>
      </c>
      <c r="B4" s="1" t="s">
        <v>22</v>
      </c>
      <c r="C4" s="1" t="s">
        <v>18</v>
      </c>
      <c r="D4" s="1" t="s">
        <v>23</v>
      </c>
      <c r="E4" s="1">
        <v>20</v>
      </c>
      <c r="F4" s="1">
        <v>2123</v>
      </c>
      <c r="G4" s="1">
        <v>15</v>
      </c>
      <c r="H4" s="2">
        <v>46183</v>
      </c>
      <c r="I4" s="2">
        <v>46192</v>
      </c>
      <c r="J4" s="1" t="s">
        <v>24</v>
      </c>
      <c r="K4" s="1">
        <v>1003</v>
      </c>
      <c r="L4" s="1" t="str">
        <f t="shared" si="0"/>
        <v>BULK ORDER</v>
      </c>
    </row>
    <row r="5" spans="1:12" x14ac:dyDescent="0.3">
      <c r="A5" s="1" t="s">
        <v>16</v>
      </c>
      <c r="B5" s="1" t="s">
        <v>25</v>
      </c>
      <c r="C5" s="1" t="s">
        <v>18</v>
      </c>
      <c r="D5" s="1" t="s">
        <v>23</v>
      </c>
      <c r="E5" s="1">
        <v>16</v>
      </c>
      <c r="F5" s="1">
        <v>11739</v>
      </c>
      <c r="G5" s="1">
        <v>12</v>
      </c>
      <c r="H5" s="2">
        <v>46034</v>
      </c>
      <c r="I5" s="2">
        <v>46040</v>
      </c>
      <c r="J5" s="1" t="s">
        <v>20</v>
      </c>
      <c r="K5" s="1">
        <v>1004</v>
      </c>
      <c r="L5" s="1" t="str">
        <f t="shared" si="0"/>
        <v>BULK ORDER</v>
      </c>
    </row>
    <row r="6" spans="1:12" x14ac:dyDescent="0.3">
      <c r="A6" s="1" t="s">
        <v>26</v>
      </c>
      <c r="B6" s="1" t="s">
        <v>17</v>
      </c>
      <c r="C6" s="1" t="s">
        <v>13</v>
      </c>
      <c r="D6" s="1" t="s">
        <v>14</v>
      </c>
      <c r="E6" s="1">
        <v>18</v>
      </c>
      <c r="F6" s="1">
        <v>70</v>
      </c>
      <c r="G6" s="1">
        <v>0</v>
      </c>
      <c r="H6" s="2">
        <v>46171</v>
      </c>
      <c r="I6" s="2">
        <v>46179</v>
      </c>
      <c r="J6" s="1" t="s">
        <v>24</v>
      </c>
      <c r="K6" s="1">
        <v>1005</v>
      </c>
      <c r="L6" s="1" t="str">
        <f t="shared" si="0"/>
        <v>BULK ORDER</v>
      </c>
    </row>
    <row r="7" spans="1:12" x14ac:dyDescent="0.3">
      <c r="A7" s="1" t="s">
        <v>27</v>
      </c>
      <c r="B7" s="1" t="s">
        <v>25</v>
      </c>
      <c r="C7" s="1" t="s">
        <v>18</v>
      </c>
      <c r="D7" s="1" t="s">
        <v>28</v>
      </c>
      <c r="E7" s="1">
        <v>3</v>
      </c>
      <c r="F7" s="1">
        <v>2714</v>
      </c>
      <c r="G7" s="1">
        <v>5</v>
      </c>
      <c r="H7" s="2">
        <v>46055</v>
      </c>
      <c r="I7" s="2">
        <v>46062</v>
      </c>
      <c r="J7" s="1" t="s">
        <v>29</v>
      </c>
      <c r="K7" s="1">
        <v>1006</v>
      </c>
      <c r="L7" s="1" t="str">
        <f t="shared" si="0"/>
        <v>REGULAR ORDER</v>
      </c>
    </row>
    <row r="8" spans="1:12" x14ac:dyDescent="0.3">
      <c r="A8" s="1" t="s">
        <v>21</v>
      </c>
      <c r="B8" s="1" t="s">
        <v>22</v>
      </c>
      <c r="C8" s="1" t="s">
        <v>13</v>
      </c>
      <c r="D8" s="1" t="s">
        <v>14</v>
      </c>
      <c r="E8" s="1">
        <v>19</v>
      </c>
      <c r="F8" s="1">
        <v>149</v>
      </c>
      <c r="G8" s="1">
        <v>7</v>
      </c>
      <c r="H8" s="2">
        <v>46162</v>
      </c>
      <c r="I8" s="2">
        <v>46168</v>
      </c>
      <c r="J8" s="1" t="s">
        <v>24</v>
      </c>
      <c r="K8" s="1">
        <v>1007</v>
      </c>
      <c r="L8" s="1" t="str">
        <f t="shared" si="0"/>
        <v>BULK ORDER</v>
      </c>
    </row>
    <row r="9" spans="1:12" x14ac:dyDescent="0.3">
      <c r="A9" s="1" t="s">
        <v>30</v>
      </c>
      <c r="B9" s="1" t="s">
        <v>31</v>
      </c>
      <c r="C9" s="1" t="s">
        <v>18</v>
      </c>
      <c r="D9" s="1" t="s">
        <v>28</v>
      </c>
      <c r="E9" s="1">
        <v>1</v>
      </c>
      <c r="F9" s="1">
        <v>1134</v>
      </c>
      <c r="G9" s="1">
        <v>0</v>
      </c>
      <c r="H9" s="2">
        <v>46033</v>
      </c>
      <c r="I9" s="2">
        <v>46041</v>
      </c>
      <c r="J9" s="1" t="s">
        <v>24</v>
      </c>
      <c r="K9" s="1">
        <v>1008</v>
      </c>
      <c r="L9" s="1" t="str">
        <f t="shared" si="0"/>
        <v>REGULAR ORDER</v>
      </c>
    </row>
    <row r="10" spans="1:12" x14ac:dyDescent="0.3">
      <c r="A10" s="1" t="s">
        <v>32</v>
      </c>
      <c r="B10" s="1" t="s">
        <v>33</v>
      </c>
      <c r="C10" s="1" t="s">
        <v>34</v>
      </c>
      <c r="D10" s="1" t="s">
        <v>35</v>
      </c>
      <c r="E10" s="1">
        <v>10</v>
      </c>
      <c r="F10" s="1">
        <v>40671</v>
      </c>
      <c r="G10" s="1">
        <v>12</v>
      </c>
      <c r="H10" s="2">
        <v>46183</v>
      </c>
      <c r="I10" s="2">
        <v>46193</v>
      </c>
      <c r="J10" s="1" t="s">
        <v>24</v>
      </c>
      <c r="K10" s="1">
        <v>1009</v>
      </c>
      <c r="L10" s="1" t="str">
        <f t="shared" si="0"/>
        <v>MEDIUM ORDER</v>
      </c>
    </row>
    <row r="11" spans="1:12" x14ac:dyDescent="0.3">
      <c r="A11" s="1" t="s">
        <v>11</v>
      </c>
      <c r="B11" s="1" t="s">
        <v>17</v>
      </c>
      <c r="C11" s="1" t="s">
        <v>13</v>
      </c>
      <c r="D11" s="1" t="s">
        <v>36</v>
      </c>
      <c r="E11" s="1">
        <v>14</v>
      </c>
      <c r="F11" s="1">
        <v>470</v>
      </c>
      <c r="G11" s="1">
        <v>5</v>
      </c>
      <c r="H11" s="2">
        <v>46062</v>
      </c>
      <c r="I11" s="2">
        <v>46068</v>
      </c>
      <c r="J11" s="1" t="s">
        <v>15</v>
      </c>
      <c r="K11" s="1">
        <v>1010</v>
      </c>
      <c r="L11" s="1" t="str">
        <f t="shared" si="0"/>
        <v>MEDIUM ORDER</v>
      </c>
    </row>
    <row r="12" spans="1:12" x14ac:dyDescent="0.3">
      <c r="A12" s="1" t="s">
        <v>11</v>
      </c>
      <c r="B12" s="1" t="s">
        <v>17</v>
      </c>
      <c r="C12" s="1" t="s">
        <v>13</v>
      </c>
      <c r="D12" s="1" t="s">
        <v>37</v>
      </c>
      <c r="E12" s="1">
        <v>14</v>
      </c>
      <c r="F12" s="1">
        <v>88</v>
      </c>
      <c r="G12" s="1">
        <v>12</v>
      </c>
      <c r="H12" s="2">
        <v>46161</v>
      </c>
      <c r="I12" s="2">
        <v>46163</v>
      </c>
      <c r="J12" s="1" t="s">
        <v>15</v>
      </c>
      <c r="K12" s="1">
        <v>1011</v>
      </c>
      <c r="L12" s="1" t="str">
        <f t="shared" si="0"/>
        <v>MEDIUM ORDER</v>
      </c>
    </row>
    <row r="13" spans="1:12" x14ac:dyDescent="0.3">
      <c r="A13" s="1" t="s">
        <v>26</v>
      </c>
      <c r="B13" s="1" t="s">
        <v>38</v>
      </c>
      <c r="C13" s="1" t="s">
        <v>34</v>
      </c>
      <c r="D13" s="1" t="s">
        <v>39</v>
      </c>
      <c r="E13" s="1">
        <v>3</v>
      </c>
      <c r="F13" s="1">
        <v>64615</v>
      </c>
      <c r="G13" s="1">
        <v>10</v>
      </c>
      <c r="H13" s="2">
        <v>46086</v>
      </c>
      <c r="I13" s="2">
        <v>46095</v>
      </c>
      <c r="J13" s="1" t="s">
        <v>29</v>
      </c>
      <c r="K13" s="1">
        <v>1012</v>
      </c>
      <c r="L13" s="1" t="str">
        <f t="shared" si="0"/>
        <v>REGULAR ORDER</v>
      </c>
    </row>
    <row r="14" spans="1:12" x14ac:dyDescent="0.3">
      <c r="A14" s="1" t="s">
        <v>16</v>
      </c>
      <c r="B14" s="1" t="s">
        <v>31</v>
      </c>
      <c r="C14" s="1" t="s">
        <v>13</v>
      </c>
      <c r="D14" s="1" t="s">
        <v>36</v>
      </c>
      <c r="E14" s="1">
        <v>17</v>
      </c>
      <c r="F14" s="1">
        <v>459</v>
      </c>
      <c r="G14" s="1">
        <v>12</v>
      </c>
      <c r="H14" s="2">
        <v>46095</v>
      </c>
      <c r="I14" s="2">
        <v>46105</v>
      </c>
      <c r="J14" s="1" t="s">
        <v>29</v>
      </c>
      <c r="K14" s="1">
        <v>1013</v>
      </c>
      <c r="L14" s="1" t="str">
        <f t="shared" si="0"/>
        <v>BULK ORDER</v>
      </c>
    </row>
    <row r="15" spans="1:12" x14ac:dyDescent="0.3">
      <c r="A15" s="1" t="s">
        <v>40</v>
      </c>
      <c r="B15" s="1" t="s">
        <v>17</v>
      </c>
      <c r="C15" s="1" t="s">
        <v>34</v>
      </c>
      <c r="D15" s="1" t="s">
        <v>41</v>
      </c>
      <c r="E15" s="1">
        <v>19</v>
      </c>
      <c r="F15" s="1">
        <v>53683</v>
      </c>
      <c r="G15" s="1">
        <v>12</v>
      </c>
      <c r="H15" s="2">
        <v>46129</v>
      </c>
      <c r="I15" s="2">
        <v>46134</v>
      </c>
      <c r="J15" s="1" t="s">
        <v>29</v>
      </c>
      <c r="K15" s="1">
        <v>1014</v>
      </c>
      <c r="L15" s="1" t="str">
        <f t="shared" si="0"/>
        <v>BULK ORDER</v>
      </c>
    </row>
    <row r="16" spans="1:12" x14ac:dyDescent="0.3">
      <c r="A16" s="1" t="s">
        <v>42</v>
      </c>
      <c r="B16" s="1" t="s">
        <v>43</v>
      </c>
      <c r="C16" s="1" t="s">
        <v>18</v>
      </c>
      <c r="D16" s="1" t="s">
        <v>44</v>
      </c>
      <c r="E16" s="1">
        <v>11</v>
      </c>
      <c r="F16" s="1">
        <v>14511</v>
      </c>
      <c r="G16" s="1">
        <v>2</v>
      </c>
      <c r="H16" s="2">
        <v>46175</v>
      </c>
      <c r="I16" s="2">
        <v>46185</v>
      </c>
      <c r="J16" s="1" t="s">
        <v>20</v>
      </c>
      <c r="K16" s="1">
        <v>1015</v>
      </c>
      <c r="L16" s="1" t="str">
        <f t="shared" si="0"/>
        <v>MEDIUM ORDER</v>
      </c>
    </row>
    <row r="17" spans="1:12" x14ac:dyDescent="0.3">
      <c r="A17" s="1" t="s">
        <v>32</v>
      </c>
      <c r="B17" s="1" t="s">
        <v>33</v>
      </c>
      <c r="C17" s="1" t="s">
        <v>34</v>
      </c>
      <c r="D17" s="1" t="s">
        <v>45</v>
      </c>
      <c r="E17" s="1">
        <v>16</v>
      </c>
      <c r="F17" s="1">
        <v>30234</v>
      </c>
      <c r="G17" s="1">
        <v>15</v>
      </c>
      <c r="H17" s="2">
        <v>46137</v>
      </c>
      <c r="I17" s="2">
        <v>46140</v>
      </c>
      <c r="J17" s="1" t="s">
        <v>24</v>
      </c>
      <c r="K17" s="1">
        <v>1016</v>
      </c>
      <c r="L17" s="1" t="str">
        <f t="shared" si="0"/>
        <v>BULK ORDER</v>
      </c>
    </row>
    <row r="18" spans="1:12" x14ac:dyDescent="0.3">
      <c r="A18" s="1" t="s">
        <v>46</v>
      </c>
      <c r="B18" s="1" t="s">
        <v>38</v>
      </c>
      <c r="C18" s="1" t="s">
        <v>13</v>
      </c>
      <c r="D18" s="1" t="s">
        <v>36</v>
      </c>
      <c r="E18" s="1">
        <v>8</v>
      </c>
      <c r="F18" s="1">
        <v>179</v>
      </c>
      <c r="G18" s="1">
        <v>15</v>
      </c>
      <c r="H18" s="2">
        <v>46082</v>
      </c>
      <c r="I18" s="2">
        <v>46084</v>
      </c>
      <c r="J18" s="1" t="s">
        <v>15</v>
      </c>
      <c r="K18" s="1">
        <v>1017</v>
      </c>
      <c r="L18" s="1" t="str">
        <f t="shared" si="0"/>
        <v>MEDIUM ORDER</v>
      </c>
    </row>
    <row r="19" spans="1:12" x14ac:dyDescent="0.3">
      <c r="A19" s="1" t="s">
        <v>47</v>
      </c>
      <c r="B19" s="1" t="s">
        <v>25</v>
      </c>
      <c r="C19" s="1" t="s">
        <v>13</v>
      </c>
      <c r="D19" s="1" t="s">
        <v>14</v>
      </c>
      <c r="E19" s="1">
        <v>20</v>
      </c>
      <c r="F19" s="1">
        <v>301</v>
      </c>
      <c r="G19" s="1">
        <v>0</v>
      </c>
      <c r="H19" s="2">
        <v>46089</v>
      </c>
      <c r="I19" s="2">
        <v>46094</v>
      </c>
      <c r="J19" s="1" t="s">
        <v>29</v>
      </c>
      <c r="K19" s="1">
        <v>1018</v>
      </c>
      <c r="L19" s="1" t="str">
        <f t="shared" si="0"/>
        <v>BULK ORDER</v>
      </c>
    </row>
    <row r="20" spans="1:12" x14ac:dyDescent="0.3">
      <c r="A20" s="1" t="s">
        <v>11</v>
      </c>
      <c r="B20" s="1" t="s">
        <v>43</v>
      </c>
      <c r="C20" s="1" t="s">
        <v>34</v>
      </c>
      <c r="D20" s="1" t="s">
        <v>41</v>
      </c>
      <c r="E20" s="1">
        <v>18</v>
      </c>
      <c r="F20" s="1">
        <v>45652</v>
      </c>
      <c r="G20" s="1">
        <v>10</v>
      </c>
      <c r="H20" s="2">
        <v>46023</v>
      </c>
      <c r="I20" s="2">
        <v>46030</v>
      </c>
      <c r="J20" s="1" t="s">
        <v>20</v>
      </c>
      <c r="K20" s="1">
        <v>1019</v>
      </c>
      <c r="L20" s="1" t="str">
        <f t="shared" si="0"/>
        <v>BULK ORDER</v>
      </c>
    </row>
    <row r="21" spans="1:12" x14ac:dyDescent="0.3">
      <c r="A21" s="1" t="s">
        <v>46</v>
      </c>
      <c r="B21" s="1" t="s">
        <v>12</v>
      </c>
      <c r="C21" s="1" t="s">
        <v>18</v>
      </c>
      <c r="D21" s="1" t="s">
        <v>19</v>
      </c>
      <c r="E21" s="1">
        <v>5</v>
      </c>
      <c r="F21" s="1">
        <v>4582</v>
      </c>
      <c r="G21" s="1">
        <v>5</v>
      </c>
      <c r="H21" s="2">
        <v>46078</v>
      </c>
      <c r="I21" s="2">
        <v>46083</v>
      </c>
      <c r="J21" s="1" t="s">
        <v>15</v>
      </c>
      <c r="K21" s="1">
        <v>1020</v>
      </c>
      <c r="L21" s="1" t="str">
        <f t="shared" si="0"/>
        <v>MEDIUM ORDER</v>
      </c>
    </row>
    <row r="22" spans="1:12" x14ac:dyDescent="0.3">
      <c r="A22" s="1" t="s">
        <v>48</v>
      </c>
      <c r="B22" s="1" t="s">
        <v>43</v>
      </c>
      <c r="C22" s="1" t="s">
        <v>13</v>
      </c>
      <c r="D22" s="1" t="s">
        <v>14</v>
      </c>
      <c r="E22" s="1">
        <v>3</v>
      </c>
      <c r="F22" s="1">
        <v>484</v>
      </c>
      <c r="G22" s="1">
        <v>2</v>
      </c>
      <c r="H22" s="2">
        <v>46144</v>
      </c>
      <c r="I22" s="2">
        <v>46148</v>
      </c>
      <c r="J22" s="1" t="s">
        <v>24</v>
      </c>
      <c r="K22" s="1">
        <v>1021</v>
      </c>
      <c r="L22" s="1" t="str">
        <f t="shared" si="0"/>
        <v>REGULAR ORDER</v>
      </c>
    </row>
    <row r="23" spans="1:12" x14ac:dyDescent="0.3">
      <c r="A23" s="1" t="s">
        <v>26</v>
      </c>
      <c r="B23" s="1" t="s">
        <v>17</v>
      </c>
      <c r="C23" s="1" t="s">
        <v>34</v>
      </c>
      <c r="D23" s="1" t="s">
        <v>45</v>
      </c>
      <c r="E23" s="1">
        <v>15</v>
      </c>
      <c r="F23" s="1">
        <v>11596</v>
      </c>
      <c r="G23" s="1">
        <v>0</v>
      </c>
      <c r="H23" s="2">
        <v>46117</v>
      </c>
      <c r="I23" s="2">
        <v>46121</v>
      </c>
      <c r="J23" s="1" t="s">
        <v>29</v>
      </c>
      <c r="K23" s="1">
        <v>1022</v>
      </c>
      <c r="L23" s="1" t="str">
        <f t="shared" si="0"/>
        <v>BULK ORDER</v>
      </c>
    </row>
    <row r="24" spans="1:12" x14ac:dyDescent="0.3">
      <c r="A24" s="1" t="s">
        <v>40</v>
      </c>
      <c r="B24" s="1" t="s">
        <v>12</v>
      </c>
      <c r="C24" s="1" t="s">
        <v>18</v>
      </c>
      <c r="D24" s="1" t="s">
        <v>44</v>
      </c>
      <c r="E24" s="1">
        <v>15</v>
      </c>
      <c r="F24" s="1">
        <v>3506</v>
      </c>
      <c r="G24" s="1">
        <v>2</v>
      </c>
      <c r="H24" s="2">
        <v>46193</v>
      </c>
      <c r="I24" s="2">
        <v>46194</v>
      </c>
      <c r="J24" s="1" t="s">
        <v>29</v>
      </c>
      <c r="K24" s="1">
        <v>1023</v>
      </c>
      <c r="L24" s="1" t="str">
        <f t="shared" si="0"/>
        <v>BULK ORDER</v>
      </c>
    </row>
    <row r="25" spans="1:12" x14ac:dyDescent="0.3">
      <c r="A25" s="1" t="s">
        <v>32</v>
      </c>
      <c r="B25" s="1" t="s">
        <v>38</v>
      </c>
      <c r="C25" s="1" t="s">
        <v>34</v>
      </c>
      <c r="D25" s="1" t="s">
        <v>41</v>
      </c>
      <c r="E25" s="1">
        <v>12</v>
      </c>
      <c r="F25" s="1">
        <v>1682</v>
      </c>
      <c r="G25" s="1">
        <v>5</v>
      </c>
      <c r="H25" s="2">
        <v>46161</v>
      </c>
      <c r="I25" s="2">
        <v>46165</v>
      </c>
      <c r="J25" s="1" t="s">
        <v>15</v>
      </c>
      <c r="K25" s="1">
        <v>1024</v>
      </c>
      <c r="L25" s="1" t="str">
        <f t="shared" si="0"/>
        <v>MEDIUM ORDER</v>
      </c>
    </row>
    <row r="26" spans="1:12" x14ac:dyDescent="0.3">
      <c r="A26" s="1" t="s">
        <v>21</v>
      </c>
      <c r="B26" s="1" t="s">
        <v>12</v>
      </c>
      <c r="C26" s="1" t="s">
        <v>18</v>
      </c>
      <c r="D26" s="1" t="s">
        <v>19</v>
      </c>
      <c r="E26" s="1">
        <v>18</v>
      </c>
      <c r="F26" s="1">
        <v>7924</v>
      </c>
      <c r="G26" s="1">
        <v>0</v>
      </c>
      <c r="H26" s="2">
        <v>46175</v>
      </c>
      <c r="I26" s="2">
        <v>46181</v>
      </c>
      <c r="J26" s="1" t="s">
        <v>15</v>
      </c>
      <c r="K26" s="1">
        <v>1025</v>
      </c>
      <c r="L26" s="1" t="str">
        <f t="shared" si="0"/>
        <v>BULK ORDER</v>
      </c>
    </row>
    <row r="27" spans="1:12" x14ac:dyDescent="0.3">
      <c r="A27" s="1" t="s">
        <v>49</v>
      </c>
      <c r="B27" s="1" t="s">
        <v>31</v>
      </c>
      <c r="C27" s="1" t="s">
        <v>13</v>
      </c>
      <c r="D27" s="1" t="s">
        <v>50</v>
      </c>
      <c r="E27" s="1">
        <v>17</v>
      </c>
      <c r="F27" s="1">
        <v>323</v>
      </c>
      <c r="G27" s="1">
        <v>10</v>
      </c>
      <c r="H27" s="2">
        <v>46039</v>
      </c>
      <c r="I27" s="2">
        <v>46040</v>
      </c>
      <c r="J27" s="1" t="s">
        <v>29</v>
      </c>
      <c r="K27" s="1">
        <v>1026</v>
      </c>
      <c r="L27" s="1" t="str">
        <f t="shared" si="0"/>
        <v>BULK ORDER</v>
      </c>
    </row>
    <row r="28" spans="1:12" x14ac:dyDescent="0.3">
      <c r="A28" s="1" t="s">
        <v>29</v>
      </c>
      <c r="B28" s="1" t="s">
        <v>43</v>
      </c>
      <c r="C28" s="1" t="s">
        <v>13</v>
      </c>
      <c r="D28" s="1" t="s">
        <v>50</v>
      </c>
      <c r="E28" s="1">
        <v>4</v>
      </c>
      <c r="F28" s="1">
        <v>264</v>
      </c>
      <c r="G28" s="1">
        <v>0</v>
      </c>
      <c r="H28" s="2">
        <v>46155</v>
      </c>
      <c r="I28" s="2">
        <v>46161</v>
      </c>
      <c r="J28" s="1" t="s">
        <v>51</v>
      </c>
      <c r="K28" s="1">
        <v>1027</v>
      </c>
      <c r="L28" s="1" t="str">
        <f t="shared" si="0"/>
        <v>REGULAR ORDER</v>
      </c>
    </row>
    <row r="29" spans="1:12" x14ac:dyDescent="0.3">
      <c r="A29" s="1" t="s">
        <v>47</v>
      </c>
      <c r="B29" s="1" t="s">
        <v>22</v>
      </c>
      <c r="C29" s="1" t="s">
        <v>13</v>
      </c>
      <c r="D29" s="1" t="s">
        <v>36</v>
      </c>
      <c r="E29" s="1">
        <v>13</v>
      </c>
      <c r="F29" s="1">
        <v>433</v>
      </c>
      <c r="G29" s="1">
        <v>2</v>
      </c>
      <c r="H29" s="2">
        <v>46116</v>
      </c>
      <c r="I29" s="2">
        <v>46121</v>
      </c>
      <c r="J29" s="1" t="s">
        <v>24</v>
      </c>
      <c r="K29" s="1">
        <v>1028</v>
      </c>
      <c r="L29" s="1" t="str">
        <f t="shared" si="0"/>
        <v>MEDIUM ORDER</v>
      </c>
    </row>
    <row r="30" spans="1:12" x14ac:dyDescent="0.3">
      <c r="A30" s="1" t="s">
        <v>30</v>
      </c>
      <c r="B30" s="1" t="s">
        <v>25</v>
      </c>
      <c r="C30" s="1" t="s">
        <v>13</v>
      </c>
      <c r="D30" s="1" t="s">
        <v>36</v>
      </c>
      <c r="E30" s="1">
        <v>18</v>
      </c>
      <c r="F30" s="1">
        <v>443</v>
      </c>
      <c r="G30" s="1">
        <v>5</v>
      </c>
      <c r="H30" s="2">
        <v>46046</v>
      </c>
      <c r="I30" s="2">
        <v>46054</v>
      </c>
      <c r="J30" s="1" t="s">
        <v>24</v>
      </c>
      <c r="K30" s="1">
        <v>1029</v>
      </c>
      <c r="L30" s="1" t="str">
        <f t="shared" si="0"/>
        <v>BULK ORDER</v>
      </c>
    </row>
    <row r="31" spans="1:12" x14ac:dyDescent="0.3">
      <c r="A31" s="1" t="s">
        <v>52</v>
      </c>
      <c r="B31" s="1" t="s">
        <v>12</v>
      </c>
      <c r="C31" s="1" t="s">
        <v>13</v>
      </c>
      <c r="D31" s="1" t="s">
        <v>53</v>
      </c>
      <c r="E31" s="1">
        <v>13</v>
      </c>
      <c r="F31" s="1">
        <v>336</v>
      </c>
      <c r="G31" s="1">
        <v>10</v>
      </c>
      <c r="H31" s="2">
        <v>46098</v>
      </c>
      <c r="I31" s="2">
        <v>46108</v>
      </c>
      <c r="J31" s="1" t="s">
        <v>15</v>
      </c>
      <c r="K31" s="1">
        <v>1030</v>
      </c>
      <c r="L31" s="1" t="str">
        <f t="shared" si="0"/>
        <v>MEDIUM ORDER</v>
      </c>
    </row>
    <row r="32" spans="1:12" x14ac:dyDescent="0.3">
      <c r="A32" s="1" t="s">
        <v>54</v>
      </c>
      <c r="B32" s="1" t="s">
        <v>31</v>
      </c>
      <c r="C32" s="1" t="s">
        <v>13</v>
      </c>
      <c r="D32" s="1" t="s">
        <v>53</v>
      </c>
      <c r="E32" s="1">
        <v>2</v>
      </c>
      <c r="F32" s="1">
        <v>184</v>
      </c>
      <c r="G32" s="1">
        <v>5</v>
      </c>
      <c r="H32" s="2">
        <v>46089</v>
      </c>
      <c r="I32" s="2">
        <v>46093</v>
      </c>
      <c r="J32" s="1" t="s">
        <v>20</v>
      </c>
      <c r="K32" s="1">
        <v>1031</v>
      </c>
      <c r="L32" s="1" t="str">
        <f t="shared" si="0"/>
        <v>REGULAR ORDER</v>
      </c>
    </row>
    <row r="33" spans="1:12" x14ac:dyDescent="0.3">
      <c r="A33" s="1" t="s">
        <v>54</v>
      </c>
      <c r="B33" s="1" t="s">
        <v>43</v>
      </c>
      <c r="C33" s="1" t="s">
        <v>34</v>
      </c>
      <c r="D33" s="1" t="s">
        <v>39</v>
      </c>
      <c r="E33" s="1">
        <v>20</v>
      </c>
      <c r="F33" s="1">
        <v>11305</v>
      </c>
      <c r="G33" s="1">
        <v>2</v>
      </c>
      <c r="H33" s="2">
        <v>46163</v>
      </c>
      <c r="I33" s="2">
        <v>46165</v>
      </c>
      <c r="J33" s="1" t="s">
        <v>29</v>
      </c>
      <c r="K33" s="1">
        <v>1032</v>
      </c>
      <c r="L33" s="1" t="str">
        <f t="shared" si="0"/>
        <v>BULK ORDER</v>
      </c>
    </row>
    <row r="34" spans="1:12" x14ac:dyDescent="0.3">
      <c r="A34" s="1" t="s">
        <v>11</v>
      </c>
      <c r="B34" s="1" t="s">
        <v>43</v>
      </c>
      <c r="C34" s="1" t="s">
        <v>18</v>
      </c>
      <c r="D34" s="1" t="s">
        <v>19</v>
      </c>
      <c r="E34" s="1">
        <v>9</v>
      </c>
      <c r="F34" s="1">
        <v>4895</v>
      </c>
      <c r="G34" s="1">
        <v>2</v>
      </c>
      <c r="H34" s="2">
        <v>46082</v>
      </c>
      <c r="I34" s="2">
        <v>46084</v>
      </c>
      <c r="J34" s="1" t="s">
        <v>29</v>
      </c>
      <c r="K34" s="1">
        <v>1033</v>
      </c>
      <c r="L34" s="1" t="str">
        <f t="shared" si="0"/>
        <v>MEDIUM ORDER</v>
      </c>
    </row>
    <row r="35" spans="1:12" x14ac:dyDescent="0.3">
      <c r="A35" s="1" t="s">
        <v>55</v>
      </c>
      <c r="B35" s="1" t="s">
        <v>33</v>
      </c>
      <c r="C35" s="1" t="s">
        <v>18</v>
      </c>
      <c r="D35" s="1" t="s">
        <v>28</v>
      </c>
      <c r="E35" s="1">
        <v>17</v>
      </c>
      <c r="F35" s="1">
        <v>5104</v>
      </c>
      <c r="G35" s="1">
        <v>12</v>
      </c>
      <c r="H35" s="2">
        <v>46052</v>
      </c>
      <c r="I35" s="2">
        <v>46061</v>
      </c>
      <c r="J35" s="1" t="s">
        <v>51</v>
      </c>
      <c r="K35" s="1">
        <v>1034</v>
      </c>
      <c r="L35" s="1" t="str">
        <f t="shared" si="0"/>
        <v>BULK ORDER</v>
      </c>
    </row>
    <row r="36" spans="1:12" x14ac:dyDescent="0.3">
      <c r="A36" s="1" t="s">
        <v>49</v>
      </c>
      <c r="B36" s="1" t="s">
        <v>43</v>
      </c>
      <c r="C36" s="1" t="s">
        <v>18</v>
      </c>
      <c r="D36" s="1" t="s">
        <v>56</v>
      </c>
      <c r="E36" s="1">
        <v>3</v>
      </c>
      <c r="F36" s="1">
        <v>9149</v>
      </c>
      <c r="G36" s="1">
        <v>0</v>
      </c>
      <c r="H36" s="2">
        <v>46031</v>
      </c>
      <c r="I36" s="2">
        <v>46034</v>
      </c>
      <c r="J36" s="1" t="s">
        <v>24</v>
      </c>
      <c r="K36" s="1">
        <v>1035</v>
      </c>
      <c r="L36" s="1" t="str">
        <f t="shared" si="0"/>
        <v>REGULAR ORDER</v>
      </c>
    </row>
    <row r="37" spans="1:12" x14ac:dyDescent="0.3">
      <c r="A37" s="1" t="s">
        <v>11</v>
      </c>
      <c r="B37" s="1" t="s">
        <v>25</v>
      </c>
      <c r="C37" s="1" t="s">
        <v>13</v>
      </c>
      <c r="D37" s="1" t="s">
        <v>36</v>
      </c>
      <c r="E37" s="1">
        <v>20</v>
      </c>
      <c r="F37" s="1">
        <v>161</v>
      </c>
      <c r="G37" s="1">
        <v>7</v>
      </c>
      <c r="H37" s="2">
        <v>46071</v>
      </c>
      <c r="I37" s="2">
        <v>46077</v>
      </c>
      <c r="J37" s="1" t="s">
        <v>24</v>
      </c>
      <c r="K37" s="1">
        <v>1036</v>
      </c>
      <c r="L37" s="1" t="str">
        <f t="shared" si="0"/>
        <v>BULK ORDER</v>
      </c>
    </row>
    <row r="38" spans="1:12" x14ac:dyDescent="0.3">
      <c r="A38" s="1" t="s">
        <v>46</v>
      </c>
      <c r="B38" s="1" t="s">
        <v>43</v>
      </c>
      <c r="C38" s="1" t="s">
        <v>18</v>
      </c>
      <c r="D38" s="1" t="s">
        <v>56</v>
      </c>
      <c r="E38" s="1">
        <v>6</v>
      </c>
      <c r="F38" s="1">
        <v>14385</v>
      </c>
      <c r="G38" s="1">
        <v>12</v>
      </c>
      <c r="H38" s="2">
        <v>46033</v>
      </c>
      <c r="I38" s="2">
        <v>46043</v>
      </c>
      <c r="J38" s="1" t="s">
        <v>24</v>
      </c>
      <c r="K38" s="1">
        <v>1037</v>
      </c>
      <c r="L38" s="1" t="str">
        <f t="shared" si="0"/>
        <v>MEDIUM ORDER</v>
      </c>
    </row>
    <row r="39" spans="1:12" x14ac:dyDescent="0.3">
      <c r="A39" s="1" t="s">
        <v>55</v>
      </c>
      <c r="B39" s="1" t="s">
        <v>17</v>
      </c>
      <c r="C39" s="1" t="s">
        <v>13</v>
      </c>
      <c r="D39" s="1" t="s">
        <v>36</v>
      </c>
      <c r="E39" s="1">
        <v>17</v>
      </c>
      <c r="F39" s="1">
        <v>223</v>
      </c>
      <c r="G39" s="1">
        <v>7</v>
      </c>
      <c r="H39" s="2">
        <v>46030</v>
      </c>
      <c r="I39" s="2">
        <v>46031</v>
      </c>
      <c r="J39" s="1" t="s">
        <v>51</v>
      </c>
      <c r="K39" s="1">
        <v>1038</v>
      </c>
      <c r="L39" s="1" t="str">
        <f t="shared" si="0"/>
        <v>BULK ORDER</v>
      </c>
    </row>
    <row r="40" spans="1:12" x14ac:dyDescent="0.3">
      <c r="A40" s="1" t="s">
        <v>48</v>
      </c>
      <c r="B40" s="1" t="s">
        <v>38</v>
      </c>
      <c r="C40" s="1" t="s">
        <v>34</v>
      </c>
      <c r="D40" s="1" t="s">
        <v>45</v>
      </c>
      <c r="E40" s="1">
        <v>5</v>
      </c>
      <c r="F40" s="1">
        <v>60236</v>
      </c>
      <c r="G40" s="1">
        <v>10</v>
      </c>
      <c r="H40" s="2">
        <v>46107</v>
      </c>
      <c r="I40" s="2">
        <v>46110</v>
      </c>
      <c r="J40" s="1" t="s">
        <v>20</v>
      </c>
      <c r="K40" s="1">
        <v>1039</v>
      </c>
      <c r="L40" s="1" t="str">
        <f t="shared" si="0"/>
        <v>MEDIUM ORDER</v>
      </c>
    </row>
    <row r="41" spans="1:12" x14ac:dyDescent="0.3">
      <c r="A41" s="1" t="s">
        <v>49</v>
      </c>
      <c r="B41" s="1" t="s">
        <v>38</v>
      </c>
      <c r="C41" s="1" t="s">
        <v>18</v>
      </c>
      <c r="D41" s="1" t="s">
        <v>28</v>
      </c>
      <c r="E41" s="1">
        <v>10</v>
      </c>
      <c r="F41" s="1">
        <v>7531</v>
      </c>
      <c r="G41" s="1">
        <v>2</v>
      </c>
      <c r="H41" s="2">
        <v>46171</v>
      </c>
      <c r="I41" s="2">
        <v>46178</v>
      </c>
      <c r="J41" s="1" t="s">
        <v>24</v>
      </c>
      <c r="K41" s="1">
        <v>1040</v>
      </c>
      <c r="L41" s="1" t="str">
        <f t="shared" si="0"/>
        <v>MEDIUM ORDER</v>
      </c>
    </row>
    <row r="42" spans="1:12" x14ac:dyDescent="0.3">
      <c r="A42" s="1" t="s">
        <v>54</v>
      </c>
      <c r="B42" s="1" t="s">
        <v>38</v>
      </c>
      <c r="C42" s="1" t="s">
        <v>13</v>
      </c>
      <c r="D42" s="1" t="s">
        <v>50</v>
      </c>
      <c r="E42" s="1">
        <v>9</v>
      </c>
      <c r="F42" s="1">
        <v>71</v>
      </c>
      <c r="G42" s="1">
        <v>7</v>
      </c>
      <c r="H42" s="2">
        <v>46185</v>
      </c>
      <c r="I42" s="2">
        <v>46188</v>
      </c>
      <c r="J42" s="1" t="s">
        <v>15</v>
      </c>
      <c r="K42" s="1">
        <v>1041</v>
      </c>
      <c r="L42" s="1" t="str">
        <f t="shared" si="0"/>
        <v>MEDIUM ORDER</v>
      </c>
    </row>
    <row r="43" spans="1:12" x14ac:dyDescent="0.3">
      <c r="A43" s="1" t="s">
        <v>46</v>
      </c>
      <c r="B43" s="1" t="s">
        <v>33</v>
      </c>
      <c r="C43" s="1" t="s">
        <v>13</v>
      </c>
      <c r="D43" s="1" t="s">
        <v>53</v>
      </c>
      <c r="E43" s="1">
        <v>16</v>
      </c>
      <c r="F43" s="1">
        <v>232</v>
      </c>
      <c r="G43" s="1">
        <v>0</v>
      </c>
      <c r="H43" s="2">
        <v>46081</v>
      </c>
      <c r="I43" s="2">
        <v>46088</v>
      </c>
      <c r="J43" s="1" t="s">
        <v>29</v>
      </c>
      <c r="K43" s="1">
        <v>1042</v>
      </c>
      <c r="L43" s="1" t="str">
        <f t="shared" si="0"/>
        <v>BULK ORDER</v>
      </c>
    </row>
    <row r="44" spans="1:12" x14ac:dyDescent="0.3">
      <c r="A44" s="1" t="s">
        <v>49</v>
      </c>
      <c r="B44" s="1" t="s">
        <v>38</v>
      </c>
      <c r="C44" s="1" t="s">
        <v>34</v>
      </c>
      <c r="D44" s="1" t="s">
        <v>35</v>
      </c>
      <c r="E44" s="1">
        <v>20</v>
      </c>
      <c r="F44" s="1">
        <v>46093</v>
      </c>
      <c r="G44" s="1">
        <v>5</v>
      </c>
      <c r="H44" s="2">
        <v>46091</v>
      </c>
      <c r="I44" s="2">
        <v>46098</v>
      </c>
      <c r="J44" s="1" t="s">
        <v>29</v>
      </c>
      <c r="K44" s="1">
        <v>1043</v>
      </c>
      <c r="L44" s="1" t="str">
        <f t="shared" si="0"/>
        <v>BULK ORDER</v>
      </c>
    </row>
    <row r="45" spans="1:12" x14ac:dyDescent="0.3">
      <c r="A45" s="1" t="s">
        <v>48</v>
      </c>
      <c r="B45" s="1" t="s">
        <v>38</v>
      </c>
      <c r="C45" s="1" t="s">
        <v>18</v>
      </c>
      <c r="D45" s="1" t="s">
        <v>19</v>
      </c>
      <c r="E45" s="1">
        <v>4</v>
      </c>
      <c r="F45" s="1">
        <v>14731</v>
      </c>
      <c r="G45" s="1">
        <v>2</v>
      </c>
      <c r="H45" s="2">
        <v>46173</v>
      </c>
      <c r="I45" s="2">
        <v>46176</v>
      </c>
      <c r="J45" s="1" t="s">
        <v>20</v>
      </c>
      <c r="K45" s="1">
        <v>1044</v>
      </c>
      <c r="L45" s="1" t="str">
        <f t="shared" si="0"/>
        <v>REGULAR ORDER</v>
      </c>
    </row>
    <row r="46" spans="1:12" x14ac:dyDescent="0.3">
      <c r="A46" s="1" t="s">
        <v>32</v>
      </c>
      <c r="B46" s="1" t="s">
        <v>38</v>
      </c>
      <c r="C46" s="1" t="s">
        <v>34</v>
      </c>
      <c r="D46" s="1" t="s">
        <v>35</v>
      </c>
      <c r="E46" s="1">
        <v>3</v>
      </c>
      <c r="F46" s="1">
        <v>62762</v>
      </c>
      <c r="G46" s="1">
        <v>7</v>
      </c>
      <c r="H46" s="2">
        <v>46038</v>
      </c>
      <c r="I46" s="2">
        <v>46039</v>
      </c>
      <c r="J46" s="1" t="s">
        <v>29</v>
      </c>
      <c r="K46" s="1">
        <v>1045</v>
      </c>
      <c r="L46" s="1" t="str">
        <f t="shared" si="0"/>
        <v>REGULAR ORDER</v>
      </c>
    </row>
    <row r="47" spans="1:12" x14ac:dyDescent="0.3">
      <c r="A47" s="1" t="s">
        <v>57</v>
      </c>
      <c r="B47" s="1" t="s">
        <v>38</v>
      </c>
      <c r="C47" s="1" t="s">
        <v>34</v>
      </c>
      <c r="D47" s="1" t="s">
        <v>45</v>
      </c>
      <c r="E47" s="1">
        <v>3</v>
      </c>
      <c r="F47" s="1">
        <v>19443</v>
      </c>
      <c r="G47" s="1">
        <v>10</v>
      </c>
      <c r="H47" s="2">
        <v>46153</v>
      </c>
      <c r="I47" s="2">
        <v>46158</v>
      </c>
      <c r="J47" s="1" t="s">
        <v>29</v>
      </c>
      <c r="K47" s="1">
        <v>1046</v>
      </c>
      <c r="L47" s="1" t="str">
        <f t="shared" si="0"/>
        <v>REGULAR ORDER</v>
      </c>
    </row>
    <row r="48" spans="1:12" x14ac:dyDescent="0.3">
      <c r="A48" s="1" t="s">
        <v>58</v>
      </c>
      <c r="B48" s="1" t="s">
        <v>38</v>
      </c>
      <c r="C48" s="1" t="s">
        <v>18</v>
      </c>
      <c r="D48" s="1" t="s">
        <v>56</v>
      </c>
      <c r="E48" s="1">
        <v>11</v>
      </c>
      <c r="F48" s="1">
        <v>9976</v>
      </c>
      <c r="G48" s="1">
        <v>12</v>
      </c>
      <c r="H48" s="2">
        <v>46200</v>
      </c>
      <c r="I48" s="2">
        <v>46209</v>
      </c>
      <c r="J48" s="1" t="s">
        <v>15</v>
      </c>
      <c r="K48" s="1">
        <v>1047</v>
      </c>
      <c r="L48" s="1" t="str">
        <f t="shared" si="0"/>
        <v>MEDIUM ORDER</v>
      </c>
    </row>
    <row r="49" spans="1:12" x14ac:dyDescent="0.3">
      <c r="A49" s="1" t="s">
        <v>59</v>
      </c>
      <c r="B49" s="1" t="s">
        <v>25</v>
      </c>
      <c r="C49" s="1" t="s">
        <v>34</v>
      </c>
      <c r="D49" s="1" t="s">
        <v>60</v>
      </c>
      <c r="E49" s="1">
        <v>14</v>
      </c>
      <c r="F49" s="1">
        <v>11762</v>
      </c>
      <c r="G49" s="1">
        <v>7</v>
      </c>
      <c r="H49" s="2">
        <v>46180</v>
      </c>
      <c r="I49" s="2">
        <v>46186</v>
      </c>
      <c r="J49" s="1" t="s">
        <v>24</v>
      </c>
      <c r="K49" s="1">
        <v>1048</v>
      </c>
      <c r="L49" s="1" t="str">
        <f t="shared" si="0"/>
        <v>MEDIUM ORDER</v>
      </c>
    </row>
    <row r="50" spans="1:12" x14ac:dyDescent="0.3">
      <c r="A50" s="1" t="s">
        <v>52</v>
      </c>
      <c r="B50" s="1" t="s">
        <v>25</v>
      </c>
      <c r="C50" s="1" t="s">
        <v>34</v>
      </c>
      <c r="D50" s="1" t="s">
        <v>45</v>
      </c>
      <c r="E50" s="1">
        <v>2</v>
      </c>
      <c r="F50" s="1">
        <v>40789</v>
      </c>
      <c r="G50" s="1">
        <v>0</v>
      </c>
      <c r="H50" s="2">
        <v>46102</v>
      </c>
      <c r="I50" s="2">
        <v>46108</v>
      </c>
      <c r="J50" s="1" t="s">
        <v>24</v>
      </c>
      <c r="K50" s="1">
        <v>1049</v>
      </c>
      <c r="L50" s="1" t="str">
        <f t="shared" si="0"/>
        <v>REGULAR ORDER</v>
      </c>
    </row>
    <row r="51" spans="1:12" x14ac:dyDescent="0.3">
      <c r="A51" s="1" t="s">
        <v>32</v>
      </c>
      <c r="B51" s="1" t="s">
        <v>25</v>
      </c>
      <c r="C51" s="1" t="s">
        <v>13</v>
      </c>
      <c r="D51" s="1" t="s">
        <v>53</v>
      </c>
      <c r="E51" s="1">
        <v>12</v>
      </c>
      <c r="F51" s="1">
        <v>360</v>
      </c>
      <c r="G51" s="1">
        <v>5</v>
      </c>
      <c r="H51" s="2">
        <v>46127</v>
      </c>
      <c r="I51" s="2">
        <v>46137</v>
      </c>
      <c r="J51" s="1" t="s">
        <v>29</v>
      </c>
      <c r="K51" s="1">
        <v>1050</v>
      </c>
      <c r="L51" s="1" t="str">
        <f t="shared" si="0"/>
        <v>MEDIUM ORDER</v>
      </c>
    </row>
    <row r="52" spans="1:12" x14ac:dyDescent="0.3">
      <c r="A52" s="1" t="s">
        <v>58</v>
      </c>
      <c r="B52" s="1" t="s">
        <v>17</v>
      </c>
      <c r="C52" s="1" t="s">
        <v>13</v>
      </c>
      <c r="D52" s="1" t="s">
        <v>36</v>
      </c>
      <c r="E52" s="1">
        <v>12</v>
      </c>
      <c r="F52" s="1">
        <v>47</v>
      </c>
      <c r="G52" s="1">
        <v>2</v>
      </c>
      <c r="H52" s="2">
        <v>46037</v>
      </c>
      <c r="I52" s="2">
        <v>46045</v>
      </c>
      <c r="J52" s="1" t="s">
        <v>15</v>
      </c>
      <c r="K52" s="1">
        <v>1051</v>
      </c>
      <c r="L52" s="1" t="str">
        <f t="shared" si="0"/>
        <v>MEDIUM ORDER</v>
      </c>
    </row>
    <row r="53" spans="1:12" x14ac:dyDescent="0.3">
      <c r="A53" s="1" t="s">
        <v>55</v>
      </c>
      <c r="B53" s="1" t="s">
        <v>12</v>
      </c>
      <c r="C53" s="1" t="s">
        <v>13</v>
      </c>
      <c r="D53" s="1" t="s">
        <v>14</v>
      </c>
      <c r="E53" s="1">
        <v>17</v>
      </c>
      <c r="F53" s="1">
        <v>172</v>
      </c>
      <c r="G53" s="1">
        <v>10</v>
      </c>
      <c r="H53" s="2">
        <v>46159</v>
      </c>
      <c r="I53" s="2">
        <v>46165</v>
      </c>
      <c r="J53" s="1" t="s">
        <v>20</v>
      </c>
      <c r="K53" s="1">
        <v>1052</v>
      </c>
      <c r="L53" s="1" t="str">
        <f t="shared" si="0"/>
        <v>BULK ORDER</v>
      </c>
    </row>
    <row r="54" spans="1:12" x14ac:dyDescent="0.3">
      <c r="A54" s="1" t="s">
        <v>16</v>
      </c>
      <c r="B54" s="1" t="s">
        <v>33</v>
      </c>
      <c r="C54" s="1" t="s">
        <v>18</v>
      </c>
      <c r="D54" s="1" t="s">
        <v>28</v>
      </c>
      <c r="E54" s="1">
        <v>1</v>
      </c>
      <c r="F54" s="1">
        <v>9749</v>
      </c>
      <c r="G54" s="1">
        <v>15</v>
      </c>
      <c r="H54" s="2">
        <v>46064</v>
      </c>
      <c r="I54" s="2">
        <v>46070</v>
      </c>
      <c r="J54" s="1" t="s">
        <v>24</v>
      </c>
      <c r="K54" s="1">
        <v>1053</v>
      </c>
      <c r="L54" s="1" t="str">
        <f t="shared" si="0"/>
        <v>REGULAR ORDER</v>
      </c>
    </row>
    <row r="55" spans="1:12" x14ac:dyDescent="0.3">
      <c r="A55" s="1" t="s">
        <v>26</v>
      </c>
      <c r="B55" s="1" t="s">
        <v>25</v>
      </c>
      <c r="C55" s="1" t="s">
        <v>18</v>
      </c>
      <c r="D55" s="1" t="s">
        <v>23</v>
      </c>
      <c r="E55" s="1">
        <v>8</v>
      </c>
      <c r="F55" s="1">
        <v>9798</v>
      </c>
      <c r="G55" s="1">
        <v>12</v>
      </c>
      <c r="H55" s="2">
        <v>46200</v>
      </c>
      <c r="I55" s="2">
        <v>46201</v>
      </c>
      <c r="J55" s="1" t="s">
        <v>51</v>
      </c>
      <c r="K55" s="1">
        <v>1054</v>
      </c>
      <c r="L55" s="1" t="str">
        <f t="shared" si="0"/>
        <v>MEDIUM ORDER</v>
      </c>
    </row>
    <row r="56" spans="1:12" x14ac:dyDescent="0.3">
      <c r="A56" s="1" t="s">
        <v>48</v>
      </c>
      <c r="B56" s="1" t="s">
        <v>12</v>
      </c>
      <c r="C56" s="1" t="s">
        <v>13</v>
      </c>
      <c r="D56" s="1" t="s">
        <v>37</v>
      </c>
      <c r="E56" s="1">
        <v>18</v>
      </c>
      <c r="F56" s="1">
        <v>185</v>
      </c>
      <c r="G56" s="1">
        <v>15</v>
      </c>
      <c r="H56" s="2">
        <v>46077</v>
      </c>
      <c r="I56" s="2">
        <v>46078</v>
      </c>
      <c r="J56" s="1" t="s">
        <v>15</v>
      </c>
      <c r="K56" s="1">
        <v>1055</v>
      </c>
      <c r="L56" s="1" t="str">
        <f t="shared" si="0"/>
        <v>BULK ORDER</v>
      </c>
    </row>
    <row r="57" spans="1:12" x14ac:dyDescent="0.3">
      <c r="A57" s="1" t="s">
        <v>11</v>
      </c>
      <c r="B57" s="1" t="s">
        <v>22</v>
      </c>
      <c r="C57" s="1" t="s">
        <v>18</v>
      </c>
      <c r="D57" s="1" t="s">
        <v>19</v>
      </c>
      <c r="E57" s="1">
        <v>3</v>
      </c>
      <c r="F57" s="1">
        <v>9771</v>
      </c>
      <c r="G57" s="1">
        <v>5</v>
      </c>
      <c r="H57" s="2">
        <v>46133</v>
      </c>
      <c r="I57" s="2">
        <v>46139</v>
      </c>
      <c r="J57" s="1" t="s">
        <v>24</v>
      </c>
      <c r="K57" s="1">
        <v>1056</v>
      </c>
      <c r="L57" s="1" t="str">
        <f t="shared" si="0"/>
        <v>REGULAR ORDER</v>
      </c>
    </row>
    <row r="58" spans="1:12" x14ac:dyDescent="0.3">
      <c r="A58" s="1" t="s">
        <v>59</v>
      </c>
      <c r="B58" s="1" t="s">
        <v>22</v>
      </c>
      <c r="C58" s="1" t="s">
        <v>18</v>
      </c>
      <c r="D58" s="1" t="s">
        <v>28</v>
      </c>
      <c r="E58" s="1">
        <v>2</v>
      </c>
      <c r="F58" s="1">
        <v>9531</v>
      </c>
      <c r="G58" s="1">
        <v>15</v>
      </c>
      <c r="H58" s="2">
        <v>46067</v>
      </c>
      <c r="I58" s="2">
        <v>46076</v>
      </c>
      <c r="J58" s="1" t="s">
        <v>51</v>
      </c>
      <c r="K58" s="1">
        <v>1057</v>
      </c>
      <c r="L58" s="1" t="str">
        <f t="shared" si="0"/>
        <v>REGULAR ORDER</v>
      </c>
    </row>
    <row r="59" spans="1:12" x14ac:dyDescent="0.3">
      <c r="A59" s="1" t="s">
        <v>52</v>
      </c>
      <c r="B59" s="1" t="s">
        <v>38</v>
      </c>
      <c r="C59" s="1" t="s">
        <v>18</v>
      </c>
      <c r="D59" s="1" t="s">
        <v>28</v>
      </c>
      <c r="E59" s="1">
        <v>10</v>
      </c>
      <c r="F59" s="1">
        <v>5532</v>
      </c>
      <c r="G59" s="1">
        <v>7</v>
      </c>
      <c r="H59" s="2">
        <v>46074</v>
      </c>
      <c r="I59" s="2">
        <v>46084</v>
      </c>
      <c r="J59" s="1" t="s">
        <v>24</v>
      </c>
      <c r="K59" s="1">
        <v>1058</v>
      </c>
      <c r="L59" s="1" t="str">
        <f t="shared" si="0"/>
        <v>MEDIUM ORDER</v>
      </c>
    </row>
    <row r="60" spans="1:12" x14ac:dyDescent="0.3">
      <c r="A60" s="1" t="s">
        <v>54</v>
      </c>
      <c r="B60" s="1" t="s">
        <v>25</v>
      </c>
      <c r="C60" s="1" t="s">
        <v>13</v>
      </c>
      <c r="D60" s="1" t="s">
        <v>50</v>
      </c>
      <c r="E60" s="1">
        <v>20</v>
      </c>
      <c r="F60" s="1">
        <v>112</v>
      </c>
      <c r="G60" s="1">
        <v>10</v>
      </c>
      <c r="H60" s="2">
        <v>46113</v>
      </c>
      <c r="I60" s="2">
        <v>46122</v>
      </c>
      <c r="J60" s="1" t="s">
        <v>51</v>
      </c>
      <c r="K60" s="1">
        <v>1059</v>
      </c>
      <c r="L60" s="1" t="str">
        <f t="shared" si="0"/>
        <v>BULK ORDER</v>
      </c>
    </row>
    <row r="61" spans="1:12" x14ac:dyDescent="0.3">
      <c r="A61" s="1" t="s">
        <v>49</v>
      </c>
      <c r="B61" s="1" t="s">
        <v>12</v>
      </c>
      <c r="C61" s="1" t="s">
        <v>18</v>
      </c>
      <c r="D61" s="1" t="s">
        <v>44</v>
      </c>
      <c r="E61" s="1">
        <v>9</v>
      </c>
      <c r="F61" s="1">
        <v>9727</v>
      </c>
      <c r="G61" s="1">
        <v>2</v>
      </c>
      <c r="H61" s="2">
        <v>46024</v>
      </c>
      <c r="I61" s="2">
        <v>46030</v>
      </c>
      <c r="J61" s="1" t="s">
        <v>20</v>
      </c>
      <c r="K61" s="1">
        <v>1060</v>
      </c>
      <c r="L61" s="1" t="str">
        <f t="shared" si="0"/>
        <v>MEDIUM ORDER</v>
      </c>
    </row>
    <row r="62" spans="1:12" x14ac:dyDescent="0.3">
      <c r="A62" s="1" t="s">
        <v>57</v>
      </c>
      <c r="B62" s="1" t="s">
        <v>12</v>
      </c>
      <c r="C62" s="1" t="s">
        <v>34</v>
      </c>
      <c r="D62" s="1" t="s">
        <v>41</v>
      </c>
      <c r="E62" s="1">
        <v>16</v>
      </c>
      <c r="F62" s="1">
        <v>59084</v>
      </c>
      <c r="G62" s="1">
        <v>0</v>
      </c>
      <c r="H62" s="2">
        <v>46060</v>
      </c>
      <c r="I62" s="2">
        <v>46069</v>
      </c>
      <c r="J62" s="1" t="s">
        <v>20</v>
      </c>
      <c r="K62" s="1">
        <v>1061</v>
      </c>
      <c r="L62" s="1" t="str">
        <f t="shared" si="0"/>
        <v>BULK ORDER</v>
      </c>
    </row>
    <row r="63" spans="1:12" x14ac:dyDescent="0.3">
      <c r="A63" s="1" t="s">
        <v>40</v>
      </c>
      <c r="B63" s="1" t="s">
        <v>43</v>
      </c>
      <c r="C63" s="1" t="s">
        <v>18</v>
      </c>
      <c r="D63" s="1" t="s">
        <v>23</v>
      </c>
      <c r="E63" s="1">
        <v>8</v>
      </c>
      <c r="F63" s="1">
        <v>8360</v>
      </c>
      <c r="G63" s="1">
        <v>2</v>
      </c>
      <c r="H63" s="2">
        <v>46190</v>
      </c>
      <c r="I63" s="2">
        <v>46200</v>
      </c>
      <c r="J63" s="1" t="s">
        <v>51</v>
      </c>
      <c r="K63" s="1">
        <v>1062</v>
      </c>
      <c r="L63" s="1" t="str">
        <f t="shared" si="0"/>
        <v>MEDIUM ORDER</v>
      </c>
    </row>
    <row r="64" spans="1:12" x14ac:dyDescent="0.3">
      <c r="A64" s="1" t="s">
        <v>54</v>
      </c>
      <c r="B64" s="1" t="s">
        <v>22</v>
      </c>
      <c r="C64" s="1" t="s">
        <v>34</v>
      </c>
      <c r="D64" s="1" t="s">
        <v>45</v>
      </c>
      <c r="E64" s="1">
        <v>7</v>
      </c>
      <c r="F64" s="1">
        <v>66744</v>
      </c>
      <c r="G64" s="1">
        <v>7</v>
      </c>
      <c r="H64" s="2">
        <v>46148</v>
      </c>
      <c r="I64" s="2">
        <v>46155</v>
      </c>
      <c r="J64" s="1" t="s">
        <v>15</v>
      </c>
      <c r="K64" s="1">
        <v>1063</v>
      </c>
      <c r="L64" s="1" t="str">
        <f t="shared" si="0"/>
        <v>MEDIUM ORDER</v>
      </c>
    </row>
    <row r="65" spans="1:12" x14ac:dyDescent="0.3">
      <c r="A65" s="1" t="s">
        <v>26</v>
      </c>
      <c r="B65" s="1" t="s">
        <v>17</v>
      </c>
      <c r="C65" s="1" t="s">
        <v>13</v>
      </c>
      <c r="D65" s="1" t="s">
        <v>50</v>
      </c>
      <c r="E65" s="1">
        <v>20</v>
      </c>
      <c r="F65" s="1">
        <v>191</v>
      </c>
      <c r="G65" s="1">
        <v>7</v>
      </c>
      <c r="H65" s="2">
        <v>46185</v>
      </c>
      <c r="I65" s="2">
        <v>46195</v>
      </c>
      <c r="J65" s="1" t="s">
        <v>29</v>
      </c>
      <c r="K65" s="1">
        <v>1064</v>
      </c>
      <c r="L65" s="1" t="str">
        <f t="shared" si="0"/>
        <v>BULK ORDER</v>
      </c>
    </row>
    <row r="66" spans="1:12" x14ac:dyDescent="0.3">
      <c r="A66" s="1" t="s">
        <v>42</v>
      </c>
      <c r="B66" s="1" t="s">
        <v>43</v>
      </c>
      <c r="C66" s="1" t="s">
        <v>18</v>
      </c>
      <c r="D66" s="1" t="s">
        <v>44</v>
      </c>
      <c r="E66" s="1">
        <v>1</v>
      </c>
      <c r="F66" s="1">
        <v>7730</v>
      </c>
      <c r="G66" s="1">
        <v>5</v>
      </c>
      <c r="H66" s="2">
        <v>46192</v>
      </c>
      <c r="I66" s="2">
        <v>46195</v>
      </c>
      <c r="J66" s="1" t="s">
        <v>51</v>
      </c>
      <c r="K66" s="1">
        <v>1065</v>
      </c>
      <c r="L66" s="1" t="str">
        <f t="shared" si="0"/>
        <v>REGULAR ORDER</v>
      </c>
    </row>
    <row r="67" spans="1:12" x14ac:dyDescent="0.3">
      <c r="A67" s="1" t="s">
        <v>47</v>
      </c>
      <c r="B67" s="1" t="s">
        <v>25</v>
      </c>
      <c r="C67" s="1" t="s">
        <v>18</v>
      </c>
      <c r="D67" s="1" t="s">
        <v>44</v>
      </c>
      <c r="E67" s="1">
        <v>15</v>
      </c>
      <c r="F67" s="1">
        <v>11987</v>
      </c>
      <c r="G67" s="1">
        <v>5</v>
      </c>
      <c r="H67" s="2">
        <v>46082</v>
      </c>
      <c r="I67" s="2">
        <v>46083</v>
      </c>
      <c r="J67" s="1" t="s">
        <v>15</v>
      </c>
      <c r="K67" s="1">
        <v>1066</v>
      </c>
      <c r="L67" s="1" t="str">
        <f t="shared" si="0"/>
        <v>BULK ORDER</v>
      </c>
    </row>
    <row r="68" spans="1:12" x14ac:dyDescent="0.3">
      <c r="A68" s="1" t="s">
        <v>32</v>
      </c>
      <c r="B68" s="1" t="s">
        <v>43</v>
      </c>
      <c r="C68" s="1" t="s">
        <v>18</v>
      </c>
      <c r="D68" s="1" t="s">
        <v>56</v>
      </c>
      <c r="E68" s="1">
        <v>14</v>
      </c>
      <c r="F68" s="1">
        <v>10869</v>
      </c>
      <c r="G68" s="1">
        <v>0</v>
      </c>
      <c r="H68" s="2">
        <v>46058</v>
      </c>
      <c r="I68" s="2">
        <v>46062</v>
      </c>
      <c r="J68" s="1" t="s">
        <v>29</v>
      </c>
      <c r="K68" s="1">
        <v>1067</v>
      </c>
      <c r="L68" s="1" t="str">
        <f t="shared" si="0"/>
        <v>MEDIUM ORDER</v>
      </c>
    </row>
    <row r="69" spans="1:12" x14ac:dyDescent="0.3">
      <c r="A69" s="1" t="s">
        <v>52</v>
      </c>
      <c r="B69" s="1" t="s">
        <v>43</v>
      </c>
      <c r="C69" s="1" t="s">
        <v>34</v>
      </c>
      <c r="D69" s="1" t="s">
        <v>60</v>
      </c>
      <c r="E69" s="1">
        <v>15</v>
      </c>
      <c r="F69" s="1">
        <v>14534</v>
      </c>
      <c r="G69" s="1">
        <v>5</v>
      </c>
      <c r="H69" s="2">
        <v>46196</v>
      </c>
      <c r="I69" s="2">
        <v>46199</v>
      </c>
      <c r="J69" s="1" t="s">
        <v>29</v>
      </c>
      <c r="K69" s="1">
        <v>1068</v>
      </c>
      <c r="L69" s="1" t="str">
        <f t="shared" si="0"/>
        <v>BULK ORDER</v>
      </c>
    </row>
    <row r="70" spans="1:12" x14ac:dyDescent="0.3">
      <c r="A70" s="1" t="s">
        <v>52</v>
      </c>
      <c r="B70" s="1" t="s">
        <v>31</v>
      </c>
      <c r="C70" s="1" t="s">
        <v>18</v>
      </c>
      <c r="D70" s="1" t="s">
        <v>28</v>
      </c>
      <c r="E70" s="1">
        <v>9</v>
      </c>
      <c r="F70" s="1">
        <v>4415</v>
      </c>
      <c r="G70" s="1">
        <v>5</v>
      </c>
      <c r="H70" s="2">
        <v>46039</v>
      </c>
      <c r="I70" s="2">
        <v>46046</v>
      </c>
      <c r="J70" s="1" t="s">
        <v>15</v>
      </c>
      <c r="K70" s="1">
        <v>1069</v>
      </c>
      <c r="L70" s="1" t="str">
        <f t="shared" si="0"/>
        <v>MEDIUM ORDER</v>
      </c>
    </row>
    <row r="71" spans="1:12" x14ac:dyDescent="0.3">
      <c r="A71" s="1" t="s">
        <v>52</v>
      </c>
      <c r="B71" s="1" t="s">
        <v>43</v>
      </c>
      <c r="C71" s="1" t="s">
        <v>13</v>
      </c>
      <c r="D71" s="1" t="s">
        <v>36</v>
      </c>
      <c r="E71" s="1">
        <v>10</v>
      </c>
      <c r="F71" s="1">
        <v>233</v>
      </c>
      <c r="G71" s="1">
        <v>7</v>
      </c>
      <c r="H71" s="2">
        <v>46076</v>
      </c>
      <c r="I71" s="2">
        <v>46077</v>
      </c>
      <c r="J71" s="1" t="s">
        <v>29</v>
      </c>
      <c r="K71" s="1">
        <v>1070</v>
      </c>
      <c r="L71" s="1" t="str">
        <f t="shared" si="0"/>
        <v>MEDIUM ORDER</v>
      </c>
    </row>
    <row r="72" spans="1:12" x14ac:dyDescent="0.3">
      <c r="A72" s="1" t="s">
        <v>59</v>
      </c>
      <c r="B72" s="1" t="s">
        <v>22</v>
      </c>
      <c r="C72" s="1" t="s">
        <v>34</v>
      </c>
      <c r="D72" s="1" t="s">
        <v>61</v>
      </c>
      <c r="E72" s="1">
        <v>18</v>
      </c>
      <c r="F72" s="1">
        <v>32197</v>
      </c>
      <c r="G72" s="1">
        <v>5</v>
      </c>
      <c r="H72" s="2">
        <v>46129</v>
      </c>
      <c r="I72" s="2">
        <v>46137</v>
      </c>
      <c r="J72" s="1" t="s">
        <v>20</v>
      </c>
      <c r="K72" s="1">
        <v>1071</v>
      </c>
      <c r="L72" s="1" t="str">
        <f t="shared" si="0"/>
        <v>BULK ORDER</v>
      </c>
    </row>
    <row r="73" spans="1:12" x14ac:dyDescent="0.3">
      <c r="A73" s="1" t="s">
        <v>16</v>
      </c>
      <c r="B73" s="1" t="s">
        <v>25</v>
      </c>
      <c r="C73" s="1" t="s">
        <v>34</v>
      </c>
      <c r="D73" s="1" t="s">
        <v>61</v>
      </c>
      <c r="E73" s="1">
        <v>20</v>
      </c>
      <c r="F73" s="1">
        <v>58779</v>
      </c>
      <c r="G73" s="1">
        <v>0</v>
      </c>
      <c r="H73" s="2">
        <v>46035</v>
      </c>
      <c r="I73" s="2">
        <v>46036</v>
      </c>
      <c r="J73" s="1" t="s">
        <v>24</v>
      </c>
      <c r="K73" s="1">
        <v>1072</v>
      </c>
      <c r="L73" s="1" t="str">
        <f t="shared" si="0"/>
        <v>BULK ORDER</v>
      </c>
    </row>
    <row r="74" spans="1:12" x14ac:dyDescent="0.3">
      <c r="A74" s="1" t="s">
        <v>58</v>
      </c>
      <c r="B74" s="1" t="s">
        <v>17</v>
      </c>
      <c r="C74" s="1" t="s">
        <v>18</v>
      </c>
      <c r="D74" s="1" t="s">
        <v>56</v>
      </c>
      <c r="E74" s="1">
        <v>4</v>
      </c>
      <c r="F74" s="1">
        <v>2453</v>
      </c>
      <c r="G74" s="1">
        <v>7</v>
      </c>
      <c r="H74" s="2">
        <v>46126</v>
      </c>
      <c r="I74" s="2">
        <v>46129</v>
      </c>
      <c r="J74" s="1" t="s">
        <v>51</v>
      </c>
      <c r="K74" s="1">
        <v>1073</v>
      </c>
      <c r="L74" s="1" t="str">
        <f t="shared" si="0"/>
        <v>REGULAR ORDER</v>
      </c>
    </row>
    <row r="75" spans="1:12" x14ac:dyDescent="0.3">
      <c r="A75" s="1" t="s">
        <v>26</v>
      </c>
      <c r="B75" s="1" t="s">
        <v>31</v>
      </c>
      <c r="C75" s="1" t="s">
        <v>13</v>
      </c>
      <c r="D75" s="1" t="s">
        <v>50</v>
      </c>
      <c r="E75" s="1">
        <v>11</v>
      </c>
      <c r="F75" s="1">
        <v>390</v>
      </c>
      <c r="G75" s="1">
        <v>15</v>
      </c>
      <c r="H75" s="2">
        <v>46114</v>
      </c>
      <c r="I75" s="2">
        <v>46123</v>
      </c>
      <c r="J75" s="1" t="s">
        <v>29</v>
      </c>
      <c r="K75" s="1">
        <v>1074</v>
      </c>
      <c r="L75" s="1" t="str">
        <f t="shared" si="0"/>
        <v>MEDIUM ORDER</v>
      </c>
    </row>
    <row r="76" spans="1:12" x14ac:dyDescent="0.3">
      <c r="A76" s="1" t="s">
        <v>42</v>
      </c>
      <c r="B76" s="1" t="s">
        <v>43</v>
      </c>
      <c r="C76" s="1" t="s">
        <v>34</v>
      </c>
      <c r="D76" s="1" t="s">
        <v>61</v>
      </c>
      <c r="E76" s="1">
        <v>4</v>
      </c>
      <c r="F76" s="1">
        <v>64773</v>
      </c>
      <c r="G76" s="1">
        <v>10</v>
      </c>
      <c r="H76" s="2">
        <v>46185</v>
      </c>
      <c r="I76" s="2">
        <v>46186</v>
      </c>
      <c r="J76" s="1" t="s">
        <v>51</v>
      </c>
      <c r="K76" s="1">
        <v>1075</v>
      </c>
      <c r="L76" s="1" t="str">
        <f t="shared" si="0"/>
        <v>REGULAR ORDER</v>
      </c>
    </row>
    <row r="77" spans="1:12" x14ac:dyDescent="0.3">
      <c r="A77" s="1" t="s">
        <v>29</v>
      </c>
      <c r="B77" s="1" t="s">
        <v>17</v>
      </c>
      <c r="C77" s="1" t="s">
        <v>34</v>
      </c>
      <c r="D77" s="1" t="s">
        <v>35</v>
      </c>
      <c r="E77" s="1">
        <v>19</v>
      </c>
      <c r="F77" s="1">
        <v>26714</v>
      </c>
      <c r="G77" s="1">
        <v>5</v>
      </c>
      <c r="H77" s="2">
        <v>46045</v>
      </c>
      <c r="I77" s="2">
        <v>46055</v>
      </c>
      <c r="J77" s="1" t="s">
        <v>29</v>
      </c>
      <c r="K77" s="1">
        <v>1076</v>
      </c>
      <c r="L77" s="1" t="str">
        <f t="shared" si="0"/>
        <v>BULK ORDER</v>
      </c>
    </row>
    <row r="78" spans="1:12" x14ac:dyDescent="0.3">
      <c r="A78" s="1" t="s">
        <v>55</v>
      </c>
      <c r="B78" s="1" t="s">
        <v>25</v>
      </c>
      <c r="C78" s="1" t="s">
        <v>13</v>
      </c>
      <c r="D78" s="1" t="s">
        <v>14</v>
      </c>
      <c r="E78" s="1">
        <v>1</v>
      </c>
      <c r="F78" s="1">
        <v>123</v>
      </c>
      <c r="G78" s="1">
        <v>10</v>
      </c>
      <c r="H78" s="2">
        <v>46113</v>
      </c>
      <c r="I78" s="2">
        <v>46121</v>
      </c>
      <c r="J78" s="1" t="s">
        <v>51</v>
      </c>
      <c r="K78" s="1">
        <v>1077</v>
      </c>
      <c r="L78" s="1" t="str">
        <f t="shared" si="0"/>
        <v>REGULAR ORDER</v>
      </c>
    </row>
    <row r="79" spans="1:12" x14ac:dyDescent="0.3">
      <c r="A79" s="1" t="s">
        <v>52</v>
      </c>
      <c r="B79" s="1" t="s">
        <v>17</v>
      </c>
      <c r="C79" s="1" t="s">
        <v>34</v>
      </c>
      <c r="D79" s="1" t="s">
        <v>39</v>
      </c>
      <c r="E79" s="1">
        <v>11</v>
      </c>
      <c r="F79" s="1">
        <v>24278</v>
      </c>
      <c r="G79" s="1">
        <v>12</v>
      </c>
      <c r="H79" s="2">
        <v>46084</v>
      </c>
      <c r="I79" s="2">
        <v>46090</v>
      </c>
      <c r="J79" s="1" t="s">
        <v>29</v>
      </c>
      <c r="K79" s="1">
        <v>1078</v>
      </c>
      <c r="L79" s="1" t="str">
        <f t="shared" si="0"/>
        <v>MEDIUM ORDER</v>
      </c>
    </row>
    <row r="80" spans="1:12" x14ac:dyDescent="0.3">
      <c r="A80" s="1" t="s">
        <v>26</v>
      </c>
      <c r="B80" s="1" t="s">
        <v>38</v>
      </c>
      <c r="C80" s="1" t="s">
        <v>34</v>
      </c>
      <c r="D80" s="1" t="s">
        <v>41</v>
      </c>
      <c r="E80" s="1">
        <v>19</v>
      </c>
      <c r="F80" s="1">
        <v>48956</v>
      </c>
      <c r="G80" s="1">
        <v>12</v>
      </c>
      <c r="H80" s="2">
        <v>46170</v>
      </c>
      <c r="I80" s="2">
        <v>46177</v>
      </c>
      <c r="J80" s="1" t="s">
        <v>51</v>
      </c>
      <c r="K80" s="1">
        <v>1079</v>
      </c>
      <c r="L80" s="1" t="str">
        <f t="shared" si="0"/>
        <v>BULK ORDER</v>
      </c>
    </row>
    <row r="81" spans="1:12" x14ac:dyDescent="0.3">
      <c r="A81" s="1" t="s">
        <v>21</v>
      </c>
      <c r="B81" s="1" t="s">
        <v>22</v>
      </c>
      <c r="C81" s="1" t="s">
        <v>34</v>
      </c>
      <c r="D81" s="1" t="s">
        <v>41</v>
      </c>
      <c r="E81" s="1">
        <v>12</v>
      </c>
      <c r="F81" s="1">
        <v>54161</v>
      </c>
      <c r="G81" s="1">
        <v>15</v>
      </c>
      <c r="H81" s="2">
        <v>46133</v>
      </c>
      <c r="I81" s="2">
        <v>46143</v>
      </c>
      <c r="J81" s="1" t="s">
        <v>24</v>
      </c>
      <c r="K81" s="1">
        <v>1080</v>
      </c>
      <c r="L81" s="1" t="str">
        <f t="shared" si="0"/>
        <v>MEDIUM ORDER</v>
      </c>
    </row>
    <row r="82" spans="1:12" x14ac:dyDescent="0.3">
      <c r="A82" s="1" t="s">
        <v>47</v>
      </c>
      <c r="B82" s="1" t="s">
        <v>12</v>
      </c>
      <c r="C82" s="1" t="s">
        <v>34</v>
      </c>
      <c r="D82" s="1" t="s">
        <v>35</v>
      </c>
      <c r="E82" s="1">
        <v>15</v>
      </c>
      <c r="F82" s="1">
        <v>59912</v>
      </c>
      <c r="G82" s="1">
        <v>7</v>
      </c>
      <c r="H82" s="2">
        <v>46058</v>
      </c>
      <c r="I82" s="2">
        <v>46060</v>
      </c>
      <c r="J82" s="1" t="s">
        <v>51</v>
      </c>
      <c r="K82" s="1">
        <v>1081</v>
      </c>
      <c r="L82" s="1" t="str">
        <f t="shared" si="0"/>
        <v>BULK ORDER</v>
      </c>
    </row>
    <row r="83" spans="1:12" x14ac:dyDescent="0.3">
      <c r="A83" s="1" t="s">
        <v>21</v>
      </c>
      <c r="B83" s="1" t="s">
        <v>12</v>
      </c>
      <c r="C83" s="1" t="s">
        <v>13</v>
      </c>
      <c r="D83" s="1" t="s">
        <v>14</v>
      </c>
      <c r="E83" s="1">
        <v>7</v>
      </c>
      <c r="F83" s="1">
        <v>133</v>
      </c>
      <c r="G83" s="1">
        <v>10</v>
      </c>
      <c r="H83" s="2">
        <v>46075</v>
      </c>
      <c r="I83" s="2">
        <v>46085</v>
      </c>
      <c r="J83" s="1" t="s">
        <v>51</v>
      </c>
      <c r="K83" s="1">
        <v>1082</v>
      </c>
      <c r="L83" s="1" t="str">
        <f t="shared" si="0"/>
        <v>MEDIUM ORDER</v>
      </c>
    </row>
    <row r="84" spans="1:12" x14ac:dyDescent="0.3">
      <c r="A84" s="1" t="s">
        <v>55</v>
      </c>
      <c r="B84" s="1" t="s">
        <v>33</v>
      </c>
      <c r="C84" s="1" t="s">
        <v>13</v>
      </c>
      <c r="D84" s="1" t="s">
        <v>53</v>
      </c>
      <c r="E84" s="1">
        <v>4</v>
      </c>
      <c r="F84" s="1">
        <v>397</v>
      </c>
      <c r="G84" s="1">
        <v>7</v>
      </c>
      <c r="H84" s="2">
        <v>46185</v>
      </c>
      <c r="I84" s="2">
        <v>46193</v>
      </c>
      <c r="J84" s="1" t="s">
        <v>15</v>
      </c>
      <c r="K84" s="1">
        <v>1083</v>
      </c>
      <c r="L84" s="1" t="str">
        <f t="shared" si="0"/>
        <v>REGULAR ORDER</v>
      </c>
    </row>
    <row r="85" spans="1:12" x14ac:dyDescent="0.3">
      <c r="A85" s="1" t="s">
        <v>49</v>
      </c>
      <c r="B85" s="1" t="s">
        <v>31</v>
      </c>
      <c r="C85" s="1" t="s">
        <v>18</v>
      </c>
      <c r="D85" s="1" t="s">
        <v>28</v>
      </c>
      <c r="E85" s="1">
        <v>4</v>
      </c>
      <c r="F85" s="1">
        <v>6901</v>
      </c>
      <c r="G85" s="1">
        <v>10</v>
      </c>
      <c r="H85" s="2">
        <v>46047</v>
      </c>
      <c r="I85" s="2">
        <v>46057</v>
      </c>
      <c r="J85" s="1" t="s">
        <v>20</v>
      </c>
      <c r="K85" s="1">
        <v>1084</v>
      </c>
      <c r="L85" s="1" t="str">
        <f t="shared" si="0"/>
        <v>REGULAR ORDER</v>
      </c>
    </row>
    <row r="86" spans="1:12" x14ac:dyDescent="0.3">
      <c r="A86" s="1" t="s">
        <v>32</v>
      </c>
      <c r="B86" s="1" t="s">
        <v>38</v>
      </c>
      <c r="C86" s="1" t="s">
        <v>34</v>
      </c>
      <c r="D86" s="1" t="s">
        <v>60</v>
      </c>
      <c r="E86" s="1">
        <v>19</v>
      </c>
      <c r="F86" s="1">
        <v>45307</v>
      </c>
      <c r="G86" s="1">
        <v>12</v>
      </c>
      <c r="H86" s="2">
        <v>46146</v>
      </c>
      <c r="I86" s="2">
        <v>46150</v>
      </c>
      <c r="J86" s="1" t="s">
        <v>24</v>
      </c>
      <c r="K86" s="1">
        <v>1085</v>
      </c>
      <c r="L86" s="1" t="str">
        <f t="shared" si="0"/>
        <v>BULK ORDER</v>
      </c>
    </row>
    <row r="87" spans="1:12" x14ac:dyDescent="0.3">
      <c r="A87" s="1" t="s">
        <v>32</v>
      </c>
      <c r="B87" s="1" t="s">
        <v>12</v>
      </c>
      <c r="C87" s="1" t="s">
        <v>13</v>
      </c>
      <c r="D87" s="1" t="s">
        <v>53</v>
      </c>
      <c r="E87" s="1">
        <v>15</v>
      </c>
      <c r="F87" s="1">
        <v>40</v>
      </c>
      <c r="G87" s="1">
        <v>10</v>
      </c>
      <c r="H87" s="2">
        <v>46045</v>
      </c>
      <c r="I87" s="2">
        <v>46049</v>
      </c>
      <c r="J87" s="1" t="s">
        <v>24</v>
      </c>
      <c r="K87" s="1">
        <v>1086</v>
      </c>
      <c r="L87" s="1" t="str">
        <f t="shared" si="0"/>
        <v>BULK ORDER</v>
      </c>
    </row>
    <row r="88" spans="1:12" x14ac:dyDescent="0.3">
      <c r="A88" s="1" t="s">
        <v>11</v>
      </c>
      <c r="B88" s="1" t="s">
        <v>31</v>
      </c>
      <c r="C88" s="1" t="s">
        <v>13</v>
      </c>
      <c r="D88" s="1" t="s">
        <v>37</v>
      </c>
      <c r="E88" s="1">
        <v>13</v>
      </c>
      <c r="F88" s="1">
        <v>387</v>
      </c>
      <c r="G88" s="1">
        <v>7</v>
      </c>
      <c r="H88" s="2">
        <v>46171</v>
      </c>
      <c r="I88" s="2">
        <v>46176</v>
      </c>
      <c r="J88" s="1" t="s">
        <v>24</v>
      </c>
      <c r="K88" s="1">
        <v>1087</v>
      </c>
      <c r="L88" s="1" t="str">
        <f t="shared" si="0"/>
        <v>MEDIUM ORDER</v>
      </c>
    </row>
    <row r="89" spans="1:12" x14ac:dyDescent="0.3">
      <c r="A89" s="1" t="s">
        <v>40</v>
      </c>
      <c r="B89" s="1" t="s">
        <v>33</v>
      </c>
      <c r="C89" s="1" t="s">
        <v>34</v>
      </c>
      <c r="D89" s="1" t="s">
        <v>41</v>
      </c>
      <c r="E89" s="1">
        <v>20</v>
      </c>
      <c r="F89" s="1">
        <v>41165</v>
      </c>
      <c r="G89" s="1">
        <v>0</v>
      </c>
      <c r="H89" s="2">
        <v>46068</v>
      </c>
      <c r="I89" s="2">
        <v>46069</v>
      </c>
      <c r="J89" s="1" t="s">
        <v>20</v>
      </c>
      <c r="K89" s="1">
        <v>1088</v>
      </c>
      <c r="L89" s="1" t="str">
        <f t="shared" si="0"/>
        <v>BULK ORDER</v>
      </c>
    </row>
    <row r="90" spans="1:12" x14ac:dyDescent="0.3">
      <c r="A90" s="1" t="s">
        <v>46</v>
      </c>
      <c r="B90" s="1" t="s">
        <v>12</v>
      </c>
      <c r="C90" s="1" t="s">
        <v>34</v>
      </c>
      <c r="D90" s="1" t="s">
        <v>35</v>
      </c>
      <c r="E90" s="1">
        <v>10</v>
      </c>
      <c r="F90" s="1">
        <v>17041</v>
      </c>
      <c r="G90" s="1">
        <v>2</v>
      </c>
      <c r="H90" s="2">
        <v>46066</v>
      </c>
      <c r="I90" s="2">
        <v>46071</v>
      </c>
      <c r="J90" s="1" t="s">
        <v>24</v>
      </c>
      <c r="K90" s="1">
        <v>1089</v>
      </c>
      <c r="L90" s="1" t="str">
        <f t="shared" si="0"/>
        <v>MEDIUM ORDER</v>
      </c>
    </row>
    <row r="91" spans="1:12" x14ac:dyDescent="0.3">
      <c r="A91" s="1" t="s">
        <v>49</v>
      </c>
      <c r="B91" s="1" t="s">
        <v>31</v>
      </c>
      <c r="C91" s="1" t="s">
        <v>34</v>
      </c>
      <c r="D91" s="1" t="s">
        <v>45</v>
      </c>
      <c r="E91" s="1">
        <v>19</v>
      </c>
      <c r="F91" s="1">
        <v>66139</v>
      </c>
      <c r="G91" s="1">
        <v>5</v>
      </c>
      <c r="H91" s="2">
        <v>46088</v>
      </c>
      <c r="I91" s="2">
        <v>46095</v>
      </c>
      <c r="J91" s="1" t="s">
        <v>24</v>
      </c>
      <c r="K91" s="1">
        <v>1090</v>
      </c>
      <c r="L91" s="1" t="str">
        <f t="shared" si="0"/>
        <v>BULK ORDER</v>
      </c>
    </row>
    <row r="92" spans="1:12" x14ac:dyDescent="0.3">
      <c r="A92" s="1" t="s">
        <v>55</v>
      </c>
      <c r="B92" s="1" t="s">
        <v>17</v>
      </c>
      <c r="C92" s="1" t="s">
        <v>13</v>
      </c>
      <c r="D92" s="1" t="s">
        <v>53</v>
      </c>
      <c r="E92" s="1">
        <v>2</v>
      </c>
      <c r="F92" s="1">
        <v>305</v>
      </c>
      <c r="G92" s="1">
        <v>0</v>
      </c>
      <c r="H92" s="2">
        <v>46136</v>
      </c>
      <c r="I92" s="2">
        <v>46144</v>
      </c>
      <c r="J92" s="1" t="s">
        <v>15</v>
      </c>
      <c r="K92" s="1">
        <v>1091</v>
      </c>
      <c r="L92" s="1" t="str">
        <f t="shared" si="0"/>
        <v>REGULAR ORDER</v>
      </c>
    </row>
    <row r="93" spans="1:12" x14ac:dyDescent="0.3">
      <c r="A93" s="1" t="s">
        <v>21</v>
      </c>
      <c r="B93" s="1" t="s">
        <v>22</v>
      </c>
      <c r="C93" s="1" t="s">
        <v>34</v>
      </c>
      <c r="D93" s="1" t="s">
        <v>41</v>
      </c>
      <c r="E93" s="1">
        <v>9</v>
      </c>
      <c r="F93" s="1">
        <v>23438</v>
      </c>
      <c r="G93" s="1">
        <v>2</v>
      </c>
      <c r="H93" s="2">
        <v>46049</v>
      </c>
      <c r="I93" s="2">
        <v>46055</v>
      </c>
      <c r="J93" s="1" t="s">
        <v>29</v>
      </c>
      <c r="K93" s="1">
        <v>1092</v>
      </c>
      <c r="L93" s="1" t="str">
        <f t="shared" si="0"/>
        <v>MEDIUM ORDER</v>
      </c>
    </row>
    <row r="94" spans="1:12" x14ac:dyDescent="0.3">
      <c r="A94" s="1" t="s">
        <v>47</v>
      </c>
      <c r="B94" s="1" t="s">
        <v>25</v>
      </c>
      <c r="C94" s="1" t="s">
        <v>18</v>
      </c>
      <c r="D94" s="1" t="s">
        <v>23</v>
      </c>
      <c r="E94" s="1">
        <v>6</v>
      </c>
      <c r="F94" s="1">
        <v>8224</v>
      </c>
      <c r="G94" s="1">
        <v>15</v>
      </c>
      <c r="H94" s="2">
        <v>46175</v>
      </c>
      <c r="I94" s="2">
        <v>46185</v>
      </c>
      <c r="J94" s="1" t="s">
        <v>51</v>
      </c>
      <c r="K94" s="1">
        <v>1093</v>
      </c>
      <c r="L94" s="1" t="str">
        <f t="shared" si="0"/>
        <v>MEDIUM ORDER</v>
      </c>
    </row>
    <row r="95" spans="1:12" x14ac:dyDescent="0.3">
      <c r="A95" s="1" t="s">
        <v>47</v>
      </c>
      <c r="B95" s="1" t="s">
        <v>43</v>
      </c>
      <c r="C95" s="1" t="s">
        <v>34</v>
      </c>
      <c r="D95" s="1" t="s">
        <v>61</v>
      </c>
      <c r="E95" s="1">
        <v>4</v>
      </c>
      <c r="F95" s="1">
        <v>7073</v>
      </c>
      <c r="G95" s="1">
        <v>0</v>
      </c>
      <c r="H95" s="2">
        <v>46101</v>
      </c>
      <c r="I95" s="2">
        <v>46105</v>
      </c>
      <c r="J95" s="1" t="s">
        <v>29</v>
      </c>
      <c r="K95" s="1">
        <v>1094</v>
      </c>
      <c r="L95" s="1" t="str">
        <f t="shared" si="0"/>
        <v>REGULAR ORDER</v>
      </c>
    </row>
    <row r="96" spans="1:12" x14ac:dyDescent="0.3">
      <c r="A96" s="1" t="s">
        <v>47</v>
      </c>
      <c r="B96" s="1" t="s">
        <v>25</v>
      </c>
      <c r="C96" s="1" t="s">
        <v>34</v>
      </c>
      <c r="D96" s="1" t="s">
        <v>41</v>
      </c>
      <c r="E96" s="1">
        <v>18</v>
      </c>
      <c r="F96" s="1">
        <v>587</v>
      </c>
      <c r="G96" s="1">
        <v>2</v>
      </c>
      <c r="H96" s="2">
        <v>46167</v>
      </c>
      <c r="I96" s="2">
        <v>46171</v>
      </c>
      <c r="J96" s="1" t="s">
        <v>20</v>
      </c>
      <c r="K96" s="1">
        <v>1095</v>
      </c>
      <c r="L96" s="1" t="str">
        <f t="shared" si="0"/>
        <v>BULK ORDER</v>
      </c>
    </row>
    <row r="97" spans="1:12" x14ac:dyDescent="0.3">
      <c r="A97" s="1" t="s">
        <v>49</v>
      </c>
      <c r="B97" s="1" t="s">
        <v>17</v>
      </c>
      <c r="C97" s="1" t="s">
        <v>18</v>
      </c>
      <c r="D97" s="1" t="s">
        <v>23</v>
      </c>
      <c r="E97" s="1">
        <v>15</v>
      </c>
      <c r="F97" s="1">
        <v>14724</v>
      </c>
      <c r="G97" s="1">
        <v>15</v>
      </c>
      <c r="H97" s="2">
        <v>46054</v>
      </c>
      <c r="I97" s="2">
        <v>46061</v>
      </c>
      <c r="J97" s="1" t="s">
        <v>20</v>
      </c>
      <c r="K97" s="1">
        <v>1096</v>
      </c>
      <c r="L97" s="1" t="str">
        <f t="shared" si="0"/>
        <v>BULK ORDER</v>
      </c>
    </row>
    <row r="98" spans="1:12" x14ac:dyDescent="0.3">
      <c r="A98" s="1" t="s">
        <v>52</v>
      </c>
      <c r="B98" s="1" t="s">
        <v>22</v>
      </c>
      <c r="C98" s="1" t="s">
        <v>34</v>
      </c>
      <c r="D98" s="1" t="s">
        <v>61</v>
      </c>
      <c r="E98" s="1">
        <v>10</v>
      </c>
      <c r="F98" s="1">
        <v>28980</v>
      </c>
      <c r="G98" s="1">
        <v>10</v>
      </c>
      <c r="H98" s="2">
        <v>46089</v>
      </c>
      <c r="I98" s="2">
        <v>46094</v>
      </c>
      <c r="J98" s="1" t="s">
        <v>24</v>
      </c>
      <c r="K98" s="1">
        <v>1097</v>
      </c>
      <c r="L98" s="1" t="str">
        <f t="shared" si="0"/>
        <v>MEDIUM ORDER</v>
      </c>
    </row>
    <row r="99" spans="1:12" x14ac:dyDescent="0.3">
      <c r="A99" s="1" t="s">
        <v>26</v>
      </c>
      <c r="B99" s="1" t="s">
        <v>25</v>
      </c>
      <c r="C99" s="1" t="s">
        <v>13</v>
      </c>
      <c r="D99" s="1" t="s">
        <v>53</v>
      </c>
      <c r="E99" s="1">
        <v>17</v>
      </c>
      <c r="F99" s="1">
        <v>345</v>
      </c>
      <c r="G99" s="1">
        <v>2</v>
      </c>
      <c r="H99" s="2">
        <v>46126</v>
      </c>
      <c r="I99" s="2">
        <v>46127</v>
      </c>
      <c r="J99" s="1" t="s">
        <v>51</v>
      </c>
      <c r="K99" s="1">
        <v>1098</v>
      </c>
      <c r="L99" s="1" t="str">
        <f t="shared" si="0"/>
        <v>BULK ORDER</v>
      </c>
    </row>
    <row r="100" spans="1:12" x14ac:dyDescent="0.3">
      <c r="A100" s="1" t="s">
        <v>26</v>
      </c>
      <c r="B100" s="1" t="s">
        <v>31</v>
      </c>
      <c r="C100" s="1" t="s">
        <v>18</v>
      </c>
      <c r="D100" s="1" t="s">
        <v>19</v>
      </c>
      <c r="E100" s="1">
        <v>1</v>
      </c>
      <c r="F100" s="1">
        <v>5165</v>
      </c>
      <c r="G100" s="1">
        <v>2</v>
      </c>
      <c r="H100" s="2">
        <v>46058</v>
      </c>
      <c r="I100" s="2">
        <v>46060</v>
      </c>
      <c r="J100" s="1" t="s">
        <v>15</v>
      </c>
      <c r="K100" s="1">
        <v>1099</v>
      </c>
      <c r="L100" s="1" t="str">
        <f t="shared" si="0"/>
        <v>REGULAR ORDER</v>
      </c>
    </row>
    <row r="101" spans="1:12" x14ac:dyDescent="0.3">
      <c r="A101" s="1" t="s">
        <v>11</v>
      </c>
      <c r="B101" s="1" t="s">
        <v>31</v>
      </c>
      <c r="C101" s="1" t="s">
        <v>13</v>
      </c>
      <c r="D101" s="1" t="s">
        <v>14</v>
      </c>
      <c r="E101" s="1">
        <v>11</v>
      </c>
      <c r="F101" s="1">
        <v>296</v>
      </c>
      <c r="G101" s="1">
        <v>10</v>
      </c>
      <c r="H101" s="2">
        <v>46027</v>
      </c>
      <c r="I101" s="2">
        <v>46031</v>
      </c>
      <c r="J101" s="1" t="s">
        <v>51</v>
      </c>
      <c r="K101" s="1">
        <v>1100</v>
      </c>
      <c r="L101" s="1" t="str">
        <f t="shared" si="0"/>
        <v>MEDIUM ORDER</v>
      </c>
    </row>
    <row r="102" spans="1:12" x14ac:dyDescent="0.3">
      <c r="A102" s="1" t="s">
        <v>27</v>
      </c>
      <c r="B102" s="1" t="s">
        <v>22</v>
      </c>
      <c r="C102" s="1" t="s">
        <v>34</v>
      </c>
      <c r="D102" s="1" t="s">
        <v>61</v>
      </c>
      <c r="E102" s="1">
        <v>9</v>
      </c>
      <c r="F102" s="1">
        <v>37361</v>
      </c>
      <c r="G102" s="1">
        <v>10</v>
      </c>
      <c r="H102" s="2">
        <v>46141</v>
      </c>
      <c r="I102" s="2">
        <v>46142</v>
      </c>
      <c r="J102" s="1" t="s">
        <v>24</v>
      </c>
      <c r="K102" s="1">
        <v>1101</v>
      </c>
      <c r="L102" s="1" t="str">
        <f t="shared" si="0"/>
        <v>MEDIUM ORDER</v>
      </c>
    </row>
    <row r="103" spans="1:12" x14ac:dyDescent="0.3">
      <c r="A103" s="1" t="s">
        <v>54</v>
      </c>
      <c r="B103" s="1" t="s">
        <v>25</v>
      </c>
      <c r="C103" s="1" t="s">
        <v>34</v>
      </c>
      <c r="D103" s="1" t="s">
        <v>45</v>
      </c>
      <c r="E103" s="1">
        <v>12</v>
      </c>
      <c r="F103" s="1">
        <v>63402</v>
      </c>
      <c r="G103" s="1">
        <v>7</v>
      </c>
      <c r="H103" s="2">
        <v>46106</v>
      </c>
      <c r="I103" s="2">
        <v>46113</v>
      </c>
      <c r="J103" s="1" t="s">
        <v>51</v>
      </c>
      <c r="K103" s="1">
        <v>1102</v>
      </c>
      <c r="L103" s="1" t="str">
        <f t="shared" si="0"/>
        <v>MEDIUM ORDER</v>
      </c>
    </row>
    <row r="104" spans="1:12" x14ac:dyDescent="0.3">
      <c r="A104" s="1" t="s">
        <v>16</v>
      </c>
      <c r="B104" s="1" t="s">
        <v>12</v>
      </c>
      <c r="C104" s="1" t="s">
        <v>18</v>
      </c>
      <c r="D104" s="1" t="s">
        <v>23</v>
      </c>
      <c r="E104" s="1">
        <v>7</v>
      </c>
      <c r="F104" s="1">
        <v>11925</v>
      </c>
      <c r="G104" s="1">
        <v>5</v>
      </c>
      <c r="H104" s="2">
        <v>46040</v>
      </c>
      <c r="I104" s="2">
        <v>46041</v>
      </c>
      <c r="J104" s="1" t="s">
        <v>29</v>
      </c>
      <c r="K104" s="1">
        <v>1103</v>
      </c>
      <c r="L104" s="1" t="str">
        <f t="shared" si="0"/>
        <v>MEDIUM ORDER</v>
      </c>
    </row>
    <row r="105" spans="1:12" x14ac:dyDescent="0.3">
      <c r="A105" s="1" t="s">
        <v>16</v>
      </c>
      <c r="B105" s="1" t="s">
        <v>43</v>
      </c>
      <c r="C105" s="1" t="s">
        <v>18</v>
      </c>
      <c r="D105" s="1" t="s">
        <v>19</v>
      </c>
      <c r="E105" s="1">
        <v>10</v>
      </c>
      <c r="F105" s="1">
        <v>12848</v>
      </c>
      <c r="G105" s="1">
        <v>15</v>
      </c>
      <c r="H105" s="2">
        <v>46060</v>
      </c>
      <c r="I105" s="2">
        <v>46064</v>
      </c>
      <c r="J105" s="1" t="s">
        <v>29</v>
      </c>
      <c r="K105" s="1">
        <v>1104</v>
      </c>
      <c r="L105" s="1" t="str">
        <f t="shared" si="0"/>
        <v>MEDIUM ORDER</v>
      </c>
    </row>
    <row r="106" spans="1:12" x14ac:dyDescent="0.3">
      <c r="A106" s="1" t="s">
        <v>59</v>
      </c>
      <c r="B106" s="1" t="s">
        <v>25</v>
      </c>
      <c r="C106" s="1" t="s">
        <v>13</v>
      </c>
      <c r="D106" s="1" t="s">
        <v>50</v>
      </c>
      <c r="E106" s="1">
        <v>2</v>
      </c>
      <c r="F106" s="1">
        <v>493</v>
      </c>
      <c r="G106" s="1">
        <v>12</v>
      </c>
      <c r="H106" s="2">
        <v>46057</v>
      </c>
      <c r="I106" s="2">
        <v>46066</v>
      </c>
      <c r="J106" s="1" t="s">
        <v>51</v>
      </c>
      <c r="K106" s="1">
        <v>1105</v>
      </c>
      <c r="L106" s="1" t="str">
        <f t="shared" si="0"/>
        <v>REGULAR ORDER</v>
      </c>
    </row>
    <row r="107" spans="1:12" x14ac:dyDescent="0.3">
      <c r="A107" s="1" t="s">
        <v>27</v>
      </c>
      <c r="B107" s="1" t="s">
        <v>43</v>
      </c>
      <c r="C107" s="1" t="s">
        <v>18</v>
      </c>
      <c r="D107" s="1" t="s">
        <v>23</v>
      </c>
      <c r="E107" s="1">
        <v>20</v>
      </c>
      <c r="F107" s="1">
        <v>2141</v>
      </c>
      <c r="G107" s="1">
        <v>2</v>
      </c>
      <c r="H107" s="2">
        <v>46091</v>
      </c>
      <c r="I107" s="2">
        <v>46097</v>
      </c>
      <c r="J107" s="1" t="s">
        <v>29</v>
      </c>
      <c r="K107" s="1">
        <v>1106</v>
      </c>
      <c r="L107" s="1" t="str">
        <f t="shared" si="0"/>
        <v>BULK ORDER</v>
      </c>
    </row>
    <row r="108" spans="1:12" x14ac:dyDescent="0.3">
      <c r="A108" s="1" t="s">
        <v>52</v>
      </c>
      <c r="B108" s="1" t="s">
        <v>17</v>
      </c>
      <c r="C108" s="1" t="s">
        <v>34</v>
      </c>
      <c r="D108" s="1" t="s">
        <v>60</v>
      </c>
      <c r="E108" s="1">
        <v>4</v>
      </c>
      <c r="F108" s="1">
        <v>14291</v>
      </c>
      <c r="G108" s="1">
        <v>2</v>
      </c>
      <c r="H108" s="2">
        <v>46076</v>
      </c>
      <c r="I108" s="2">
        <v>46078</v>
      </c>
      <c r="J108" s="1" t="s">
        <v>15</v>
      </c>
      <c r="K108" s="1">
        <v>1107</v>
      </c>
      <c r="L108" s="1" t="str">
        <f t="shared" si="0"/>
        <v>REGULAR ORDER</v>
      </c>
    </row>
    <row r="109" spans="1:12" x14ac:dyDescent="0.3">
      <c r="A109" s="1" t="s">
        <v>42</v>
      </c>
      <c r="B109" s="1" t="s">
        <v>33</v>
      </c>
      <c r="C109" s="1" t="s">
        <v>18</v>
      </c>
      <c r="D109" s="1" t="s">
        <v>28</v>
      </c>
      <c r="E109" s="1">
        <v>15</v>
      </c>
      <c r="F109" s="1">
        <v>13843</v>
      </c>
      <c r="G109" s="1">
        <v>7</v>
      </c>
      <c r="H109" s="2">
        <v>46119</v>
      </c>
      <c r="I109" s="2">
        <v>46127</v>
      </c>
      <c r="J109" s="1" t="s">
        <v>20</v>
      </c>
      <c r="K109" s="1">
        <v>1108</v>
      </c>
      <c r="L109" s="1" t="str">
        <f t="shared" si="0"/>
        <v>BULK ORDER</v>
      </c>
    </row>
    <row r="110" spans="1:12" x14ac:dyDescent="0.3">
      <c r="A110" s="1" t="s">
        <v>21</v>
      </c>
      <c r="B110" s="1" t="s">
        <v>31</v>
      </c>
      <c r="C110" s="1" t="s">
        <v>18</v>
      </c>
      <c r="D110" s="1" t="s">
        <v>44</v>
      </c>
      <c r="E110" s="1">
        <v>19</v>
      </c>
      <c r="F110" s="1">
        <v>6512</v>
      </c>
      <c r="G110" s="1">
        <v>10</v>
      </c>
      <c r="H110" s="2">
        <v>46033</v>
      </c>
      <c r="I110" s="2">
        <v>46037</v>
      </c>
      <c r="J110" s="1" t="s">
        <v>20</v>
      </c>
      <c r="K110" s="1">
        <v>1109</v>
      </c>
      <c r="L110" s="1" t="str">
        <f t="shared" si="0"/>
        <v>BULK ORDER</v>
      </c>
    </row>
    <row r="111" spans="1:12" x14ac:dyDescent="0.3">
      <c r="A111" s="1" t="s">
        <v>49</v>
      </c>
      <c r="B111" s="1" t="s">
        <v>38</v>
      </c>
      <c r="C111" s="1" t="s">
        <v>18</v>
      </c>
      <c r="D111" s="1" t="s">
        <v>23</v>
      </c>
      <c r="E111" s="1">
        <v>14</v>
      </c>
      <c r="F111" s="1">
        <v>6793</v>
      </c>
      <c r="G111" s="1">
        <v>7</v>
      </c>
      <c r="H111" s="2">
        <v>46077</v>
      </c>
      <c r="I111" s="2">
        <v>46082</v>
      </c>
      <c r="J111" s="1" t="s">
        <v>29</v>
      </c>
      <c r="K111" s="1">
        <v>1110</v>
      </c>
      <c r="L111" s="1" t="str">
        <f t="shared" si="0"/>
        <v>MEDIUM ORDER</v>
      </c>
    </row>
    <row r="112" spans="1:12" x14ac:dyDescent="0.3">
      <c r="A112" s="1" t="s">
        <v>47</v>
      </c>
      <c r="B112" s="1" t="s">
        <v>17</v>
      </c>
      <c r="C112" s="1" t="s">
        <v>34</v>
      </c>
      <c r="D112" s="1" t="s">
        <v>35</v>
      </c>
      <c r="E112" s="1">
        <v>5</v>
      </c>
      <c r="F112" s="1">
        <v>49945</v>
      </c>
      <c r="G112" s="1">
        <v>12</v>
      </c>
      <c r="H112" s="2">
        <v>46133</v>
      </c>
      <c r="I112" s="2">
        <v>46141</v>
      </c>
      <c r="J112" s="1" t="s">
        <v>29</v>
      </c>
      <c r="K112" s="1">
        <v>1111</v>
      </c>
      <c r="L112" s="1" t="str">
        <f t="shared" si="0"/>
        <v>MEDIUM ORDER</v>
      </c>
    </row>
    <row r="113" spans="1:12" x14ac:dyDescent="0.3">
      <c r="A113" s="1" t="s">
        <v>21</v>
      </c>
      <c r="B113" s="1" t="s">
        <v>43</v>
      </c>
      <c r="C113" s="1" t="s">
        <v>18</v>
      </c>
      <c r="D113" s="1" t="s">
        <v>44</v>
      </c>
      <c r="E113" s="1">
        <v>7</v>
      </c>
      <c r="F113" s="1">
        <v>1959</v>
      </c>
      <c r="G113" s="1">
        <v>15</v>
      </c>
      <c r="H113" s="2">
        <v>46090</v>
      </c>
      <c r="I113" s="2">
        <v>46100</v>
      </c>
      <c r="J113" s="1" t="s">
        <v>15</v>
      </c>
      <c r="K113" s="1">
        <v>1112</v>
      </c>
      <c r="L113" s="1" t="str">
        <f t="shared" si="0"/>
        <v>MEDIUM ORDER</v>
      </c>
    </row>
    <row r="114" spans="1:12" x14ac:dyDescent="0.3">
      <c r="A114" s="1" t="s">
        <v>26</v>
      </c>
      <c r="B114" s="1" t="s">
        <v>43</v>
      </c>
      <c r="C114" s="1" t="s">
        <v>18</v>
      </c>
      <c r="D114" s="1" t="s">
        <v>56</v>
      </c>
      <c r="E114" s="1">
        <v>13</v>
      </c>
      <c r="F114" s="1">
        <v>6719</v>
      </c>
      <c r="G114" s="1">
        <v>15</v>
      </c>
      <c r="H114" s="2">
        <v>46076</v>
      </c>
      <c r="I114" s="2">
        <v>46081</v>
      </c>
      <c r="J114" s="1" t="s">
        <v>24</v>
      </c>
      <c r="K114" s="1">
        <v>1113</v>
      </c>
      <c r="L114" s="1" t="str">
        <f t="shared" si="0"/>
        <v>MEDIUM ORDER</v>
      </c>
    </row>
    <row r="115" spans="1:12" x14ac:dyDescent="0.3">
      <c r="A115" s="1" t="s">
        <v>16</v>
      </c>
      <c r="B115" s="1" t="s">
        <v>25</v>
      </c>
      <c r="C115" s="1" t="s">
        <v>13</v>
      </c>
      <c r="D115" s="1" t="s">
        <v>50</v>
      </c>
      <c r="E115" s="1">
        <v>13</v>
      </c>
      <c r="F115" s="1">
        <v>32</v>
      </c>
      <c r="G115" s="1">
        <v>15</v>
      </c>
      <c r="H115" s="2">
        <v>46066</v>
      </c>
      <c r="I115" s="2">
        <v>46069</v>
      </c>
      <c r="J115" s="1" t="s">
        <v>15</v>
      </c>
      <c r="K115" s="1">
        <v>1114</v>
      </c>
      <c r="L115" s="1" t="str">
        <f t="shared" si="0"/>
        <v>MEDIUM ORDER</v>
      </c>
    </row>
    <row r="116" spans="1:12" x14ac:dyDescent="0.3">
      <c r="A116" s="1" t="s">
        <v>59</v>
      </c>
      <c r="B116" s="1" t="s">
        <v>43</v>
      </c>
      <c r="C116" s="1" t="s">
        <v>13</v>
      </c>
      <c r="D116" s="1" t="s">
        <v>50</v>
      </c>
      <c r="E116" s="1">
        <v>9</v>
      </c>
      <c r="F116" s="1">
        <v>303</v>
      </c>
      <c r="G116" s="1">
        <v>10</v>
      </c>
      <c r="H116" s="2">
        <v>46149</v>
      </c>
      <c r="I116" s="2">
        <v>46157</v>
      </c>
      <c r="J116" s="1" t="s">
        <v>29</v>
      </c>
      <c r="K116" s="1">
        <v>1115</v>
      </c>
      <c r="L116" s="1" t="str">
        <f t="shared" si="0"/>
        <v>MEDIUM ORDER</v>
      </c>
    </row>
    <row r="117" spans="1:12" x14ac:dyDescent="0.3">
      <c r="A117" s="1" t="s">
        <v>16</v>
      </c>
      <c r="B117" s="1" t="s">
        <v>25</v>
      </c>
      <c r="C117" s="1" t="s">
        <v>18</v>
      </c>
      <c r="D117" s="1" t="s">
        <v>56</v>
      </c>
      <c r="E117" s="1">
        <v>2</v>
      </c>
      <c r="F117" s="1">
        <v>12692</v>
      </c>
      <c r="G117" s="1">
        <v>15</v>
      </c>
      <c r="H117" s="2">
        <v>46049</v>
      </c>
      <c r="I117" s="2">
        <v>46051</v>
      </c>
      <c r="J117" s="1" t="s">
        <v>15</v>
      </c>
      <c r="K117" s="1">
        <v>1116</v>
      </c>
      <c r="L117" s="1" t="str">
        <f t="shared" si="0"/>
        <v>REGULAR ORDER</v>
      </c>
    </row>
    <row r="118" spans="1:12" x14ac:dyDescent="0.3">
      <c r="A118" s="1" t="s">
        <v>55</v>
      </c>
      <c r="B118" s="1" t="s">
        <v>43</v>
      </c>
      <c r="C118" s="1" t="s">
        <v>34</v>
      </c>
      <c r="D118" s="1" t="s">
        <v>39</v>
      </c>
      <c r="E118" s="1">
        <v>16</v>
      </c>
      <c r="F118" s="1">
        <v>33162</v>
      </c>
      <c r="G118" s="1">
        <v>7</v>
      </c>
      <c r="H118" s="2">
        <v>46147</v>
      </c>
      <c r="I118" s="2">
        <v>46155</v>
      </c>
      <c r="J118" s="1" t="s">
        <v>29</v>
      </c>
      <c r="K118" s="1">
        <v>1117</v>
      </c>
      <c r="L118" s="1" t="str">
        <f t="shared" si="0"/>
        <v>BULK ORDER</v>
      </c>
    </row>
    <row r="119" spans="1:12" x14ac:dyDescent="0.3">
      <c r="A119" s="1" t="s">
        <v>21</v>
      </c>
      <c r="B119" s="1" t="s">
        <v>22</v>
      </c>
      <c r="C119" s="1" t="s">
        <v>18</v>
      </c>
      <c r="D119" s="1" t="s">
        <v>23</v>
      </c>
      <c r="E119" s="1">
        <v>18</v>
      </c>
      <c r="F119" s="1">
        <v>9118</v>
      </c>
      <c r="G119" s="1">
        <v>5</v>
      </c>
      <c r="H119" s="2">
        <v>46178</v>
      </c>
      <c r="I119" s="2">
        <v>46187</v>
      </c>
      <c r="J119" s="1" t="s">
        <v>29</v>
      </c>
      <c r="K119" s="1">
        <v>1118</v>
      </c>
      <c r="L119" s="1" t="str">
        <f t="shared" si="0"/>
        <v>BULK ORDER</v>
      </c>
    </row>
    <row r="120" spans="1:12" x14ac:dyDescent="0.3">
      <c r="A120" s="1" t="s">
        <v>30</v>
      </c>
      <c r="B120" s="1" t="s">
        <v>43</v>
      </c>
      <c r="C120" s="1" t="s">
        <v>18</v>
      </c>
      <c r="D120" s="1" t="s">
        <v>28</v>
      </c>
      <c r="E120" s="1">
        <v>2</v>
      </c>
      <c r="F120" s="1">
        <v>3706</v>
      </c>
      <c r="G120" s="1">
        <v>5</v>
      </c>
      <c r="H120" s="2">
        <v>46184</v>
      </c>
      <c r="I120" s="2">
        <v>46192</v>
      </c>
      <c r="J120" s="1" t="s">
        <v>51</v>
      </c>
      <c r="K120" s="1">
        <v>1119</v>
      </c>
      <c r="L120" s="1" t="str">
        <f t="shared" si="0"/>
        <v>REGULAR ORDER</v>
      </c>
    </row>
    <row r="121" spans="1:12" x14ac:dyDescent="0.3">
      <c r="A121" s="1" t="s">
        <v>32</v>
      </c>
      <c r="B121" s="1" t="s">
        <v>38</v>
      </c>
      <c r="C121" s="1" t="s">
        <v>13</v>
      </c>
      <c r="D121" s="1" t="s">
        <v>36</v>
      </c>
      <c r="E121" s="1">
        <v>10</v>
      </c>
      <c r="F121" s="1">
        <v>438</v>
      </c>
      <c r="G121" s="1">
        <v>10</v>
      </c>
      <c r="H121" s="2">
        <v>46061</v>
      </c>
      <c r="I121" s="2">
        <v>46065</v>
      </c>
      <c r="J121" s="1" t="s">
        <v>51</v>
      </c>
      <c r="K121" s="1">
        <v>1120</v>
      </c>
      <c r="L121" s="1" t="str">
        <f t="shared" si="0"/>
        <v>MEDIUM ORDER</v>
      </c>
    </row>
    <row r="122" spans="1:12" x14ac:dyDescent="0.3">
      <c r="A122" s="1" t="s">
        <v>29</v>
      </c>
      <c r="B122" s="1" t="s">
        <v>12</v>
      </c>
      <c r="C122" s="1" t="s">
        <v>34</v>
      </c>
      <c r="D122" s="1" t="s">
        <v>39</v>
      </c>
      <c r="E122" s="1">
        <v>4</v>
      </c>
      <c r="F122" s="1">
        <v>55809</v>
      </c>
      <c r="G122" s="1">
        <v>2</v>
      </c>
      <c r="H122" s="2">
        <v>46103</v>
      </c>
      <c r="I122" s="2">
        <v>46108</v>
      </c>
      <c r="J122" s="1" t="s">
        <v>29</v>
      </c>
      <c r="K122" s="1">
        <v>1121</v>
      </c>
      <c r="L122" s="1" t="str">
        <f t="shared" si="0"/>
        <v>REGULAR ORDER</v>
      </c>
    </row>
    <row r="123" spans="1:12" x14ac:dyDescent="0.3">
      <c r="A123" s="1" t="s">
        <v>40</v>
      </c>
      <c r="B123" s="1" t="s">
        <v>22</v>
      </c>
      <c r="C123" s="1" t="s">
        <v>34</v>
      </c>
      <c r="D123" s="1" t="s">
        <v>39</v>
      </c>
      <c r="E123" s="1">
        <v>14</v>
      </c>
      <c r="F123" s="1">
        <v>49990</v>
      </c>
      <c r="G123" s="1">
        <v>10</v>
      </c>
      <c r="H123" s="2">
        <v>46132</v>
      </c>
      <c r="I123" s="2">
        <v>46135</v>
      </c>
      <c r="J123" s="1" t="s">
        <v>29</v>
      </c>
      <c r="K123" s="1">
        <v>1122</v>
      </c>
      <c r="L123" s="1" t="str">
        <f t="shared" si="0"/>
        <v>MEDIUM ORDER</v>
      </c>
    </row>
    <row r="124" spans="1:12" x14ac:dyDescent="0.3">
      <c r="A124" s="1" t="s">
        <v>32</v>
      </c>
      <c r="B124" s="1" t="s">
        <v>31</v>
      </c>
      <c r="C124" s="1" t="s">
        <v>34</v>
      </c>
      <c r="D124" s="1" t="s">
        <v>45</v>
      </c>
      <c r="E124" s="1">
        <v>16</v>
      </c>
      <c r="F124" s="1">
        <v>1332</v>
      </c>
      <c r="G124" s="1">
        <v>7</v>
      </c>
      <c r="H124" s="2">
        <v>46107</v>
      </c>
      <c r="I124" s="2">
        <v>46109</v>
      </c>
      <c r="J124" s="1" t="s">
        <v>29</v>
      </c>
      <c r="K124" s="1">
        <v>1123</v>
      </c>
      <c r="L124" s="1" t="str">
        <f t="shared" si="0"/>
        <v>BULK ORDER</v>
      </c>
    </row>
    <row r="125" spans="1:12" x14ac:dyDescent="0.3">
      <c r="A125" s="1" t="s">
        <v>27</v>
      </c>
      <c r="B125" s="1" t="s">
        <v>38</v>
      </c>
      <c r="C125" s="1" t="s">
        <v>18</v>
      </c>
      <c r="D125" s="1" t="s">
        <v>56</v>
      </c>
      <c r="E125" s="1">
        <v>4</v>
      </c>
      <c r="F125" s="1">
        <v>14195</v>
      </c>
      <c r="G125" s="1">
        <v>15</v>
      </c>
      <c r="H125" s="2">
        <v>46182</v>
      </c>
      <c r="I125" s="2">
        <v>46189</v>
      </c>
      <c r="J125" s="1" t="s">
        <v>51</v>
      </c>
      <c r="K125" s="1">
        <v>1124</v>
      </c>
      <c r="L125" s="1" t="str">
        <f t="shared" si="0"/>
        <v>REGULAR ORDER</v>
      </c>
    </row>
    <row r="126" spans="1:12" x14ac:dyDescent="0.3">
      <c r="A126" s="1" t="s">
        <v>49</v>
      </c>
      <c r="B126" s="1" t="s">
        <v>33</v>
      </c>
      <c r="C126" s="1" t="s">
        <v>13</v>
      </c>
      <c r="D126" s="1" t="s">
        <v>14</v>
      </c>
      <c r="E126" s="1">
        <v>6</v>
      </c>
      <c r="F126" s="1">
        <v>30</v>
      </c>
      <c r="G126" s="1">
        <v>2</v>
      </c>
      <c r="H126" s="2">
        <v>46133</v>
      </c>
      <c r="I126" s="2">
        <v>46138</v>
      </c>
      <c r="J126" s="1" t="s">
        <v>24</v>
      </c>
      <c r="K126" s="1">
        <v>1125</v>
      </c>
      <c r="L126" s="1" t="str">
        <f t="shared" si="0"/>
        <v>MEDIUM ORDER</v>
      </c>
    </row>
    <row r="127" spans="1:12" x14ac:dyDescent="0.3">
      <c r="A127" s="1" t="s">
        <v>46</v>
      </c>
      <c r="B127" s="1" t="s">
        <v>22</v>
      </c>
      <c r="C127" s="1" t="s">
        <v>34</v>
      </c>
      <c r="D127" s="1" t="s">
        <v>39</v>
      </c>
      <c r="E127" s="1">
        <v>17</v>
      </c>
      <c r="F127" s="1">
        <v>19390</v>
      </c>
      <c r="G127" s="1">
        <v>12</v>
      </c>
      <c r="H127" s="2">
        <v>46201</v>
      </c>
      <c r="I127" s="2">
        <v>46206</v>
      </c>
      <c r="J127" s="1" t="s">
        <v>29</v>
      </c>
      <c r="K127" s="1">
        <v>1126</v>
      </c>
      <c r="L127" s="1" t="str">
        <f t="shared" si="0"/>
        <v>BULK ORDER</v>
      </c>
    </row>
    <row r="128" spans="1:12" x14ac:dyDescent="0.3">
      <c r="A128" s="1" t="s">
        <v>26</v>
      </c>
      <c r="B128" s="1" t="s">
        <v>33</v>
      </c>
      <c r="C128" s="1" t="s">
        <v>18</v>
      </c>
      <c r="D128" s="1" t="s">
        <v>28</v>
      </c>
      <c r="E128" s="1">
        <v>15</v>
      </c>
      <c r="F128" s="1">
        <v>11694</v>
      </c>
      <c r="G128" s="1">
        <v>12</v>
      </c>
      <c r="H128" s="2">
        <v>46170</v>
      </c>
      <c r="I128" s="2">
        <v>46179</v>
      </c>
      <c r="J128" s="1" t="s">
        <v>29</v>
      </c>
      <c r="K128" s="1">
        <v>1127</v>
      </c>
      <c r="L128" s="1" t="str">
        <f t="shared" si="0"/>
        <v>BULK ORDER</v>
      </c>
    </row>
    <row r="129" spans="1:12" x14ac:dyDescent="0.3">
      <c r="A129" s="1" t="s">
        <v>30</v>
      </c>
      <c r="B129" s="1" t="s">
        <v>22</v>
      </c>
      <c r="C129" s="1" t="s">
        <v>34</v>
      </c>
      <c r="D129" s="1" t="s">
        <v>61</v>
      </c>
      <c r="E129" s="1">
        <v>6</v>
      </c>
      <c r="F129" s="1">
        <v>5001</v>
      </c>
      <c r="G129" s="1">
        <v>7</v>
      </c>
      <c r="H129" s="2">
        <v>46044</v>
      </c>
      <c r="I129" s="2">
        <v>46050</v>
      </c>
      <c r="J129" s="1" t="s">
        <v>29</v>
      </c>
      <c r="K129" s="1">
        <v>1128</v>
      </c>
      <c r="L129" s="1" t="str">
        <f t="shared" si="0"/>
        <v>MEDIUM ORDER</v>
      </c>
    </row>
    <row r="130" spans="1:12" x14ac:dyDescent="0.3">
      <c r="A130" s="1" t="s">
        <v>58</v>
      </c>
      <c r="B130" s="1" t="s">
        <v>17</v>
      </c>
      <c r="C130" s="1" t="s">
        <v>13</v>
      </c>
      <c r="D130" s="1" t="s">
        <v>50</v>
      </c>
      <c r="E130" s="1">
        <v>15</v>
      </c>
      <c r="F130" s="1">
        <v>75</v>
      </c>
      <c r="G130" s="1">
        <v>7</v>
      </c>
      <c r="H130" s="2">
        <v>46160</v>
      </c>
      <c r="I130" s="2">
        <v>46164</v>
      </c>
      <c r="J130" s="1" t="s">
        <v>29</v>
      </c>
      <c r="K130" s="1">
        <v>1129</v>
      </c>
      <c r="L130" s="1" t="str">
        <f t="shared" si="0"/>
        <v>BULK ORDER</v>
      </c>
    </row>
    <row r="131" spans="1:12" x14ac:dyDescent="0.3">
      <c r="A131" s="1" t="s">
        <v>48</v>
      </c>
      <c r="B131" s="1" t="s">
        <v>33</v>
      </c>
      <c r="C131" s="1" t="s">
        <v>13</v>
      </c>
      <c r="D131" s="1" t="s">
        <v>14</v>
      </c>
      <c r="E131" s="1">
        <v>12</v>
      </c>
      <c r="F131" s="1">
        <v>50</v>
      </c>
      <c r="G131" s="1">
        <v>2</v>
      </c>
      <c r="H131" s="2">
        <v>46125</v>
      </c>
      <c r="I131" s="2">
        <v>46131</v>
      </c>
      <c r="J131" s="1" t="s">
        <v>24</v>
      </c>
      <c r="K131" s="1">
        <v>1130</v>
      </c>
      <c r="L131" s="1" t="str">
        <f t="shared" si="0"/>
        <v>MEDIUM ORDER</v>
      </c>
    </row>
    <row r="132" spans="1:12" x14ac:dyDescent="0.3">
      <c r="A132" s="1" t="s">
        <v>21</v>
      </c>
      <c r="B132" s="1" t="s">
        <v>31</v>
      </c>
      <c r="C132" s="1" t="s">
        <v>18</v>
      </c>
      <c r="D132" s="1" t="s">
        <v>23</v>
      </c>
      <c r="E132" s="1">
        <v>13</v>
      </c>
      <c r="F132" s="1">
        <v>3083</v>
      </c>
      <c r="G132" s="1">
        <v>7</v>
      </c>
      <c r="H132" s="2">
        <v>46168</v>
      </c>
      <c r="I132" s="2">
        <v>46173</v>
      </c>
      <c r="J132" s="1" t="s">
        <v>51</v>
      </c>
      <c r="K132" s="1">
        <v>1131</v>
      </c>
      <c r="L132" s="1" t="str">
        <f t="shared" si="0"/>
        <v>MEDIUM ORDER</v>
      </c>
    </row>
    <row r="133" spans="1:12" x14ac:dyDescent="0.3">
      <c r="A133" s="1" t="s">
        <v>11</v>
      </c>
      <c r="B133" s="1" t="s">
        <v>31</v>
      </c>
      <c r="C133" s="1" t="s">
        <v>13</v>
      </c>
      <c r="D133" s="1" t="s">
        <v>50</v>
      </c>
      <c r="E133" s="1">
        <v>10</v>
      </c>
      <c r="F133" s="1">
        <v>270</v>
      </c>
      <c r="G133" s="1">
        <v>7</v>
      </c>
      <c r="H133" s="2">
        <v>46024</v>
      </c>
      <c r="I133" s="2">
        <v>46034</v>
      </c>
      <c r="J133" s="1" t="s">
        <v>24</v>
      </c>
      <c r="K133" s="1">
        <v>1132</v>
      </c>
      <c r="L133" s="1" t="str">
        <f t="shared" si="0"/>
        <v>MEDIUM ORDER</v>
      </c>
    </row>
    <row r="134" spans="1:12" x14ac:dyDescent="0.3">
      <c r="A134" s="1" t="s">
        <v>11</v>
      </c>
      <c r="B134" s="1" t="s">
        <v>12</v>
      </c>
      <c r="C134" s="1" t="s">
        <v>18</v>
      </c>
      <c r="D134" s="1" t="s">
        <v>56</v>
      </c>
      <c r="E134" s="1">
        <v>6</v>
      </c>
      <c r="F134" s="1">
        <v>9037</v>
      </c>
      <c r="G134" s="1">
        <v>2</v>
      </c>
      <c r="H134" s="2">
        <v>46112</v>
      </c>
      <c r="I134" s="2">
        <v>46121</v>
      </c>
      <c r="J134" s="1" t="s">
        <v>51</v>
      </c>
      <c r="K134" s="1">
        <v>1133</v>
      </c>
      <c r="L134" s="1" t="str">
        <f t="shared" si="0"/>
        <v>MEDIUM ORDER</v>
      </c>
    </row>
    <row r="135" spans="1:12" x14ac:dyDescent="0.3">
      <c r="A135" s="1" t="s">
        <v>57</v>
      </c>
      <c r="B135" s="1" t="s">
        <v>31</v>
      </c>
      <c r="C135" s="1" t="s">
        <v>34</v>
      </c>
      <c r="D135" s="1" t="s">
        <v>61</v>
      </c>
      <c r="E135" s="1">
        <v>10</v>
      </c>
      <c r="F135" s="1">
        <v>29217</v>
      </c>
      <c r="G135" s="1">
        <v>15</v>
      </c>
      <c r="H135" s="2">
        <v>46148</v>
      </c>
      <c r="I135" s="2">
        <v>46150</v>
      </c>
      <c r="J135" s="1" t="s">
        <v>24</v>
      </c>
      <c r="K135" s="1">
        <v>1134</v>
      </c>
      <c r="L135" s="1" t="str">
        <f t="shared" si="0"/>
        <v>MEDIUM ORDER</v>
      </c>
    </row>
    <row r="136" spans="1:12" x14ac:dyDescent="0.3">
      <c r="A136" s="1" t="s">
        <v>49</v>
      </c>
      <c r="B136" s="1" t="s">
        <v>43</v>
      </c>
      <c r="C136" s="1" t="s">
        <v>34</v>
      </c>
      <c r="D136" s="1" t="s">
        <v>39</v>
      </c>
      <c r="E136" s="1">
        <v>14</v>
      </c>
      <c r="F136" s="1">
        <v>68534</v>
      </c>
      <c r="G136" s="1">
        <v>0</v>
      </c>
      <c r="H136" s="2">
        <v>46041</v>
      </c>
      <c r="I136" s="2">
        <v>46042</v>
      </c>
      <c r="J136" s="1" t="s">
        <v>15</v>
      </c>
      <c r="K136" s="1">
        <v>1135</v>
      </c>
      <c r="L136" s="1" t="str">
        <f t="shared" si="0"/>
        <v>MEDIUM ORDER</v>
      </c>
    </row>
    <row r="137" spans="1:12" x14ac:dyDescent="0.3">
      <c r="A137" s="1" t="s">
        <v>27</v>
      </c>
      <c r="B137" s="1" t="s">
        <v>43</v>
      </c>
      <c r="C137" s="1" t="s">
        <v>18</v>
      </c>
      <c r="D137" s="1" t="s">
        <v>56</v>
      </c>
      <c r="E137" s="1">
        <v>19</v>
      </c>
      <c r="F137" s="1">
        <v>14528</v>
      </c>
      <c r="G137" s="1">
        <v>12</v>
      </c>
      <c r="H137" s="2">
        <v>46056</v>
      </c>
      <c r="I137" s="2">
        <v>46062</v>
      </c>
      <c r="J137" s="1" t="s">
        <v>24</v>
      </c>
      <c r="K137" s="1">
        <v>1136</v>
      </c>
      <c r="L137" s="1" t="str">
        <f t="shared" si="0"/>
        <v>BULK ORDER</v>
      </c>
    </row>
    <row r="138" spans="1:12" x14ac:dyDescent="0.3">
      <c r="A138" s="1" t="s">
        <v>52</v>
      </c>
      <c r="B138" s="1" t="s">
        <v>12</v>
      </c>
      <c r="C138" s="1" t="s">
        <v>13</v>
      </c>
      <c r="D138" s="1" t="s">
        <v>37</v>
      </c>
      <c r="E138" s="1">
        <v>16</v>
      </c>
      <c r="F138" s="1">
        <v>270</v>
      </c>
      <c r="G138" s="1">
        <v>10</v>
      </c>
      <c r="H138" s="2">
        <v>46184</v>
      </c>
      <c r="I138" s="2">
        <v>46190</v>
      </c>
      <c r="J138" s="1" t="s">
        <v>29</v>
      </c>
      <c r="K138" s="1">
        <v>1137</v>
      </c>
      <c r="L138" s="1" t="str">
        <f t="shared" si="0"/>
        <v>BULK ORDER</v>
      </c>
    </row>
    <row r="139" spans="1:12" x14ac:dyDescent="0.3">
      <c r="A139" s="1" t="s">
        <v>55</v>
      </c>
      <c r="B139" s="1" t="s">
        <v>43</v>
      </c>
      <c r="C139" s="1" t="s">
        <v>18</v>
      </c>
      <c r="D139" s="1" t="s">
        <v>19</v>
      </c>
      <c r="E139" s="1">
        <v>5</v>
      </c>
      <c r="F139" s="1">
        <v>14466</v>
      </c>
      <c r="G139" s="1">
        <v>2</v>
      </c>
      <c r="H139" s="2">
        <v>46084</v>
      </c>
      <c r="I139" s="2">
        <v>46092</v>
      </c>
      <c r="J139" s="1" t="s">
        <v>51</v>
      </c>
      <c r="K139" s="1">
        <v>1138</v>
      </c>
      <c r="L139" s="1" t="str">
        <f t="shared" si="0"/>
        <v>MEDIUM ORDER</v>
      </c>
    </row>
    <row r="140" spans="1:12" x14ac:dyDescent="0.3">
      <c r="A140" s="1" t="s">
        <v>55</v>
      </c>
      <c r="B140" s="1" t="s">
        <v>33</v>
      </c>
      <c r="C140" s="1" t="s">
        <v>34</v>
      </c>
      <c r="D140" s="1" t="s">
        <v>61</v>
      </c>
      <c r="E140" s="1">
        <v>17</v>
      </c>
      <c r="F140" s="1">
        <v>28839</v>
      </c>
      <c r="G140" s="1">
        <v>10</v>
      </c>
      <c r="H140" s="2">
        <v>46093</v>
      </c>
      <c r="I140" s="2">
        <v>46099</v>
      </c>
      <c r="J140" s="1" t="s">
        <v>15</v>
      </c>
      <c r="K140" s="1">
        <v>1139</v>
      </c>
      <c r="L140" s="1" t="str">
        <f t="shared" si="0"/>
        <v>BULK ORDER</v>
      </c>
    </row>
    <row r="141" spans="1:12" x14ac:dyDescent="0.3">
      <c r="A141" s="1" t="s">
        <v>57</v>
      </c>
      <c r="B141" s="1" t="s">
        <v>38</v>
      </c>
      <c r="C141" s="1" t="s">
        <v>34</v>
      </c>
      <c r="D141" s="1" t="s">
        <v>41</v>
      </c>
      <c r="E141" s="1">
        <v>5</v>
      </c>
      <c r="F141" s="1">
        <v>68012</v>
      </c>
      <c r="G141" s="1">
        <v>5</v>
      </c>
      <c r="H141" s="2">
        <v>46061</v>
      </c>
      <c r="I141" s="2">
        <v>46065</v>
      </c>
      <c r="J141" s="1" t="s">
        <v>15</v>
      </c>
      <c r="K141" s="1">
        <v>1140</v>
      </c>
      <c r="L141" s="1" t="str">
        <f t="shared" si="0"/>
        <v>MEDIUM ORDER</v>
      </c>
    </row>
    <row r="142" spans="1:12" x14ac:dyDescent="0.3">
      <c r="A142" s="1" t="s">
        <v>11</v>
      </c>
      <c r="B142" s="1" t="s">
        <v>17</v>
      </c>
      <c r="C142" s="1" t="s">
        <v>18</v>
      </c>
      <c r="D142" s="1" t="s">
        <v>44</v>
      </c>
      <c r="E142" s="1">
        <v>20</v>
      </c>
      <c r="F142" s="1">
        <v>6835</v>
      </c>
      <c r="G142" s="1">
        <v>2</v>
      </c>
      <c r="H142" s="2">
        <v>46043</v>
      </c>
      <c r="I142" s="2">
        <v>46053</v>
      </c>
      <c r="J142" s="1" t="s">
        <v>15</v>
      </c>
      <c r="K142" s="1">
        <v>1141</v>
      </c>
      <c r="L142" s="1" t="str">
        <f t="shared" si="0"/>
        <v>BULK ORDER</v>
      </c>
    </row>
    <row r="143" spans="1:12" x14ac:dyDescent="0.3">
      <c r="A143" s="1" t="s">
        <v>40</v>
      </c>
      <c r="B143" s="1" t="s">
        <v>25</v>
      </c>
      <c r="C143" s="1" t="s">
        <v>34</v>
      </c>
      <c r="D143" s="1" t="s">
        <v>60</v>
      </c>
      <c r="E143" s="1">
        <v>9</v>
      </c>
      <c r="F143" s="1">
        <v>59788</v>
      </c>
      <c r="G143" s="1">
        <v>7</v>
      </c>
      <c r="H143" s="2">
        <v>46064</v>
      </c>
      <c r="I143" s="2">
        <v>46071</v>
      </c>
      <c r="J143" s="1" t="s">
        <v>29</v>
      </c>
      <c r="K143" s="1">
        <v>1142</v>
      </c>
      <c r="L143" s="1" t="str">
        <f t="shared" si="0"/>
        <v>MEDIUM ORDER</v>
      </c>
    </row>
    <row r="144" spans="1:12" x14ac:dyDescent="0.3">
      <c r="A144" s="1" t="s">
        <v>29</v>
      </c>
      <c r="B144" s="1" t="s">
        <v>17</v>
      </c>
      <c r="C144" s="1" t="s">
        <v>13</v>
      </c>
      <c r="D144" s="1" t="s">
        <v>37</v>
      </c>
      <c r="E144" s="1">
        <v>13</v>
      </c>
      <c r="F144" s="1">
        <v>456</v>
      </c>
      <c r="G144" s="1">
        <v>2</v>
      </c>
      <c r="H144" s="2">
        <v>46160</v>
      </c>
      <c r="I144" s="2">
        <v>46167</v>
      </c>
      <c r="J144" s="1" t="s">
        <v>24</v>
      </c>
      <c r="K144" s="1">
        <v>1143</v>
      </c>
      <c r="L144" s="1" t="str">
        <f t="shared" si="0"/>
        <v>MEDIUM ORDER</v>
      </c>
    </row>
    <row r="145" spans="1:12" x14ac:dyDescent="0.3">
      <c r="A145" s="1" t="s">
        <v>42</v>
      </c>
      <c r="B145" s="1" t="s">
        <v>25</v>
      </c>
      <c r="C145" s="1" t="s">
        <v>13</v>
      </c>
      <c r="D145" s="1" t="s">
        <v>14</v>
      </c>
      <c r="E145" s="1">
        <v>16</v>
      </c>
      <c r="F145" s="1">
        <v>219</v>
      </c>
      <c r="G145" s="1">
        <v>7</v>
      </c>
      <c r="H145" s="2">
        <v>46138</v>
      </c>
      <c r="I145" s="2">
        <v>46140</v>
      </c>
      <c r="J145" s="1" t="s">
        <v>20</v>
      </c>
      <c r="K145" s="1">
        <v>1144</v>
      </c>
      <c r="L145" s="1" t="str">
        <f t="shared" si="0"/>
        <v>BULK ORDER</v>
      </c>
    </row>
    <row r="146" spans="1:12" x14ac:dyDescent="0.3">
      <c r="A146" s="1" t="s">
        <v>42</v>
      </c>
      <c r="B146" s="1" t="s">
        <v>33</v>
      </c>
      <c r="C146" s="1" t="s">
        <v>34</v>
      </c>
      <c r="D146" s="1" t="s">
        <v>39</v>
      </c>
      <c r="E146" s="1">
        <v>2</v>
      </c>
      <c r="F146" s="1">
        <v>34429</v>
      </c>
      <c r="G146" s="1">
        <v>12</v>
      </c>
      <c r="H146" s="2">
        <v>46102</v>
      </c>
      <c r="I146" s="2">
        <v>46112</v>
      </c>
      <c r="J146" s="1" t="s">
        <v>24</v>
      </c>
      <c r="K146" s="1">
        <v>1145</v>
      </c>
      <c r="L146" s="1" t="str">
        <f t="shared" si="0"/>
        <v>REGULAR ORDER</v>
      </c>
    </row>
    <row r="147" spans="1:12" x14ac:dyDescent="0.3">
      <c r="A147" s="1" t="s">
        <v>16</v>
      </c>
      <c r="B147" s="1" t="s">
        <v>43</v>
      </c>
      <c r="C147" s="1" t="s">
        <v>34</v>
      </c>
      <c r="D147" s="1" t="s">
        <v>45</v>
      </c>
      <c r="E147" s="1">
        <v>7</v>
      </c>
      <c r="F147" s="1">
        <v>68217</v>
      </c>
      <c r="G147" s="1">
        <v>0</v>
      </c>
      <c r="H147" s="2">
        <v>46190</v>
      </c>
      <c r="I147" s="2">
        <v>46197</v>
      </c>
      <c r="J147" s="1" t="s">
        <v>29</v>
      </c>
      <c r="K147" s="1">
        <v>1146</v>
      </c>
      <c r="L147" s="1" t="str">
        <f t="shared" si="0"/>
        <v>MEDIUM ORDER</v>
      </c>
    </row>
    <row r="148" spans="1:12" x14ac:dyDescent="0.3">
      <c r="A148" s="1" t="s">
        <v>11</v>
      </c>
      <c r="B148" s="1" t="s">
        <v>22</v>
      </c>
      <c r="C148" s="1" t="s">
        <v>18</v>
      </c>
      <c r="D148" s="1" t="s">
        <v>28</v>
      </c>
      <c r="E148" s="1">
        <v>7</v>
      </c>
      <c r="F148" s="1">
        <v>9581</v>
      </c>
      <c r="G148" s="1">
        <v>5</v>
      </c>
      <c r="H148" s="2">
        <v>46154</v>
      </c>
      <c r="I148" s="2">
        <v>46155</v>
      </c>
      <c r="J148" s="1" t="s">
        <v>20</v>
      </c>
      <c r="K148" s="1">
        <v>1147</v>
      </c>
      <c r="L148" s="1" t="str">
        <f t="shared" si="0"/>
        <v>MEDIUM ORDER</v>
      </c>
    </row>
    <row r="149" spans="1:12" x14ac:dyDescent="0.3">
      <c r="A149" s="1" t="s">
        <v>59</v>
      </c>
      <c r="B149" s="1" t="s">
        <v>33</v>
      </c>
      <c r="C149" s="1" t="s">
        <v>18</v>
      </c>
      <c r="D149" s="1" t="s">
        <v>28</v>
      </c>
      <c r="E149" s="1">
        <v>11</v>
      </c>
      <c r="F149" s="1">
        <v>3023</v>
      </c>
      <c r="G149" s="1">
        <v>7</v>
      </c>
      <c r="H149" s="2">
        <v>46030</v>
      </c>
      <c r="I149" s="2">
        <v>46032</v>
      </c>
      <c r="J149" s="1" t="s">
        <v>24</v>
      </c>
      <c r="K149" s="1">
        <v>1148</v>
      </c>
      <c r="L149" s="1" t="str">
        <f t="shared" si="0"/>
        <v>MEDIUM ORDER</v>
      </c>
    </row>
    <row r="150" spans="1:12" x14ac:dyDescent="0.3">
      <c r="A150" s="1" t="s">
        <v>26</v>
      </c>
      <c r="B150" s="1" t="s">
        <v>38</v>
      </c>
      <c r="C150" s="1" t="s">
        <v>34</v>
      </c>
      <c r="D150" s="1" t="s">
        <v>35</v>
      </c>
      <c r="E150" s="1">
        <v>10</v>
      </c>
      <c r="F150" s="1">
        <v>22853</v>
      </c>
      <c r="G150" s="1">
        <v>7</v>
      </c>
      <c r="H150" s="2">
        <v>46053</v>
      </c>
      <c r="I150" s="2">
        <v>46054</v>
      </c>
      <c r="J150" s="1" t="s">
        <v>29</v>
      </c>
      <c r="K150" s="1">
        <v>1149</v>
      </c>
      <c r="L150" s="1" t="str">
        <f t="shared" si="0"/>
        <v>MEDIUM ORDER</v>
      </c>
    </row>
    <row r="151" spans="1:12" x14ac:dyDescent="0.3">
      <c r="A151" s="1" t="s">
        <v>42</v>
      </c>
      <c r="B151" s="1" t="s">
        <v>12</v>
      </c>
      <c r="C151" s="1" t="s">
        <v>18</v>
      </c>
      <c r="D151" s="1" t="s">
        <v>56</v>
      </c>
      <c r="E151" s="1">
        <v>10</v>
      </c>
      <c r="F151" s="1">
        <v>5323</v>
      </c>
      <c r="G151" s="1">
        <v>7</v>
      </c>
      <c r="H151" s="2">
        <v>46143</v>
      </c>
      <c r="I151" s="2">
        <v>46153</v>
      </c>
      <c r="J151" s="1" t="s">
        <v>24</v>
      </c>
      <c r="K151" s="1">
        <v>1150</v>
      </c>
      <c r="L151" s="1" t="str">
        <f t="shared" si="0"/>
        <v>MEDIUM ORDER</v>
      </c>
    </row>
    <row r="152" spans="1:12" x14ac:dyDescent="0.3">
      <c r="A152" s="1" t="s">
        <v>46</v>
      </c>
      <c r="B152" s="1" t="s">
        <v>43</v>
      </c>
      <c r="C152" s="1" t="s">
        <v>13</v>
      </c>
      <c r="D152" s="1" t="s">
        <v>50</v>
      </c>
      <c r="E152" s="1">
        <v>20</v>
      </c>
      <c r="F152" s="1">
        <v>272</v>
      </c>
      <c r="G152" s="1">
        <v>15</v>
      </c>
      <c r="H152" s="2">
        <v>46024</v>
      </c>
      <c r="I152" s="2">
        <v>46029</v>
      </c>
      <c r="J152" s="1" t="s">
        <v>51</v>
      </c>
      <c r="K152" s="1">
        <v>1151</v>
      </c>
      <c r="L152" s="1" t="str">
        <f t="shared" si="0"/>
        <v>BULK ORDER</v>
      </c>
    </row>
    <row r="153" spans="1:12" x14ac:dyDescent="0.3">
      <c r="A153" s="1" t="s">
        <v>27</v>
      </c>
      <c r="B153" s="1" t="s">
        <v>31</v>
      </c>
      <c r="C153" s="1" t="s">
        <v>34</v>
      </c>
      <c r="D153" s="1" t="s">
        <v>61</v>
      </c>
      <c r="E153" s="1">
        <v>14</v>
      </c>
      <c r="F153" s="1">
        <v>8150</v>
      </c>
      <c r="G153" s="1">
        <v>10</v>
      </c>
      <c r="H153" s="2">
        <v>46062</v>
      </c>
      <c r="I153" s="2">
        <v>46070</v>
      </c>
      <c r="J153" s="1" t="s">
        <v>15</v>
      </c>
      <c r="K153" s="1">
        <v>1152</v>
      </c>
      <c r="L153" s="1" t="str">
        <f t="shared" si="0"/>
        <v>MEDIUM ORDER</v>
      </c>
    </row>
    <row r="154" spans="1:12" x14ac:dyDescent="0.3">
      <c r="A154" s="1" t="s">
        <v>42</v>
      </c>
      <c r="B154" s="1" t="s">
        <v>25</v>
      </c>
      <c r="C154" s="1" t="s">
        <v>18</v>
      </c>
      <c r="D154" s="1" t="s">
        <v>23</v>
      </c>
      <c r="E154" s="1">
        <v>19</v>
      </c>
      <c r="F154" s="1">
        <v>10273</v>
      </c>
      <c r="G154" s="1">
        <v>12</v>
      </c>
      <c r="H154" s="2">
        <v>46069</v>
      </c>
      <c r="I154" s="2">
        <v>46072</v>
      </c>
      <c r="J154" s="1" t="s">
        <v>29</v>
      </c>
      <c r="K154" s="1">
        <v>1153</v>
      </c>
      <c r="L154" s="1" t="str">
        <f t="shared" si="0"/>
        <v>BULK ORDER</v>
      </c>
    </row>
    <row r="155" spans="1:12" x14ac:dyDescent="0.3">
      <c r="A155" s="1" t="s">
        <v>32</v>
      </c>
      <c r="B155" s="1" t="s">
        <v>17</v>
      </c>
      <c r="C155" s="1" t="s">
        <v>18</v>
      </c>
      <c r="D155" s="1" t="s">
        <v>56</v>
      </c>
      <c r="E155" s="1">
        <v>15</v>
      </c>
      <c r="F155" s="1">
        <v>6101</v>
      </c>
      <c r="G155" s="1">
        <v>0</v>
      </c>
      <c r="H155" s="2">
        <v>46178</v>
      </c>
      <c r="I155" s="2">
        <v>46183</v>
      </c>
      <c r="J155" s="1" t="s">
        <v>51</v>
      </c>
      <c r="K155" s="1">
        <v>1154</v>
      </c>
      <c r="L155" s="1" t="str">
        <f t="shared" si="0"/>
        <v>BULK ORDER</v>
      </c>
    </row>
    <row r="156" spans="1:12" x14ac:dyDescent="0.3">
      <c r="A156" s="1" t="s">
        <v>11</v>
      </c>
      <c r="B156" s="1" t="s">
        <v>31</v>
      </c>
      <c r="C156" s="1" t="s">
        <v>18</v>
      </c>
      <c r="D156" s="1" t="s">
        <v>28</v>
      </c>
      <c r="E156" s="1">
        <v>13</v>
      </c>
      <c r="F156" s="1">
        <v>4341</v>
      </c>
      <c r="G156" s="1">
        <v>15</v>
      </c>
      <c r="H156" s="2">
        <v>46093</v>
      </c>
      <c r="I156" s="2">
        <v>46096</v>
      </c>
      <c r="J156" s="1" t="s">
        <v>24</v>
      </c>
      <c r="K156" s="1">
        <v>1155</v>
      </c>
      <c r="L156" s="1" t="str">
        <f t="shared" si="0"/>
        <v>MEDIUM ORDER</v>
      </c>
    </row>
    <row r="157" spans="1:12" x14ac:dyDescent="0.3">
      <c r="A157" s="1" t="s">
        <v>54</v>
      </c>
      <c r="B157" s="1" t="s">
        <v>38</v>
      </c>
      <c r="C157" s="1" t="s">
        <v>13</v>
      </c>
      <c r="D157" s="1" t="s">
        <v>36</v>
      </c>
      <c r="E157" s="1">
        <v>5</v>
      </c>
      <c r="F157" s="1">
        <v>466</v>
      </c>
      <c r="G157" s="1">
        <v>15</v>
      </c>
      <c r="H157" s="2">
        <v>46025</v>
      </c>
      <c r="I157" s="2">
        <v>46029</v>
      </c>
      <c r="J157" s="1" t="s">
        <v>15</v>
      </c>
      <c r="K157" s="1">
        <v>1156</v>
      </c>
      <c r="L157" s="1" t="str">
        <f t="shared" si="0"/>
        <v>MEDIUM ORDER</v>
      </c>
    </row>
    <row r="158" spans="1:12" x14ac:dyDescent="0.3">
      <c r="A158" s="1" t="s">
        <v>52</v>
      </c>
      <c r="B158" s="1" t="s">
        <v>33</v>
      </c>
      <c r="C158" s="1" t="s">
        <v>13</v>
      </c>
      <c r="D158" s="1" t="s">
        <v>50</v>
      </c>
      <c r="E158" s="1">
        <v>3</v>
      </c>
      <c r="F158" s="1">
        <v>203</v>
      </c>
      <c r="G158" s="1">
        <v>15</v>
      </c>
      <c r="H158" s="2">
        <v>46076</v>
      </c>
      <c r="I158" s="2">
        <v>46080</v>
      </c>
      <c r="J158" s="1" t="s">
        <v>29</v>
      </c>
      <c r="K158" s="1">
        <v>1157</v>
      </c>
      <c r="L158" s="1" t="str">
        <f t="shared" si="0"/>
        <v>REGULAR ORDER</v>
      </c>
    </row>
    <row r="159" spans="1:12" x14ac:dyDescent="0.3">
      <c r="A159" s="1" t="s">
        <v>26</v>
      </c>
      <c r="B159" s="1" t="s">
        <v>38</v>
      </c>
      <c r="C159" s="1" t="s">
        <v>34</v>
      </c>
      <c r="D159" s="1" t="s">
        <v>41</v>
      </c>
      <c r="E159" s="1">
        <v>13</v>
      </c>
      <c r="F159" s="1">
        <v>12518</v>
      </c>
      <c r="G159" s="1">
        <v>2</v>
      </c>
      <c r="H159" s="2">
        <v>46079</v>
      </c>
      <c r="I159" s="2">
        <v>46082</v>
      </c>
      <c r="J159" s="1" t="s">
        <v>51</v>
      </c>
      <c r="K159" s="1">
        <v>1158</v>
      </c>
      <c r="L159" s="1" t="str">
        <f t="shared" si="0"/>
        <v>MEDIUM ORDER</v>
      </c>
    </row>
    <row r="160" spans="1:12" x14ac:dyDescent="0.3">
      <c r="A160" s="1" t="s">
        <v>32</v>
      </c>
      <c r="B160" s="1" t="s">
        <v>43</v>
      </c>
      <c r="C160" s="1" t="s">
        <v>18</v>
      </c>
      <c r="D160" s="1" t="s">
        <v>28</v>
      </c>
      <c r="E160" s="1">
        <v>20</v>
      </c>
      <c r="F160" s="1">
        <v>14000</v>
      </c>
      <c r="G160" s="1">
        <v>15</v>
      </c>
      <c r="H160" s="2">
        <v>46184</v>
      </c>
      <c r="I160" s="2">
        <v>46187</v>
      </c>
      <c r="J160" s="1" t="s">
        <v>15</v>
      </c>
      <c r="K160" s="1">
        <v>1159</v>
      </c>
      <c r="L160" s="1" t="str">
        <f t="shared" si="0"/>
        <v>BULK ORDER</v>
      </c>
    </row>
    <row r="161" spans="1:12" x14ac:dyDescent="0.3">
      <c r="A161" s="1" t="s">
        <v>59</v>
      </c>
      <c r="B161" s="1" t="s">
        <v>22</v>
      </c>
      <c r="C161" s="1" t="s">
        <v>34</v>
      </c>
      <c r="D161" s="1" t="s">
        <v>39</v>
      </c>
      <c r="E161" s="1">
        <v>7</v>
      </c>
      <c r="F161" s="1">
        <v>53986</v>
      </c>
      <c r="G161" s="1">
        <v>10</v>
      </c>
      <c r="H161" s="2">
        <v>46142</v>
      </c>
      <c r="I161" s="2">
        <v>46147</v>
      </c>
      <c r="J161" s="1" t="s">
        <v>51</v>
      </c>
      <c r="K161" s="1">
        <v>1160</v>
      </c>
      <c r="L161" s="1" t="str">
        <f t="shared" si="0"/>
        <v>MEDIUM ORDER</v>
      </c>
    </row>
    <row r="162" spans="1:12" x14ac:dyDescent="0.3">
      <c r="A162" s="1" t="s">
        <v>27</v>
      </c>
      <c r="B162" s="1" t="s">
        <v>25</v>
      </c>
      <c r="C162" s="1" t="s">
        <v>34</v>
      </c>
      <c r="D162" s="1" t="s">
        <v>39</v>
      </c>
      <c r="E162" s="1">
        <v>4</v>
      </c>
      <c r="F162" s="1">
        <v>54659</v>
      </c>
      <c r="G162" s="1">
        <v>7</v>
      </c>
      <c r="H162" s="2">
        <v>46105</v>
      </c>
      <c r="I162" s="2">
        <v>46109</v>
      </c>
      <c r="J162" s="1" t="s">
        <v>20</v>
      </c>
      <c r="K162" s="1">
        <v>1161</v>
      </c>
      <c r="L162" s="1" t="str">
        <f t="shared" si="0"/>
        <v>REGULAR ORDER</v>
      </c>
    </row>
    <row r="163" spans="1:12" x14ac:dyDescent="0.3">
      <c r="A163" s="1" t="s">
        <v>57</v>
      </c>
      <c r="B163" s="1" t="s">
        <v>31</v>
      </c>
      <c r="C163" s="1" t="s">
        <v>34</v>
      </c>
      <c r="D163" s="1" t="s">
        <v>45</v>
      </c>
      <c r="E163" s="1">
        <v>2</v>
      </c>
      <c r="F163" s="1">
        <v>28176</v>
      </c>
      <c r="G163" s="1">
        <v>10</v>
      </c>
      <c r="H163" s="2">
        <v>46100</v>
      </c>
      <c r="I163" s="2">
        <v>46101</v>
      </c>
      <c r="J163" s="1" t="s">
        <v>20</v>
      </c>
      <c r="K163" s="1">
        <v>1162</v>
      </c>
      <c r="L163" s="1" t="str">
        <f t="shared" si="0"/>
        <v>REGULAR ORDER</v>
      </c>
    </row>
    <row r="164" spans="1:12" x14ac:dyDescent="0.3">
      <c r="A164" s="1" t="s">
        <v>29</v>
      </c>
      <c r="B164" s="1" t="s">
        <v>38</v>
      </c>
      <c r="C164" s="1" t="s">
        <v>34</v>
      </c>
      <c r="D164" s="1" t="s">
        <v>39</v>
      </c>
      <c r="E164" s="1">
        <v>9</v>
      </c>
      <c r="F164" s="1">
        <v>62440</v>
      </c>
      <c r="G164" s="1">
        <v>2</v>
      </c>
      <c r="H164" s="2">
        <v>46081</v>
      </c>
      <c r="I164" s="2">
        <v>46086</v>
      </c>
      <c r="J164" s="1" t="s">
        <v>29</v>
      </c>
      <c r="K164" s="1">
        <v>1163</v>
      </c>
      <c r="L164" s="1" t="str">
        <f t="shared" si="0"/>
        <v>MEDIUM ORDER</v>
      </c>
    </row>
    <row r="165" spans="1:12" x14ac:dyDescent="0.3">
      <c r="A165" s="1" t="s">
        <v>40</v>
      </c>
      <c r="B165" s="1" t="s">
        <v>43</v>
      </c>
      <c r="C165" s="1" t="s">
        <v>34</v>
      </c>
      <c r="D165" s="1" t="s">
        <v>61</v>
      </c>
      <c r="E165" s="1">
        <v>7</v>
      </c>
      <c r="F165" s="1">
        <v>24615</v>
      </c>
      <c r="G165" s="1">
        <v>12</v>
      </c>
      <c r="H165" s="2">
        <v>46196</v>
      </c>
      <c r="I165" s="2">
        <v>46203</v>
      </c>
      <c r="J165" s="1" t="s">
        <v>51</v>
      </c>
      <c r="K165" s="1">
        <v>1164</v>
      </c>
      <c r="L165" s="1" t="str">
        <f t="shared" si="0"/>
        <v>MEDIUM ORDER</v>
      </c>
    </row>
    <row r="166" spans="1:12" x14ac:dyDescent="0.3">
      <c r="A166" s="1" t="s">
        <v>48</v>
      </c>
      <c r="B166" s="1" t="s">
        <v>25</v>
      </c>
      <c r="C166" s="1" t="s">
        <v>13</v>
      </c>
      <c r="D166" s="1" t="s">
        <v>37</v>
      </c>
      <c r="E166" s="1">
        <v>1</v>
      </c>
      <c r="F166" s="1">
        <v>427</v>
      </c>
      <c r="G166" s="1">
        <v>0</v>
      </c>
      <c r="H166" s="2">
        <v>46042</v>
      </c>
      <c r="I166" s="2">
        <v>46050</v>
      </c>
      <c r="J166" s="1" t="s">
        <v>51</v>
      </c>
      <c r="K166" s="1">
        <v>1165</v>
      </c>
      <c r="L166" s="1" t="str">
        <f t="shared" si="0"/>
        <v>REGULAR ORDER</v>
      </c>
    </row>
    <row r="167" spans="1:12" x14ac:dyDescent="0.3">
      <c r="A167" s="1" t="s">
        <v>32</v>
      </c>
      <c r="B167" s="1" t="s">
        <v>31</v>
      </c>
      <c r="C167" s="1" t="s">
        <v>13</v>
      </c>
      <c r="D167" s="1" t="s">
        <v>37</v>
      </c>
      <c r="E167" s="1">
        <v>1</v>
      </c>
      <c r="F167" s="1">
        <v>396</v>
      </c>
      <c r="G167" s="1">
        <v>5</v>
      </c>
      <c r="H167" s="2">
        <v>46092</v>
      </c>
      <c r="I167" s="2">
        <v>46093</v>
      </c>
      <c r="J167" s="1" t="s">
        <v>20</v>
      </c>
      <c r="K167" s="1">
        <v>1166</v>
      </c>
      <c r="L167" s="1" t="str">
        <f t="shared" si="0"/>
        <v>REGULAR ORDER</v>
      </c>
    </row>
    <row r="168" spans="1:12" x14ac:dyDescent="0.3">
      <c r="A168" s="1" t="s">
        <v>48</v>
      </c>
      <c r="B168" s="1" t="s">
        <v>17</v>
      </c>
      <c r="C168" s="1" t="s">
        <v>13</v>
      </c>
      <c r="D168" s="1" t="s">
        <v>37</v>
      </c>
      <c r="E168" s="1">
        <v>20</v>
      </c>
      <c r="F168" s="1">
        <v>251</v>
      </c>
      <c r="G168" s="1">
        <v>5</v>
      </c>
      <c r="H168" s="2">
        <v>46160</v>
      </c>
      <c r="I168" s="2">
        <v>46170</v>
      </c>
      <c r="J168" s="1" t="s">
        <v>29</v>
      </c>
      <c r="K168" s="1">
        <v>1167</v>
      </c>
      <c r="L168" s="1" t="str">
        <f t="shared" si="0"/>
        <v>BULK ORDER</v>
      </c>
    </row>
    <row r="169" spans="1:12" x14ac:dyDescent="0.3">
      <c r="A169" s="1" t="s">
        <v>54</v>
      </c>
      <c r="B169" s="1" t="s">
        <v>12</v>
      </c>
      <c r="C169" s="1" t="s">
        <v>13</v>
      </c>
      <c r="D169" s="1" t="s">
        <v>37</v>
      </c>
      <c r="E169" s="1">
        <v>18</v>
      </c>
      <c r="F169" s="1">
        <v>335</v>
      </c>
      <c r="G169" s="1">
        <v>15</v>
      </c>
      <c r="H169" s="2">
        <v>46130</v>
      </c>
      <c r="I169" s="2">
        <v>46140</v>
      </c>
      <c r="J169" s="1" t="s">
        <v>29</v>
      </c>
      <c r="K169" s="1">
        <v>1168</v>
      </c>
      <c r="L169" s="1" t="str">
        <f t="shared" si="0"/>
        <v>BULK ORDER</v>
      </c>
    </row>
    <row r="170" spans="1:12" x14ac:dyDescent="0.3">
      <c r="A170" s="1" t="s">
        <v>47</v>
      </c>
      <c r="B170" s="1" t="s">
        <v>12</v>
      </c>
      <c r="C170" s="1" t="s">
        <v>18</v>
      </c>
      <c r="D170" s="1" t="s">
        <v>56</v>
      </c>
      <c r="E170" s="1">
        <v>12</v>
      </c>
      <c r="F170" s="1">
        <v>12104</v>
      </c>
      <c r="G170" s="1">
        <v>7</v>
      </c>
      <c r="H170" s="2">
        <v>46121</v>
      </c>
      <c r="I170" s="2">
        <v>46130</v>
      </c>
      <c r="J170" s="1" t="s">
        <v>24</v>
      </c>
      <c r="K170" s="1">
        <v>1169</v>
      </c>
      <c r="L170" s="1" t="str">
        <f t="shared" si="0"/>
        <v>MEDIUM ORDER</v>
      </c>
    </row>
    <row r="171" spans="1:12" x14ac:dyDescent="0.3">
      <c r="A171" s="1" t="s">
        <v>49</v>
      </c>
      <c r="B171" s="1" t="s">
        <v>38</v>
      </c>
      <c r="C171" s="1" t="s">
        <v>13</v>
      </c>
      <c r="D171" s="1" t="s">
        <v>14</v>
      </c>
      <c r="E171" s="1">
        <v>6</v>
      </c>
      <c r="F171" s="1">
        <v>339</v>
      </c>
      <c r="G171" s="1">
        <v>12</v>
      </c>
      <c r="H171" s="2">
        <v>46105</v>
      </c>
      <c r="I171" s="2">
        <v>46106</v>
      </c>
      <c r="J171" s="1" t="s">
        <v>24</v>
      </c>
      <c r="K171" s="1">
        <v>1170</v>
      </c>
      <c r="L171" s="1" t="str">
        <f t="shared" si="0"/>
        <v>MEDIUM ORDER</v>
      </c>
    </row>
    <row r="172" spans="1:12" x14ac:dyDescent="0.3">
      <c r="A172" s="1" t="s">
        <v>57</v>
      </c>
      <c r="B172" s="1" t="s">
        <v>25</v>
      </c>
      <c r="C172" s="1" t="s">
        <v>13</v>
      </c>
      <c r="D172" s="1" t="s">
        <v>50</v>
      </c>
      <c r="E172" s="1">
        <v>17</v>
      </c>
      <c r="F172" s="1">
        <v>147</v>
      </c>
      <c r="G172" s="1">
        <v>12</v>
      </c>
      <c r="H172" s="2">
        <v>46155</v>
      </c>
      <c r="I172" s="2">
        <v>46160</v>
      </c>
      <c r="J172" s="1" t="s">
        <v>20</v>
      </c>
      <c r="K172" s="1">
        <v>1171</v>
      </c>
      <c r="L172" s="1" t="str">
        <f t="shared" si="0"/>
        <v>BULK ORDER</v>
      </c>
    </row>
    <row r="173" spans="1:12" x14ac:dyDescent="0.3">
      <c r="A173" s="1" t="s">
        <v>16</v>
      </c>
      <c r="B173" s="1" t="s">
        <v>12</v>
      </c>
      <c r="C173" s="1" t="s">
        <v>34</v>
      </c>
      <c r="D173" s="1" t="s">
        <v>45</v>
      </c>
      <c r="E173" s="1">
        <v>13</v>
      </c>
      <c r="F173" s="1">
        <v>43163</v>
      </c>
      <c r="G173" s="1">
        <v>12</v>
      </c>
      <c r="H173" s="2">
        <v>46120</v>
      </c>
      <c r="I173" s="2">
        <v>46129</v>
      </c>
      <c r="J173" s="1" t="s">
        <v>24</v>
      </c>
      <c r="K173" s="1">
        <v>1172</v>
      </c>
      <c r="L173" s="1" t="str">
        <f t="shared" si="0"/>
        <v>MEDIUM ORDER</v>
      </c>
    </row>
    <row r="174" spans="1:12" x14ac:dyDescent="0.3">
      <c r="A174" s="1" t="s">
        <v>40</v>
      </c>
      <c r="B174" s="1" t="s">
        <v>17</v>
      </c>
      <c r="C174" s="1" t="s">
        <v>13</v>
      </c>
      <c r="D174" s="1" t="s">
        <v>37</v>
      </c>
      <c r="E174" s="1">
        <v>15</v>
      </c>
      <c r="F174" s="1">
        <v>214</v>
      </c>
      <c r="G174" s="1">
        <v>10</v>
      </c>
      <c r="H174" s="2">
        <v>46050</v>
      </c>
      <c r="I174" s="2">
        <v>46060</v>
      </c>
      <c r="J174" s="1" t="s">
        <v>51</v>
      </c>
      <c r="K174" s="1">
        <v>1173</v>
      </c>
      <c r="L174" s="1" t="str">
        <f t="shared" si="0"/>
        <v>BULK ORDER</v>
      </c>
    </row>
    <row r="175" spans="1:12" x14ac:dyDescent="0.3">
      <c r="A175" s="1" t="s">
        <v>58</v>
      </c>
      <c r="B175" s="1" t="s">
        <v>38</v>
      </c>
      <c r="C175" s="1" t="s">
        <v>13</v>
      </c>
      <c r="D175" s="1" t="s">
        <v>14</v>
      </c>
      <c r="E175" s="1">
        <v>13</v>
      </c>
      <c r="F175" s="1">
        <v>155</v>
      </c>
      <c r="G175" s="1">
        <v>2</v>
      </c>
      <c r="H175" s="2">
        <v>46066</v>
      </c>
      <c r="I175" s="2">
        <v>46069</v>
      </c>
      <c r="J175" s="1" t="s">
        <v>24</v>
      </c>
      <c r="K175" s="1">
        <v>1174</v>
      </c>
      <c r="L175" s="1" t="str">
        <f t="shared" si="0"/>
        <v>MEDIUM ORDER</v>
      </c>
    </row>
    <row r="176" spans="1:12" x14ac:dyDescent="0.3">
      <c r="A176" s="1" t="s">
        <v>26</v>
      </c>
      <c r="B176" s="1" t="s">
        <v>17</v>
      </c>
      <c r="C176" s="1" t="s">
        <v>34</v>
      </c>
      <c r="D176" s="1" t="s">
        <v>41</v>
      </c>
      <c r="E176" s="1">
        <v>10</v>
      </c>
      <c r="F176" s="1">
        <v>20339</v>
      </c>
      <c r="G176" s="1">
        <v>2</v>
      </c>
      <c r="H176" s="2">
        <v>46088</v>
      </c>
      <c r="I176" s="2">
        <v>46094</v>
      </c>
      <c r="J176" s="1" t="s">
        <v>20</v>
      </c>
      <c r="K176" s="1">
        <v>1175</v>
      </c>
      <c r="L176" s="1" t="str">
        <f t="shared" si="0"/>
        <v>MEDIUM ORDER</v>
      </c>
    </row>
    <row r="177" spans="1:12" x14ac:dyDescent="0.3">
      <c r="A177" s="1" t="s">
        <v>58</v>
      </c>
      <c r="B177" s="1" t="s">
        <v>38</v>
      </c>
      <c r="C177" s="1" t="s">
        <v>34</v>
      </c>
      <c r="D177" s="1" t="s">
        <v>41</v>
      </c>
      <c r="E177" s="1">
        <v>17</v>
      </c>
      <c r="F177" s="1">
        <v>46937</v>
      </c>
      <c r="G177" s="1">
        <v>12</v>
      </c>
      <c r="H177" s="2">
        <v>46048</v>
      </c>
      <c r="I177" s="2">
        <v>46056</v>
      </c>
      <c r="J177" s="1" t="s">
        <v>29</v>
      </c>
      <c r="K177" s="1">
        <v>1176</v>
      </c>
      <c r="L177" s="1" t="str">
        <f t="shared" si="0"/>
        <v>BULK ORDER</v>
      </c>
    </row>
    <row r="178" spans="1:12" x14ac:dyDescent="0.3">
      <c r="A178" s="1" t="s">
        <v>29</v>
      </c>
      <c r="B178" s="1" t="s">
        <v>22</v>
      </c>
      <c r="C178" s="1" t="s">
        <v>18</v>
      </c>
      <c r="D178" s="1" t="s">
        <v>19</v>
      </c>
      <c r="E178" s="1">
        <v>14</v>
      </c>
      <c r="F178" s="1">
        <v>7501</v>
      </c>
      <c r="G178" s="1">
        <v>7</v>
      </c>
      <c r="H178" s="2">
        <v>46169</v>
      </c>
      <c r="I178" s="2">
        <v>46179</v>
      </c>
      <c r="J178" s="1" t="s">
        <v>20</v>
      </c>
      <c r="K178" s="1">
        <v>1177</v>
      </c>
      <c r="L178" s="1" t="str">
        <f t="shared" si="0"/>
        <v>MEDIUM ORDER</v>
      </c>
    </row>
    <row r="179" spans="1:12" x14ac:dyDescent="0.3">
      <c r="A179" s="1" t="s">
        <v>57</v>
      </c>
      <c r="B179" s="1" t="s">
        <v>17</v>
      </c>
      <c r="C179" s="1" t="s">
        <v>13</v>
      </c>
      <c r="D179" s="1" t="s">
        <v>50</v>
      </c>
      <c r="E179" s="1">
        <v>5</v>
      </c>
      <c r="F179" s="1">
        <v>50</v>
      </c>
      <c r="G179" s="1">
        <v>0</v>
      </c>
      <c r="H179" s="2">
        <v>46111</v>
      </c>
      <c r="I179" s="2">
        <v>46117</v>
      </c>
      <c r="J179" s="1" t="s">
        <v>20</v>
      </c>
      <c r="K179" s="1">
        <v>1178</v>
      </c>
      <c r="L179" s="1" t="str">
        <f t="shared" si="0"/>
        <v>MEDIUM ORDER</v>
      </c>
    </row>
    <row r="180" spans="1:12" x14ac:dyDescent="0.3">
      <c r="A180" s="1" t="s">
        <v>47</v>
      </c>
      <c r="B180" s="1" t="s">
        <v>17</v>
      </c>
      <c r="C180" s="1" t="s">
        <v>34</v>
      </c>
      <c r="D180" s="1" t="s">
        <v>39</v>
      </c>
      <c r="E180" s="1">
        <v>6</v>
      </c>
      <c r="F180" s="1">
        <v>10400</v>
      </c>
      <c r="G180" s="1">
        <v>2</v>
      </c>
      <c r="H180" s="2">
        <v>46155</v>
      </c>
      <c r="I180" s="2">
        <v>46158</v>
      </c>
      <c r="J180" s="1" t="s">
        <v>15</v>
      </c>
      <c r="K180" s="1">
        <v>1179</v>
      </c>
      <c r="L180" s="1" t="str">
        <f t="shared" si="0"/>
        <v>MEDIUM ORDER</v>
      </c>
    </row>
    <row r="181" spans="1:12" x14ac:dyDescent="0.3">
      <c r="A181" s="1" t="s">
        <v>40</v>
      </c>
      <c r="B181" s="1" t="s">
        <v>31</v>
      </c>
      <c r="C181" s="1" t="s">
        <v>18</v>
      </c>
      <c r="D181" s="1" t="s">
        <v>28</v>
      </c>
      <c r="E181" s="1">
        <v>2</v>
      </c>
      <c r="F181" s="1">
        <v>2076</v>
      </c>
      <c r="G181" s="1">
        <v>2</v>
      </c>
      <c r="H181" s="2">
        <v>46111</v>
      </c>
      <c r="I181" s="2">
        <v>46121</v>
      </c>
      <c r="J181" s="1" t="s">
        <v>29</v>
      </c>
      <c r="K181" s="1">
        <v>1180</v>
      </c>
      <c r="L181" s="1" t="str">
        <f t="shared" si="0"/>
        <v>REGULAR ORDER</v>
      </c>
    </row>
    <row r="182" spans="1:12" x14ac:dyDescent="0.3">
      <c r="A182" s="1" t="s">
        <v>58</v>
      </c>
      <c r="B182" s="1" t="s">
        <v>33</v>
      </c>
      <c r="C182" s="1" t="s">
        <v>13</v>
      </c>
      <c r="D182" s="1" t="s">
        <v>36</v>
      </c>
      <c r="E182" s="1">
        <v>4</v>
      </c>
      <c r="F182" s="1">
        <v>357</v>
      </c>
      <c r="G182" s="1">
        <v>2</v>
      </c>
      <c r="H182" s="2">
        <v>46033</v>
      </c>
      <c r="I182" s="2">
        <v>46035</v>
      </c>
      <c r="J182" s="1" t="s">
        <v>15</v>
      </c>
      <c r="K182" s="1">
        <v>1181</v>
      </c>
      <c r="L182" s="1" t="str">
        <f t="shared" si="0"/>
        <v>REGULAR ORDER</v>
      </c>
    </row>
    <row r="183" spans="1:12" x14ac:dyDescent="0.3">
      <c r="A183" s="1" t="s">
        <v>42</v>
      </c>
      <c r="B183" s="1" t="s">
        <v>12</v>
      </c>
      <c r="C183" s="1" t="s">
        <v>34</v>
      </c>
      <c r="D183" s="1" t="s">
        <v>39</v>
      </c>
      <c r="E183" s="1">
        <v>8</v>
      </c>
      <c r="F183" s="1">
        <v>66022</v>
      </c>
      <c r="G183" s="1">
        <v>12</v>
      </c>
      <c r="H183" s="2">
        <v>46108</v>
      </c>
      <c r="I183" s="2">
        <v>46114</v>
      </c>
      <c r="J183" s="1" t="s">
        <v>24</v>
      </c>
      <c r="K183" s="1">
        <v>1182</v>
      </c>
      <c r="L183" s="1" t="str">
        <f t="shared" si="0"/>
        <v>MEDIUM ORDER</v>
      </c>
    </row>
    <row r="184" spans="1:12" x14ac:dyDescent="0.3">
      <c r="A184" s="1" t="s">
        <v>52</v>
      </c>
      <c r="B184" s="1" t="s">
        <v>43</v>
      </c>
      <c r="C184" s="1" t="s">
        <v>13</v>
      </c>
      <c r="D184" s="1" t="s">
        <v>14</v>
      </c>
      <c r="E184" s="1">
        <v>2</v>
      </c>
      <c r="F184" s="1">
        <v>309</v>
      </c>
      <c r="G184" s="1">
        <v>2</v>
      </c>
      <c r="H184" s="2">
        <v>46109</v>
      </c>
      <c r="I184" s="2">
        <v>46111</v>
      </c>
      <c r="J184" s="1" t="s">
        <v>20</v>
      </c>
      <c r="K184" s="1">
        <v>1183</v>
      </c>
      <c r="L184" s="1" t="str">
        <f t="shared" si="0"/>
        <v>REGULAR ORDER</v>
      </c>
    </row>
    <row r="185" spans="1:12" x14ac:dyDescent="0.3">
      <c r="A185" s="1" t="s">
        <v>40</v>
      </c>
      <c r="B185" s="1" t="s">
        <v>31</v>
      </c>
      <c r="C185" s="1" t="s">
        <v>34</v>
      </c>
      <c r="D185" s="1" t="s">
        <v>39</v>
      </c>
      <c r="E185" s="1">
        <v>12</v>
      </c>
      <c r="F185" s="1">
        <v>50517</v>
      </c>
      <c r="G185" s="1">
        <v>15</v>
      </c>
      <c r="H185" s="2">
        <v>46145</v>
      </c>
      <c r="I185" s="2">
        <v>46153</v>
      </c>
      <c r="J185" s="1" t="s">
        <v>29</v>
      </c>
      <c r="K185" s="1">
        <v>1184</v>
      </c>
      <c r="L185" s="1" t="str">
        <f t="shared" si="0"/>
        <v>MEDIUM ORDER</v>
      </c>
    </row>
    <row r="186" spans="1:12" x14ac:dyDescent="0.3">
      <c r="A186" s="1" t="s">
        <v>58</v>
      </c>
      <c r="B186" s="1" t="s">
        <v>22</v>
      </c>
      <c r="C186" s="1" t="s">
        <v>34</v>
      </c>
      <c r="D186" s="1" t="s">
        <v>60</v>
      </c>
      <c r="E186" s="1">
        <v>16</v>
      </c>
      <c r="F186" s="1">
        <v>15536</v>
      </c>
      <c r="G186" s="1">
        <v>2</v>
      </c>
      <c r="H186" s="2">
        <v>46153</v>
      </c>
      <c r="I186" s="2">
        <v>46156</v>
      </c>
      <c r="J186" s="1" t="s">
        <v>15</v>
      </c>
      <c r="K186" s="1">
        <v>1185</v>
      </c>
      <c r="L186" s="1" t="str">
        <f t="shared" si="0"/>
        <v>BULK ORDER</v>
      </c>
    </row>
    <row r="187" spans="1:12" x14ac:dyDescent="0.3">
      <c r="A187" s="1" t="s">
        <v>16</v>
      </c>
      <c r="B187" s="1" t="s">
        <v>25</v>
      </c>
      <c r="C187" s="1" t="s">
        <v>18</v>
      </c>
      <c r="D187" s="1" t="s">
        <v>44</v>
      </c>
      <c r="E187" s="1">
        <v>10</v>
      </c>
      <c r="F187" s="1">
        <v>14951</v>
      </c>
      <c r="G187" s="1">
        <v>2</v>
      </c>
      <c r="H187" s="2">
        <v>46188</v>
      </c>
      <c r="I187" s="2">
        <v>46196</v>
      </c>
      <c r="J187" s="1" t="s">
        <v>24</v>
      </c>
      <c r="K187" s="1">
        <v>1186</v>
      </c>
      <c r="L187" s="1" t="str">
        <f t="shared" si="0"/>
        <v>MEDIUM ORDER</v>
      </c>
    </row>
    <row r="188" spans="1:12" x14ac:dyDescent="0.3">
      <c r="A188" s="1" t="s">
        <v>54</v>
      </c>
      <c r="B188" s="1" t="s">
        <v>22</v>
      </c>
      <c r="C188" s="1" t="s">
        <v>34</v>
      </c>
      <c r="D188" s="1" t="s">
        <v>45</v>
      </c>
      <c r="E188" s="1">
        <v>18</v>
      </c>
      <c r="F188" s="1">
        <v>68527</v>
      </c>
      <c r="G188" s="1">
        <v>12</v>
      </c>
      <c r="H188" s="2">
        <v>46178</v>
      </c>
      <c r="I188" s="2">
        <v>46184</v>
      </c>
      <c r="J188" s="1" t="s">
        <v>51</v>
      </c>
      <c r="K188" s="1">
        <v>1187</v>
      </c>
      <c r="L188" s="1" t="str">
        <f t="shared" si="0"/>
        <v>BULK ORDER</v>
      </c>
    </row>
    <row r="189" spans="1:12" x14ac:dyDescent="0.3">
      <c r="A189" s="1" t="s">
        <v>29</v>
      </c>
      <c r="B189" s="1" t="s">
        <v>22</v>
      </c>
      <c r="C189" s="1" t="s">
        <v>18</v>
      </c>
      <c r="D189" s="1" t="s">
        <v>56</v>
      </c>
      <c r="E189" s="1">
        <v>6</v>
      </c>
      <c r="F189" s="1">
        <v>10368</v>
      </c>
      <c r="G189" s="1">
        <v>7</v>
      </c>
      <c r="H189" s="2">
        <v>46137</v>
      </c>
      <c r="I189" s="2">
        <v>46142</v>
      </c>
      <c r="J189" s="1" t="s">
        <v>15</v>
      </c>
      <c r="K189" s="1">
        <v>1188</v>
      </c>
      <c r="L189" s="1" t="str">
        <f t="shared" si="0"/>
        <v>MEDIUM ORDER</v>
      </c>
    </row>
    <row r="190" spans="1:12" x14ac:dyDescent="0.3">
      <c r="A190" s="1" t="s">
        <v>49</v>
      </c>
      <c r="B190" s="1" t="s">
        <v>31</v>
      </c>
      <c r="C190" s="1" t="s">
        <v>18</v>
      </c>
      <c r="D190" s="1" t="s">
        <v>56</v>
      </c>
      <c r="E190" s="1">
        <v>12</v>
      </c>
      <c r="F190" s="1">
        <v>8327</v>
      </c>
      <c r="G190" s="1">
        <v>10</v>
      </c>
      <c r="H190" s="2">
        <v>46184</v>
      </c>
      <c r="I190" s="2">
        <v>46185</v>
      </c>
      <c r="J190" s="1" t="s">
        <v>29</v>
      </c>
      <c r="K190" s="1">
        <v>1189</v>
      </c>
      <c r="L190" s="1" t="str">
        <f t="shared" si="0"/>
        <v>MEDIUM ORDER</v>
      </c>
    </row>
    <row r="191" spans="1:12" x14ac:dyDescent="0.3">
      <c r="A191" s="1" t="s">
        <v>57</v>
      </c>
      <c r="B191" s="1" t="s">
        <v>17</v>
      </c>
      <c r="C191" s="1" t="s">
        <v>18</v>
      </c>
      <c r="D191" s="1" t="s">
        <v>28</v>
      </c>
      <c r="E191" s="1">
        <v>4</v>
      </c>
      <c r="F191" s="1">
        <v>10154</v>
      </c>
      <c r="G191" s="1">
        <v>7</v>
      </c>
      <c r="H191" s="2">
        <v>46052</v>
      </c>
      <c r="I191" s="2">
        <v>46062</v>
      </c>
      <c r="J191" s="1" t="s">
        <v>20</v>
      </c>
      <c r="K191" s="1">
        <v>1190</v>
      </c>
      <c r="L191" s="1" t="str">
        <f t="shared" si="0"/>
        <v>REGULAR ORDER</v>
      </c>
    </row>
    <row r="192" spans="1:12" x14ac:dyDescent="0.3">
      <c r="A192" s="1" t="s">
        <v>52</v>
      </c>
      <c r="B192" s="1" t="s">
        <v>33</v>
      </c>
      <c r="C192" s="1" t="s">
        <v>18</v>
      </c>
      <c r="D192" s="1" t="s">
        <v>56</v>
      </c>
      <c r="E192" s="1">
        <v>9</v>
      </c>
      <c r="F192" s="1">
        <v>8631</v>
      </c>
      <c r="G192" s="1">
        <v>10</v>
      </c>
      <c r="H192" s="2">
        <v>46149</v>
      </c>
      <c r="I192" s="2">
        <v>46156</v>
      </c>
      <c r="J192" s="1" t="s">
        <v>20</v>
      </c>
      <c r="K192" s="1">
        <v>1191</v>
      </c>
      <c r="L192" s="1" t="str">
        <f t="shared" si="0"/>
        <v>MEDIUM ORDER</v>
      </c>
    </row>
    <row r="193" spans="1:12" x14ac:dyDescent="0.3">
      <c r="A193" s="1" t="s">
        <v>21</v>
      </c>
      <c r="B193" s="1" t="s">
        <v>33</v>
      </c>
      <c r="C193" s="1" t="s">
        <v>13</v>
      </c>
      <c r="D193" s="1" t="s">
        <v>53</v>
      </c>
      <c r="E193" s="1">
        <v>18</v>
      </c>
      <c r="F193" s="1">
        <v>49</v>
      </c>
      <c r="G193" s="1">
        <v>12</v>
      </c>
      <c r="H193" s="2">
        <v>46089</v>
      </c>
      <c r="I193" s="2">
        <v>46095</v>
      </c>
      <c r="J193" s="1" t="s">
        <v>24</v>
      </c>
      <c r="K193" s="1">
        <v>1192</v>
      </c>
      <c r="L193" s="1" t="str">
        <f t="shared" si="0"/>
        <v>BULK ORDER</v>
      </c>
    </row>
    <row r="194" spans="1:12" x14ac:dyDescent="0.3">
      <c r="A194" s="1" t="s">
        <v>57</v>
      </c>
      <c r="B194" s="1" t="s">
        <v>12</v>
      </c>
      <c r="C194" s="1" t="s">
        <v>18</v>
      </c>
      <c r="D194" s="1" t="s">
        <v>23</v>
      </c>
      <c r="E194" s="1">
        <v>19</v>
      </c>
      <c r="F194" s="1">
        <v>2699</v>
      </c>
      <c r="G194" s="1">
        <v>7</v>
      </c>
      <c r="H194" s="2">
        <v>46110</v>
      </c>
      <c r="I194" s="2">
        <v>46112</v>
      </c>
      <c r="J194" s="1" t="s">
        <v>29</v>
      </c>
      <c r="K194" s="1">
        <v>1193</v>
      </c>
      <c r="L194" s="1" t="str">
        <f t="shared" si="0"/>
        <v>BULK ORDER</v>
      </c>
    </row>
    <row r="195" spans="1:12" x14ac:dyDescent="0.3">
      <c r="A195" s="1" t="s">
        <v>57</v>
      </c>
      <c r="B195" s="1" t="s">
        <v>43</v>
      </c>
      <c r="C195" s="1" t="s">
        <v>18</v>
      </c>
      <c r="D195" s="1" t="s">
        <v>28</v>
      </c>
      <c r="E195" s="1">
        <v>13</v>
      </c>
      <c r="F195" s="1">
        <v>12856</v>
      </c>
      <c r="G195" s="1">
        <v>15</v>
      </c>
      <c r="H195" s="2">
        <v>46129</v>
      </c>
      <c r="I195" s="2">
        <v>46133</v>
      </c>
      <c r="J195" s="1" t="s">
        <v>51</v>
      </c>
      <c r="K195" s="1">
        <v>1194</v>
      </c>
      <c r="L195" s="1" t="str">
        <f t="shared" si="0"/>
        <v>MEDIUM ORDER</v>
      </c>
    </row>
    <row r="196" spans="1:12" x14ac:dyDescent="0.3">
      <c r="A196" s="1" t="s">
        <v>59</v>
      </c>
      <c r="B196" s="1" t="s">
        <v>17</v>
      </c>
      <c r="C196" s="1" t="s">
        <v>13</v>
      </c>
      <c r="D196" s="1" t="s">
        <v>50</v>
      </c>
      <c r="E196" s="1">
        <v>19</v>
      </c>
      <c r="F196" s="1">
        <v>313</v>
      </c>
      <c r="G196" s="1">
        <v>2</v>
      </c>
      <c r="H196" s="2">
        <v>46198</v>
      </c>
      <c r="I196" s="2">
        <v>46206</v>
      </c>
      <c r="J196" s="1" t="s">
        <v>51</v>
      </c>
      <c r="K196" s="1">
        <v>1195</v>
      </c>
      <c r="L196" s="1" t="str">
        <f t="shared" si="0"/>
        <v>BULK ORDER</v>
      </c>
    </row>
    <row r="197" spans="1:12" x14ac:dyDescent="0.3">
      <c r="A197" s="1" t="s">
        <v>48</v>
      </c>
      <c r="B197" s="1" t="s">
        <v>22</v>
      </c>
      <c r="C197" s="1" t="s">
        <v>34</v>
      </c>
      <c r="D197" s="1" t="s">
        <v>35</v>
      </c>
      <c r="E197" s="1">
        <v>20</v>
      </c>
      <c r="F197" s="1">
        <v>3172</v>
      </c>
      <c r="G197" s="1">
        <v>5</v>
      </c>
      <c r="H197" s="2">
        <v>46155</v>
      </c>
      <c r="I197" s="2">
        <v>46159</v>
      </c>
      <c r="J197" s="1" t="s">
        <v>20</v>
      </c>
      <c r="K197" s="1">
        <v>1196</v>
      </c>
      <c r="L197" s="1" t="str">
        <f t="shared" si="0"/>
        <v>BULK ORDER</v>
      </c>
    </row>
    <row r="198" spans="1:12" x14ac:dyDescent="0.3">
      <c r="A198" s="1" t="s">
        <v>52</v>
      </c>
      <c r="B198" s="1" t="s">
        <v>31</v>
      </c>
      <c r="C198" s="1" t="s">
        <v>34</v>
      </c>
      <c r="D198" s="1" t="s">
        <v>35</v>
      </c>
      <c r="E198" s="1">
        <v>5</v>
      </c>
      <c r="F198" s="1">
        <v>45352</v>
      </c>
      <c r="G198" s="1">
        <v>12</v>
      </c>
      <c r="H198" s="2">
        <v>46045</v>
      </c>
      <c r="I198" s="2">
        <v>46048</v>
      </c>
      <c r="J198" s="1" t="s">
        <v>15</v>
      </c>
      <c r="K198" s="1">
        <v>1197</v>
      </c>
      <c r="L198" s="1" t="str">
        <f t="shared" si="0"/>
        <v>MEDIUM ORDER</v>
      </c>
    </row>
    <row r="199" spans="1:12" x14ac:dyDescent="0.3">
      <c r="A199" s="1" t="s">
        <v>58</v>
      </c>
      <c r="B199" s="1" t="s">
        <v>12</v>
      </c>
      <c r="C199" s="1" t="s">
        <v>13</v>
      </c>
      <c r="D199" s="1" t="s">
        <v>14</v>
      </c>
      <c r="E199" s="1">
        <v>12</v>
      </c>
      <c r="F199" s="1">
        <v>491</v>
      </c>
      <c r="G199" s="1">
        <v>2</v>
      </c>
      <c r="H199" s="2">
        <v>46106</v>
      </c>
      <c r="I199" s="2">
        <v>46109</v>
      </c>
      <c r="J199" s="1" t="s">
        <v>51</v>
      </c>
      <c r="K199" s="1">
        <v>1198</v>
      </c>
      <c r="L199" s="1" t="str">
        <f t="shared" si="0"/>
        <v>MEDIUM ORDER</v>
      </c>
    </row>
    <row r="200" spans="1:12" x14ac:dyDescent="0.3">
      <c r="A200" s="1" t="s">
        <v>11</v>
      </c>
      <c r="B200" s="1" t="s">
        <v>25</v>
      </c>
      <c r="C200" s="1" t="s">
        <v>34</v>
      </c>
      <c r="D200" s="1" t="s">
        <v>45</v>
      </c>
      <c r="E200" s="1">
        <v>2</v>
      </c>
      <c r="F200" s="1">
        <v>4375</v>
      </c>
      <c r="G200" s="1">
        <v>7</v>
      </c>
      <c r="H200" s="2">
        <v>46178</v>
      </c>
      <c r="I200" s="2">
        <v>46180</v>
      </c>
      <c r="J200" s="1" t="s">
        <v>24</v>
      </c>
      <c r="K200" s="1">
        <v>1199</v>
      </c>
      <c r="L200" s="1" t="str">
        <f t="shared" si="0"/>
        <v>REGULAR ORDER</v>
      </c>
    </row>
    <row r="201" spans="1:12" x14ac:dyDescent="0.3">
      <c r="A201" s="1" t="s">
        <v>29</v>
      </c>
      <c r="B201" s="1" t="s">
        <v>31</v>
      </c>
      <c r="C201" s="1" t="s">
        <v>34</v>
      </c>
      <c r="D201" s="1" t="s">
        <v>45</v>
      </c>
      <c r="E201" s="1">
        <v>13</v>
      </c>
      <c r="F201" s="1">
        <v>69422</v>
      </c>
      <c r="G201" s="1">
        <v>0</v>
      </c>
      <c r="H201" s="2">
        <v>46134</v>
      </c>
      <c r="I201" s="2">
        <v>46143</v>
      </c>
      <c r="J201" s="1" t="s">
        <v>29</v>
      </c>
      <c r="K201" s="1">
        <v>1200</v>
      </c>
      <c r="L201" s="1" t="str">
        <f t="shared" si="0"/>
        <v>MEDIUM ORDER</v>
      </c>
    </row>
    <row r="202" spans="1:12" x14ac:dyDescent="0.3">
      <c r="A202" s="1" t="s">
        <v>54</v>
      </c>
      <c r="B202" s="1" t="s">
        <v>31</v>
      </c>
      <c r="C202" s="1" t="s">
        <v>13</v>
      </c>
      <c r="D202" s="1" t="s">
        <v>53</v>
      </c>
      <c r="E202" s="1">
        <v>18</v>
      </c>
      <c r="F202" s="1">
        <v>139</v>
      </c>
      <c r="G202" s="1">
        <v>12</v>
      </c>
      <c r="H202" s="2">
        <v>46075</v>
      </c>
      <c r="I202" s="2">
        <v>46076</v>
      </c>
      <c r="J202" s="1" t="s">
        <v>20</v>
      </c>
      <c r="K202" s="1">
        <v>1201</v>
      </c>
      <c r="L202" s="1" t="str">
        <f t="shared" si="0"/>
        <v>BULK ORDER</v>
      </c>
    </row>
    <row r="203" spans="1:12" x14ac:dyDescent="0.3">
      <c r="A203" s="1" t="s">
        <v>57</v>
      </c>
      <c r="B203" s="1" t="s">
        <v>22</v>
      </c>
      <c r="C203" s="1" t="s">
        <v>34</v>
      </c>
      <c r="D203" s="1" t="s">
        <v>35</v>
      </c>
      <c r="E203" s="1">
        <v>2</v>
      </c>
      <c r="F203" s="1">
        <v>20312</v>
      </c>
      <c r="G203" s="1">
        <v>12</v>
      </c>
      <c r="H203" s="2">
        <v>46082</v>
      </c>
      <c r="I203" s="2">
        <v>46091</v>
      </c>
      <c r="J203" s="1" t="s">
        <v>15</v>
      </c>
      <c r="K203" s="1">
        <v>1202</v>
      </c>
      <c r="L203" s="1" t="str">
        <f t="shared" si="0"/>
        <v>REGULAR ORDER</v>
      </c>
    </row>
    <row r="204" spans="1:12" x14ac:dyDescent="0.3">
      <c r="A204" s="1" t="s">
        <v>40</v>
      </c>
      <c r="B204" s="1" t="s">
        <v>22</v>
      </c>
      <c r="C204" s="1" t="s">
        <v>18</v>
      </c>
      <c r="D204" s="1" t="s">
        <v>23</v>
      </c>
      <c r="E204" s="1">
        <v>17</v>
      </c>
      <c r="F204" s="1">
        <v>6695</v>
      </c>
      <c r="G204" s="1">
        <v>2</v>
      </c>
      <c r="H204" s="2">
        <v>46119</v>
      </c>
      <c r="I204" s="2">
        <v>46122</v>
      </c>
      <c r="J204" s="1" t="s">
        <v>51</v>
      </c>
      <c r="K204" s="1">
        <v>1203</v>
      </c>
      <c r="L204" s="1" t="str">
        <f t="shared" si="0"/>
        <v>BULK ORDER</v>
      </c>
    </row>
    <row r="205" spans="1:12" x14ac:dyDescent="0.3">
      <c r="A205" s="1" t="s">
        <v>16</v>
      </c>
      <c r="B205" s="1" t="s">
        <v>31</v>
      </c>
      <c r="C205" s="1" t="s">
        <v>13</v>
      </c>
      <c r="D205" s="1" t="s">
        <v>37</v>
      </c>
      <c r="E205" s="1">
        <v>13</v>
      </c>
      <c r="F205" s="1">
        <v>416</v>
      </c>
      <c r="G205" s="1">
        <v>10</v>
      </c>
      <c r="H205" s="2">
        <v>46123</v>
      </c>
      <c r="I205" s="2">
        <v>46132</v>
      </c>
      <c r="J205" s="1" t="s">
        <v>20</v>
      </c>
      <c r="K205" s="1">
        <v>1204</v>
      </c>
      <c r="L205" s="1" t="str">
        <f t="shared" si="0"/>
        <v>MEDIUM ORDER</v>
      </c>
    </row>
    <row r="206" spans="1:12" x14ac:dyDescent="0.3">
      <c r="A206" s="1" t="s">
        <v>21</v>
      </c>
      <c r="B206" s="1" t="s">
        <v>38</v>
      </c>
      <c r="C206" s="1" t="s">
        <v>13</v>
      </c>
      <c r="D206" s="1" t="s">
        <v>36</v>
      </c>
      <c r="E206" s="1">
        <v>1</v>
      </c>
      <c r="F206" s="1">
        <v>112</v>
      </c>
      <c r="G206" s="1">
        <v>7</v>
      </c>
      <c r="H206" s="2">
        <v>46033</v>
      </c>
      <c r="I206" s="2">
        <v>46040</v>
      </c>
      <c r="J206" s="1" t="s">
        <v>51</v>
      </c>
      <c r="K206" s="1">
        <v>1205</v>
      </c>
      <c r="L206" s="1" t="str">
        <f t="shared" si="0"/>
        <v>REGULAR ORDER</v>
      </c>
    </row>
    <row r="207" spans="1:12" x14ac:dyDescent="0.3">
      <c r="A207" s="1" t="s">
        <v>55</v>
      </c>
      <c r="B207" s="1" t="s">
        <v>33</v>
      </c>
      <c r="C207" s="1" t="s">
        <v>13</v>
      </c>
      <c r="D207" s="1" t="s">
        <v>14</v>
      </c>
      <c r="E207" s="1">
        <v>9</v>
      </c>
      <c r="F207" s="1">
        <v>60</v>
      </c>
      <c r="G207" s="1">
        <v>0</v>
      </c>
      <c r="H207" s="2">
        <v>46166</v>
      </c>
      <c r="I207" s="2">
        <v>46174</v>
      </c>
      <c r="J207" s="1" t="s">
        <v>15</v>
      </c>
      <c r="K207" s="1">
        <v>1206</v>
      </c>
      <c r="L207" s="1" t="str">
        <f t="shared" si="0"/>
        <v>MEDIUM ORDER</v>
      </c>
    </row>
    <row r="208" spans="1:12" x14ac:dyDescent="0.3">
      <c r="A208" s="1" t="s">
        <v>55</v>
      </c>
      <c r="B208" s="1" t="s">
        <v>25</v>
      </c>
      <c r="C208" s="1" t="s">
        <v>13</v>
      </c>
      <c r="D208" s="1" t="s">
        <v>53</v>
      </c>
      <c r="E208" s="1">
        <v>7</v>
      </c>
      <c r="F208" s="1">
        <v>244</v>
      </c>
      <c r="G208" s="1">
        <v>2</v>
      </c>
      <c r="H208" s="2">
        <v>46164</v>
      </c>
      <c r="I208" s="2">
        <v>46173</v>
      </c>
      <c r="J208" s="1" t="s">
        <v>24</v>
      </c>
      <c r="K208" s="1">
        <v>1207</v>
      </c>
      <c r="L208" s="1" t="str">
        <f t="shared" si="0"/>
        <v>MEDIUM ORDER</v>
      </c>
    </row>
    <row r="209" spans="1:12" x14ac:dyDescent="0.3">
      <c r="A209" s="1" t="s">
        <v>54</v>
      </c>
      <c r="B209" s="1" t="s">
        <v>43</v>
      </c>
      <c r="C209" s="1" t="s">
        <v>18</v>
      </c>
      <c r="D209" s="1" t="s">
        <v>44</v>
      </c>
      <c r="E209" s="1">
        <v>6</v>
      </c>
      <c r="F209" s="1">
        <v>7627</v>
      </c>
      <c r="G209" s="1">
        <v>10</v>
      </c>
      <c r="H209" s="2">
        <v>46042</v>
      </c>
      <c r="I209" s="2">
        <v>46047</v>
      </c>
      <c r="J209" s="1" t="s">
        <v>20</v>
      </c>
      <c r="K209" s="1">
        <v>1208</v>
      </c>
      <c r="L209" s="1" t="str">
        <f t="shared" si="0"/>
        <v>MEDIUM ORDER</v>
      </c>
    </row>
    <row r="210" spans="1:12" x14ac:dyDescent="0.3">
      <c r="A210" s="1" t="s">
        <v>48</v>
      </c>
      <c r="B210" s="1" t="s">
        <v>38</v>
      </c>
      <c r="C210" s="1" t="s">
        <v>34</v>
      </c>
      <c r="D210" s="1" t="s">
        <v>35</v>
      </c>
      <c r="E210" s="1">
        <v>19</v>
      </c>
      <c r="F210" s="1">
        <v>20284</v>
      </c>
      <c r="G210" s="1">
        <v>10</v>
      </c>
      <c r="H210" s="2">
        <v>46103</v>
      </c>
      <c r="I210" s="2">
        <v>46110</v>
      </c>
      <c r="J210" s="1" t="s">
        <v>20</v>
      </c>
      <c r="K210" s="1">
        <v>1209</v>
      </c>
      <c r="L210" s="1" t="str">
        <f t="shared" si="0"/>
        <v>BULK ORDER</v>
      </c>
    </row>
    <row r="211" spans="1:12" x14ac:dyDescent="0.3">
      <c r="A211" s="1" t="s">
        <v>30</v>
      </c>
      <c r="B211" s="1" t="s">
        <v>31</v>
      </c>
      <c r="C211" s="1" t="s">
        <v>13</v>
      </c>
      <c r="D211" s="1" t="s">
        <v>53</v>
      </c>
      <c r="E211" s="1">
        <v>10</v>
      </c>
      <c r="F211" s="1">
        <v>349</v>
      </c>
      <c r="G211" s="1">
        <v>0</v>
      </c>
      <c r="H211" s="2">
        <v>46052</v>
      </c>
      <c r="I211" s="2">
        <v>46060</v>
      </c>
      <c r="J211" s="1" t="s">
        <v>29</v>
      </c>
      <c r="K211" s="1">
        <v>1210</v>
      </c>
      <c r="L211" s="1" t="str">
        <f t="shared" si="0"/>
        <v>MEDIUM ORDER</v>
      </c>
    </row>
    <row r="212" spans="1:12" x14ac:dyDescent="0.3">
      <c r="A212" s="1" t="s">
        <v>48</v>
      </c>
      <c r="B212" s="1" t="s">
        <v>17</v>
      </c>
      <c r="C212" s="1" t="s">
        <v>34</v>
      </c>
      <c r="D212" s="1" t="s">
        <v>35</v>
      </c>
      <c r="E212" s="1">
        <v>3</v>
      </c>
      <c r="F212" s="1">
        <v>5962</v>
      </c>
      <c r="G212" s="1">
        <v>7</v>
      </c>
      <c r="H212" s="2">
        <v>46175</v>
      </c>
      <c r="I212" s="2">
        <v>46183</v>
      </c>
      <c r="J212" s="1" t="s">
        <v>15</v>
      </c>
      <c r="K212" s="1">
        <v>1211</v>
      </c>
      <c r="L212" s="1" t="str">
        <f t="shared" si="0"/>
        <v>REGULAR ORDER</v>
      </c>
    </row>
    <row r="213" spans="1:12" x14ac:dyDescent="0.3">
      <c r="A213" s="1" t="s">
        <v>59</v>
      </c>
      <c r="B213" s="1" t="s">
        <v>25</v>
      </c>
      <c r="C213" s="1" t="s">
        <v>34</v>
      </c>
      <c r="D213" s="1" t="s">
        <v>60</v>
      </c>
      <c r="E213" s="1">
        <v>10</v>
      </c>
      <c r="F213" s="1">
        <v>34380</v>
      </c>
      <c r="G213" s="1">
        <v>7</v>
      </c>
      <c r="H213" s="2">
        <v>46194</v>
      </c>
      <c r="I213" s="2">
        <v>46195</v>
      </c>
      <c r="J213" s="1" t="s">
        <v>29</v>
      </c>
      <c r="K213" s="1">
        <v>1212</v>
      </c>
      <c r="L213" s="1" t="str">
        <f t="shared" si="0"/>
        <v>MEDIUM ORDER</v>
      </c>
    </row>
    <row r="214" spans="1:12" x14ac:dyDescent="0.3">
      <c r="A214" s="1" t="s">
        <v>32</v>
      </c>
      <c r="B214" s="1" t="s">
        <v>38</v>
      </c>
      <c r="C214" s="1" t="s">
        <v>34</v>
      </c>
      <c r="D214" s="1" t="s">
        <v>45</v>
      </c>
      <c r="E214" s="1">
        <v>16</v>
      </c>
      <c r="F214" s="1">
        <v>27741</v>
      </c>
      <c r="G214" s="1">
        <v>12</v>
      </c>
      <c r="H214" s="2">
        <v>46116</v>
      </c>
      <c r="I214" s="2">
        <v>46119</v>
      </c>
      <c r="J214" s="1" t="s">
        <v>15</v>
      </c>
      <c r="K214" s="1">
        <v>1213</v>
      </c>
      <c r="L214" s="1" t="str">
        <f t="shared" si="0"/>
        <v>BULK ORDER</v>
      </c>
    </row>
    <row r="215" spans="1:12" x14ac:dyDescent="0.3">
      <c r="A215" s="1" t="s">
        <v>42</v>
      </c>
      <c r="B215" s="1" t="s">
        <v>25</v>
      </c>
      <c r="C215" s="1" t="s">
        <v>18</v>
      </c>
      <c r="D215" s="1" t="s">
        <v>28</v>
      </c>
      <c r="E215" s="1">
        <v>19</v>
      </c>
      <c r="F215" s="1">
        <v>13832</v>
      </c>
      <c r="G215" s="1">
        <v>0</v>
      </c>
      <c r="H215" s="2">
        <v>46140</v>
      </c>
      <c r="I215" s="2">
        <v>46145</v>
      </c>
      <c r="J215" s="1" t="s">
        <v>51</v>
      </c>
      <c r="K215" s="1">
        <v>1214</v>
      </c>
      <c r="L215" s="1" t="str">
        <f t="shared" si="0"/>
        <v>BULK ORDER</v>
      </c>
    </row>
    <row r="216" spans="1:12" x14ac:dyDescent="0.3">
      <c r="A216" s="1" t="s">
        <v>27</v>
      </c>
      <c r="B216" s="1" t="s">
        <v>12</v>
      </c>
      <c r="C216" s="1" t="s">
        <v>18</v>
      </c>
      <c r="D216" s="1" t="s">
        <v>28</v>
      </c>
      <c r="E216" s="1">
        <v>6</v>
      </c>
      <c r="F216" s="1">
        <v>1254</v>
      </c>
      <c r="G216" s="1">
        <v>0</v>
      </c>
      <c r="H216" s="2">
        <v>46131</v>
      </c>
      <c r="I216" s="2">
        <v>46136</v>
      </c>
      <c r="J216" s="1" t="s">
        <v>29</v>
      </c>
      <c r="K216" s="1">
        <v>1215</v>
      </c>
      <c r="L216" s="1" t="str">
        <f t="shared" si="0"/>
        <v>MEDIUM ORDER</v>
      </c>
    </row>
    <row r="217" spans="1:12" x14ac:dyDescent="0.3">
      <c r="A217" s="1" t="s">
        <v>40</v>
      </c>
      <c r="B217" s="1" t="s">
        <v>22</v>
      </c>
      <c r="C217" s="1" t="s">
        <v>34</v>
      </c>
      <c r="D217" s="1" t="s">
        <v>45</v>
      </c>
      <c r="E217" s="1">
        <v>10</v>
      </c>
      <c r="F217" s="1">
        <v>56709</v>
      </c>
      <c r="G217" s="1">
        <v>15</v>
      </c>
      <c r="H217" s="2">
        <v>46135</v>
      </c>
      <c r="I217" s="2">
        <v>46139</v>
      </c>
      <c r="J217" s="1" t="s">
        <v>29</v>
      </c>
      <c r="K217" s="1">
        <v>1216</v>
      </c>
      <c r="L217" s="1" t="str">
        <f t="shared" si="0"/>
        <v>MEDIUM ORDER</v>
      </c>
    </row>
    <row r="218" spans="1:12" x14ac:dyDescent="0.3">
      <c r="A218" s="1" t="s">
        <v>30</v>
      </c>
      <c r="B218" s="1" t="s">
        <v>22</v>
      </c>
      <c r="C218" s="1" t="s">
        <v>13</v>
      </c>
      <c r="D218" s="1" t="s">
        <v>50</v>
      </c>
      <c r="E218" s="1">
        <v>18</v>
      </c>
      <c r="F218" s="1">
        <v>60</v>
      </c>
      <c r="G218" s="1">
        <v>0</v>
      </c>
      <c r="H218" s="2">
        <v>46171</v>
      </c>
      <c r="I218" s="2">
        <v>46172</v>
      </c>
      <c r="J218" s="1" t="s">
        <v>29</v>
      </c>
      <c r="K218" s="1">
        <v>1217</v>
      </c>
      <c r="L218" s="1" t="str">
        <f t="shared" si="0"/>
        <v>BULK ORDER</v>
      </c>
    </row>
    <row r="219" spans="1:12" x14ac:dyDescent="0.3">
      <c r="A219" s="1" t="s">
        <v>55</v>
      </c>
      <c r="B219" s="1" t="s">
        <v>38</v>
      </c>
      <c r="C219" s="1" t="s">
        <v>13</v>
      </c>
      <c r="D219" s="1" t="s">
        <v>14</v>
      </c>
      <c r="E219" s="1">
        <v>1</v>
      </c>
      <c r="F219" s="1">
        <v>134</v>
      </c>
      <c r="G219" s="1">
        <v>10</v>
      </c>
      <c r="H219" s="2">
        <v>46143</v>
      </c>
      <c r="I219" s="2">
        <v>46151</v>
      </c>
      <c r="J219" s="1" t="s">
        <v>51</v>
      </c>
      <c r="K219" s="1">
        <v>1218</v>
      </c>
      <c r="L219" s="1" t="str">
        <f t="shared" si="0"/>
        <v>REGULAR ORDER</v>
      </c>
    </row>
    <row r="220" spans="1:12" x14ac:dyDescent="0.3">
      <c r="A220" s="1" t="s">
        <v>46</v>
      </c>
      <c r="B220" s="1" t="s">
        <v>22</v>
      </c>
      <c r="C220" s="1" t="s">
        <v>13</v>
      </c>
      <c r="D220" s="1" t="s">
        <v>14</v>
      </c>
      <c r="E220" s="1">
        <v>4</v>
      </c>
      <c r="F220" s="1">
        <v>117</v>
      </c>
      <c r="G220" s="1">
        <v>15</v>
      </c>
      <c r="H220" s="2">
        <v>46202</v>
      </c>
      <c r="I220" s="2">
        <v>46206</v>
      </c>
      <c r="J220" s="1" t="s">
        <v>29</v>
      </c>
      <c r="K220" s="1">
        <v>1219</v>
      </c>
      <c r="L220" s="1" t="str">
        <f t="shared" si="0"/>
        <v>REGULAR ORDER</v>
      </c>
    </row>
    <row r="221" spans="1:12" x14ac:dyDescent="0.3">
      <c r="A221" s="1" t="s">
        <v>11</v>
      </c>
      <c r="B221" s="1" t="s">
        <v>25</v>
      </c>
      <c r="C221" s="1" t="s">
        <v>18</v>
      </c>
      <c r="D221" s="1" t="s">
        <v>56</v>
      </c>
      <c r="E221" s="1">
        <v>2</v>
      </c>
      <c r="F221" s="1">
        <v>8861</v>
      </c>
      <c r="G221" s="1">
        <v>2</v>
      </c>
      <c r="H221" s="2">
        <v>46170</v>
      </c>
      <c r="I221" s="2">
        <v>46174</v>
      </c>
      <c r="J221" s="1" t="s">
        <v>24</v>
      </c>
      <c r="K221" s="1">
        <v>1220</v>
      </c>
      <c r="L221" s="1" t="str">
        <f t="shared" si="0"/>
        <v>REGULAR ORDER</v>
      </c>
    </row>
    <row r="222" spans="1:12" x14ac:dyDescent="0.3">
      <c r="A222" s="1" t="s">
        <v>11</v>
      </c>
      <c r="B222" s="1" t="s">
        <v>31</v>
      </c>
      <c r="C222" s="1" t="s">
        <v>18</v>
      </c>
      <c r="D222" s="1" t="s">
        <v>56</v>
      </c>
      <c r="E222" s="1">
        <v>18</v>
      </c>
      <c r="F222" s="1">
        <v>2681</v>
      </c>
      <c r="G222" s="1">
        <v>10</v>
      </c>
      <c r="H222" s="2">
        <v>46122</v>
      </c>
      <c r="I222" s="2">
        <v>46125</v>
      </c>
      <c r="J222" s="1" t="s">
        <v>51</v>
      </c>
      <c r="K222" s="1">
        <v>1221</v>
      </c>
      <c r="L222" s="1" t="str">
        <f t="shared" si="0"/>
        <v>BULK ORDER</v>
      </c>
    </row>
    <row r="223" spans="1:12" x14ac:dyDescent="0.3">
      <c r="A223" s="1" t="s">
        <v>30</v>
      </c>
      <c r="B223" s="1" t="s">
        <v>33</v>
      </c>
      <c r="C223" s="1" t="s">
        <v>18</v>
      </c>
      <c r="D223" s="1" t="s">
        <v>23</v>
      </c>
      <c r="E223" s="1">
        <v>9</v>
      </c>
      <c r="F223" s="1">
        <v>2712</v>
      </c>
      <c r="G223" s="1">
        <v>12</v>
      </c>
      <c r="H223" s="2">
        <v>46154</v>
      </c>
      <c r="I223" s="2">
        <v>46163</v>
      </c>
      <c r="J223" s="1" t="s">
        <v>15</v>
      </c>
      <c r="K223" s="1">
        <v>1222</v>
      </c>
      <c r="L223" s="1" t="str">
        <f t="shared" si="0"/>
        <v>MEDIUM ORDER</v>
      </c>
    </row>
    <row r="224" spans="1:12" x14ac:dyDescent="0.3">
      <c r="A224" s="1" t="s">
        <v>59</v>
      </c>
      <c r="B224" s="1" t="s">
        <v>17</v>
      </c>
      <c r="C224" s="1" t="s">
        <v>18</v>
      </c>
      <c r="D224" s="1" t="s">
        <v>23</v>
      </c>
      <c r="E224" s="1">
        <v>4</v>
      </c>
      <c r="F224" s="1">
        <v>2249</v>
      </c>
      <c r="G224" s="1">
        <v>7</v>
      </c>
      <c r="H224" s="2">
        <v>46077</v>
      </c>
      <c r="I224" s="2">
        <v>46084</v>
      </c>
      <c r="J224" s="1" t="s">
        <v>15</v>
      </c>
      <c r="K224" s="1">
        <v>1223</v>
      </c>
      <c r="L224" s="1" t="str">
        <f t="shared" si="0"/>
        <v>REGULAR ORDER</v>
      </c>
    </row>
    <row r="225" spans="1:12" x14ac:dyDescent="0.3">
      <c r="A225" s="1" t="s">
        <v>30</v>
      </c>
      <c r="B225" s="1" t="s">
        <v>38</v>
      </c>
      <c r="C225" s="1" t="s">
        <v>34</v>
      </c>
      <c r="D225" s="1" t="s">
        <v>45</v>
      </c>
      <c r="E225" s="1">
        <v>16</v>
      </c>
      <c r="F225" s="1">
        <v>18378</v>
      </c>
      <c r="G225" s="1">
        <v>10</v>
      </c>
      <c r="H225" s="2">
        <v>46045</v>
      </c>
      <c r="I225" s="2">
        <v>46052</v>
      </c>
      <c r="J225" s="1" t="s">
        <v>24</v>
      </c>
      <c r="K225" s="1">
        <v>1224</v>
      </c>
      <c r="L225" s="1" t="str">
        <f t="shared" si="0"/>
        <v>BULK ORDER</v>
      </c>
    </row>
    <row r="226" spans="1:12" x14ac:dyDescent="0.3">
      <c r="A226" s="1" t="s">
        <v>42</v>
      </c>
      <c r="B226" s="1" t="s">
        <v>31</v>
      </c>
      <c r="C226" s="1" t="s">
        <v>34</v>
      </c>
      <c r="D226" s="1" t="s">
        <v>35</v>
      </c>
      <c r="E226" s="1">
        <v>16</v>
      </c>
      <c r="F226" s="1">
        <v>32262</v>
      </c>
      <c r="G226" s="1">
        <v>12</v>
      </c>
      <c r="H226" s="2">
        <v>46125</v>
      </c>
      <c r="I226" s="2">
        <v>46126</v>
      </c>
      <c r="J226" s="1" t="s">
        <v>20</v>
      </c>
      <c r="K226" s="1">
        <v>1225</v>
      </c>
      <c r="L226" s="1" t="str">
        <f t="shared" si="0"/>
        <v>BULK ORDER</v>
      </c>
    </row>
    <row r="227" spans="1:12" x14ac:dyDescent="0.3">
      <c r="A227" s="1" t="s">
        <v>29</v>
      </c>
      <c r="B227" s="1" t="s">
        <v>31</v>
      </c>
      <c r="C227" s="1" t="s">
        <v>34</v>
      </c>
      <c r="D227" s="1" t="s">
        <v>41</v>
      </c>
      <c r="E227" s="1">
        <v>13</v>
      </c>
      <c r="F227" s="1">
        <v>21332</v>
      </c>
      <c r="G227" s="1">
        <v>0</v>
      </c>
      <c r="H227" s="2">
        <v>46044</v>
      </c>
      <c r="I227" s="2">
        <v>46048</v>
      </c>
      <c r="J227" s="1" t="s">
        <v>29</v>
      </c>
      <c r="K227" s="1">
        <v>1226</v>
      </c>
      <c r="L227" s="1" t="str">
        <f t="shared" si="0"/>
        <v>MEDIUM ORDER</v>
      </c>
    </row>
    <row r="228" spans="1:12" x14ac:dyDescent="0.3">
      <c r="A228" s="1" t="s">
        <v>58</v>
      </c>
      <c r="B228" s="1" t="s">
        <v>22</v>
      </c>
      <c r="C228" s="1" t="s">
        <v>34</v>
      </c>
      <c r="D228" s="1" t="s">
        <v>45</v>
      </c>
      <c r="E228" s="1">
        <v>16</v>
      </c>
      <c r="F228" s="1">
        <v>1321</v>
      </c>
      <c r="G228" s="1">
        <v>12</v>
      </c>
      <c r="H228" s="2">
        <v>46113</v>
      </c>
      <c r="I228" s="2">
        <v>46116</v>
      </c>
      <c r="J228" s="1" t="s">
        <v>15</v>
      </c>
      <c r="K228" s="1">
        <v>1227</v>
      </c>
      <c r="L228" s="1" t="str">
        <f t="shared" si="0"/>
        <v>BULK ORDER</v>
      </c>
    </row>
    <row r="229" spans="1:12" x14ac:dyDescent="0.3">
      <c r="A229" s="1" t="s">
        <v>29</v>
      </c>
      <c r="B229" s="1" t="s">
        <v>25</v>
      </c>
      <c r="C229" s="1" t="s">
        <v>34</v>
      </c>
      <c r="D229" s="1" t="s">
        <v>45</v>
      </c>
      <c r="E229" s="1">
        <v>16</v>
      </c>
      <c r="F229" s="1">
        <v>17477</v>
      </c>
      <c r="G229" s="1">
        <v>10</v>
      </c>
      <c r="H229" s="2">
        <v>46041</v>
      </c>
      <c r="I229" s="2">
        <v>46043</v>
      </c>
      <c r="J229" s="1" t="s">
        <v>24</v>
      </c>
      <c r="K229" s="1">
        <v>1228</v>
      </c>
      <c r="L229" s="1" t="str">
        <f t="shared" si="0"/>
        <v>BULK ORDER</v>
      </c>
    </row>
    <row r="230" spans="1:12" x14ac:dyDescent="0.3">
      <c r="A230" s="1" t="s">
        <v>57</v>
      </c>
      <c r="B230" s="1" t="s">
        <v>12</v>
      </c>
      <c r="C230" s="1" t="s">
        <v>18</v>
      </c>
      <c r="D230" s="1" t="s">
        <v>56</v>
      </c>
      <c r="E230" s="1">
        <v>14</v>
      </c>
      <c r="F230" s="1">
        <v>5859</v>
      </c>
      <c r="G230" s="1">
        <v>12</v>
      </c>
      <c r="H230" s="2">
        <v>46027</v>
      </c>
      <c r="I230" s="2">
        <v>46036</v>
      </c>
      <c r="J230" s="1" t="s">
        <v>20</v>
      </c>
      <c r="K230" s="1">
        <v>1229</v>
      </c>
      <c r="L230" s="1" t="str">
        <f t="shared" si="0"/>
        <v>MEDIUM ORDER</v>
      </c>
    </row>
    <row r="231" spans="1:12" x14ac:dyDescent="0.3">
      <c r="A231" s="1" t="s">
        <v>59</v>
      </c>
      <c r="B231" s="1" t="s">
        <v>33</v>
      </c>
      <c r="C231" s="1" t="s">
        <v>34</v>
      </c>
      <c r="D231" s="1" t="s">
        <v>60</v>
      </c>
      <c r="E231" s="1">
        <v>7</v>
      </c>
      <c r="F231" s="1">
        <v>2932</v>
      </c>
      <c r="G231" s="1">
        <v>7</v>
      </c>
      <c r="H231" s="2">
        <v>46050</v>
      </c>
      <c r="I231" s="2">
        <v>46059</v>
      </c>
      <c r="J231" s="1" t="s">
        <v>24</v>
      </c>
      <c r="K231" s="1">
        <v>1230</v>
      </c>
      <c r="L231" s="1" t="str">
        <f t="shared" si="0"/>
        <v>MEDIUM ORDER</v>
      </c>
    </row>
    <row r="232" spans="1:12" x14ac:dyDescent="0.3">
      <c r="A232" s="1" t="s">
        <v>48</v>
      </c>
      <c r="B232" s="1" t="s">
        <v>38</v>
      </c>
      <c r="C232" s="1" t="s">
        <v>18</v>
      </c>
      <c r="D232" s="1" t="s">
        <v>19</v>
      </c>
      <c r="E232" s="1">
        <v>13</v>
      </c>
      <c r="F232" s="1">
        <v>10297</v>
      </c>
      <c r="G232" s="1">
        <v>12</v>
      </c>
      <c r="H232" s="2">
        <v>46178</v>
      </c>
      <c r="I232" s="2">
        <v>46186</v>
      </c>
      <c r="J232" s="1" t="s">
        <v>20</v>
      </c>
      <c r="K232" s="1">
        <v>1231</v>
      </c>
      <c r="L232" s="1" t="str">
        <f t="shared" si="0"/>
        <v>MEDIUM ORDER</v>
      </c>
    </row>
    <row r="233" spans="1:12" x14ac:dyDescent="0.3">
      <c r="A233" s="1" t="s">
        <v>21</v>
      </c>
      <c r="B233" s="1" t="s">
        <v>12</v>
      </c>
      <c r="C233" s="1" t="s">
        <v>34</v>
      </c>
      <c r="D233" s="1" t="s">
        <v>60</v>
      </c>
      <c r="E233" s="1">
        <v>3</v>
      </c>
      <c r="F233" s="1">
        <v>13272</v>
      </c>
      <c r="G233" s="1">
        <v>2</v>
      </c>
      <c r="H233" s="2">
        <v>46060</v>
      </c>
      <c r="I233" s="2">
        <v>46065</v>
      </c>
      <c r="J233" s="1" t="s">
        <v>15</v>
      </c>
      <c r="K233" s="1">
        <v>1232</v>
      </c>
      <c r="L233" s="1" t="str">
        <f t="shared" si="0"/>
        <v>REGULAR ORDER</v>
      </c>
    </row>
    <row r="234" spans="1:12" x14ac:dyDescent="0.3">
      <c r="A234" s="1" t="s">
        <v>58</v>
      </c>
      <c r="B234" s="1" t="s">
        <v>22</v>
      </c>
      <c r="C234" s="1" t="s">
        <v>18</v>
      </c>
      <c r="D234" s="1" t="s">
        <v>19</v>
      </c>
      <c r="E234" s="1">
        <v>20</v>
      </c>
      <c r="F234" s="1">
        <v>13941</v>
      </c>
      <c r="G234" s="1">
        <v>15</v>
      </c>
      <c r="H234" s="2">
        <v>46198</v>
      </c>
      <c r="I234" s="2">
        <v>46202</v>
      </c>
      <c r="J234" s="1" t="s">
        <v>24</v>
      </c>
      <c r="K234" s="1">
        <v>1233</v>
      </c>
      <c r="L234" s="1" t="str">
        <f t="shared" si="0"/>
        <v>BULK ORDER</v>
      </c>
    </row>
    <row r="235" spans="1:12" x14ac:dyDescent="0.3">
      <c r="A235" s="1" t="s">
        <v>11</v>
      </c>
      <c r="B235" s="1" t="s">
        <v>25</v>
      </c>
      <c r="C235" s="1" t="s">
        <v>18</v>
      </c>
      <c r="D235" s="1" t="s">
        <v>28</v>
      </c>
      <c r="E235" s="1">
        <v>1</v>
      </c>
      <c r="F235" s="1">
        <v>14320</v>
      </c>
      <c r="G235" s="1">
        <v>12</v>
      </c>
      <c r="H235" s="2">
        <v>46114</v>
      </c>
      <c r="I235" s="2">
        <v>46121</v>
      </c>
      <c r="J235" s="1" t="s">
        <v>51</v>
      </c>
      <c r="K235" s="1">
        <v>1234</v>
      </c>
      <c r="L235" s="1" t="str">
        <f t="shared" si="0"/>
        <v>REGULAR ORDER</v>
      </c>
    </row>
    <row r="236" spans="1:12" x14ac:dyDescent="0.3">
      <c r="A236" s="1" t="s">
        <v>57</v>
      </c>
      <c r="B236" s="1" t="s">
        <v>25</v>
      </c>
      <c r="C236" s="1" t="s">
        <v>13</v>
      </c>
      <c r="D236" s="1" t="s">
        <v>50</v>
      </c>
      <c r="E236" s="1">
        <v>15</v>
      </c>
      <c r="F236" s="1">
        <v>267</v>
      </c>
      <c r="G236" s="1">
        <v>15</v>
      </c>
      <c r="H236" s="2">
        <v>46172</v>
      </c>
      <c r="I236" s="2">
        <v>46177</v>
      </c>
      <c r="J236" s="1" t="s">
        <v>29</v>
      </c>
      <c r="K236" s="1">
        <v>1235</v>
      </c>
      <c r="L236" s="1" t="str">
        <f t="shared" si="0"/>
        <v>BULK ORDER</v>
      </c>
    </row>
    <row r="237" spans="1:12" x14ac:dyDescent="0.3">
      <c r="A237" s="1" t="s">
        <v>54</v>
      </c>
      <c r="B237" s="1" t="s">
        <v>43</v>
      </c>
      <c r="C237" s="1" t="s">
        <v>13</v>
      </c>
      <c r="D237" s="1" t="s">
        <v>37</v>
      </c>
      <c r="E237" s="1">
        <v>12</v>
      </c>
      <c r="F237" s="1">
        <v>189</v>
      </c>
      <c r="G237" s="1">
        <v>7</v>
      </c>
      <c r="H237" s="2">
        <v>46164</v>
      </c>
      <c r="I237" s="2">
        <v>46169</v>
      </c>
      <c r="J237" s="1" t="s">
        <v>29</v>
      </c>
      <c r="K237" s="1">
        <v>1236</v>
      </c>
      <c r="L237" s="1" t="str">
        <f t="shared" si="0"/>
        <v>MEDIUM ORDER</v>
      </c>
    </row>
    <row r="238" spans="1:12" x14ac:dyDescent="0.3">
      <c r="A238" s="1" t="s">
        <v>46</v>
      </c>
      <c r="B238" s="1" t="s">
        <v>38</v>
      </c>
      <c r="C238" s="1" t="s">
        <v>18</v>
      </c>
      <c r="D238" s="1" t="s">
        <v>56</v>
      </c>
      <c r="E238" s="1">
        <v>8</v>
      </c>
      <c r="F238" s="1">
        <v>12123</v>
      </c>
      <c r="G238" s="1">
        <v>2</v>
      </c>
      <c r="H238" s="2">
        <v>46137</v>
      </c>
      <c r="I238" s="2">
        <v>46145</v>
      </c>
      <c r="J238" s="1" t="s">
        <v>15</v>
      </c>
      <c r="K238" s="1">
        <v>1237</v>
      </c>
      <c r="L238" s="1" t="str">
        <f t="shared" si="0"/>
        <v>MEDIUM ORDER</v>
      </c>
    </row>
    <row r="239" spans="1:12" x14ac:dyDescent="0.3">
      <c r="A239" s="1" t="s">
        <v>30</v>
      </c>
      <c r="B239" s="1" t="s">
        <v>31</v>
      </c>
      <c r="C239" s="1" t="s">
        <v>13</v>
      </c>
      <c r="D239" s="1" t="s">
        <v>14</v>
      </c>
      <c r="E239" s="1">
        <v>6</v>
      </c>
      <c r="F239" s="1">
        <v>180</v>
      </c>
      <c r="G239" s="1">
        <v>12</v>
      </c>
      <c r="H239" s="2">
        <v>46096</v>
      </c>
      <c r="I239" s="2">
        <v>46097</v>
      </c>
      <c r="J239" s="1" t="s">
        <v>51</v>
      </c>
      <c r="K239" s="1">
        <v>1238</v>
      </c>
      <c r="L239" s="1" t="str">
        <f t="shared" si="0"/>
        <v>MEDIUM ORDER</v>
      </c>
    </row>
    <row r="240" spans="1:12" x14ac:dyDescent="0.3">
      <c r="A240" s="1" t="s">
        <v>48</v>
      </c>
      <c r="B240" s="1" t="s">
        <v>17</v>
      </c>
      <c r="C240" s="1" t="s">
        <v>18</v>
      </c>
      <c r="D240" s="1" t="s">
        <v>56</v>
      </c>
      <c r="E240" s="1">
        <v>2</v>
      </c>
      <c r="F240" s="1">
        <v>12330</v>
      </c>
      <c r="G240" s="1">
        <v>12</v>
      </c>
      <c r="H240" s="2">
        <v>46122</v>
      </c>
      <c r="I240" s="2">
        <v>46125</v>
      </c>
      <c r="J240" s="1" t="s">
        <v>15</v>
      </c>
      <c r="K240" s="1">
        <v>1239</v>
      </c>
      <c r="L240" s="1" t="str">
        <f t="shared" si="0"/>
        <v>REGULAR ORDER</v>
      </c>
    </row>
    <row r="241" spans="1:12" x14ac:dyDescent="0.3">
      <c r="A241" s="1" t="s">
        <v>55</v>
      </c>
      <c r="B241" s="1" t="s">
        <v>33</v>
      </c>
      <c r="C241" s="1" t="s">
        <v>18</v>
      </c>
      <c r="D241" s="1" t="s">
        <v>23</v>
      </c>
      <c r="E241" s="1">
        <v>2</v>
      </c>
      <c r="F241" s="1">
        <v>5475</v>
      </c>
      <c r="G241" s="1">
        <v>2</v>
      </c>
      <c r="H241" s="2">
        <v>46142</v>
      </c>
      <c r="I241" s="2">
        <v>46146</v>
      </c>
      <c r="J241" s="1" t="s">
        <v>29</v>
      </c>
      <c r="K241" s="1">
        <v>1240</v>
      </c>
      <c r="L241" s="1" t="str">
        <f t="shared" si="0"/>
        <v>REGULAR ORDER</v>
      </c>
    </row>
    <row r="242" spans="1:12" x14ac:dyDescent="0.3">
      <c r="A242" s="1" t="s">
        <v>46</v>
      </c>
      <c r="B242" s="1" t="s">
        <v>31</v>
      </c>
      <c r="C242" s="1" t="s">
        <v>18</v>
      </c>
      <c r="D242" s="1" t="s">
        <v>44</v>
      </c>
      <c r="E242" s="1">
        <v>1</v>
      </c>
      <c r="F242" s="1">
        <v>12537</v>
      </c>
      <c r="G242" s="1">
        <v>0</v>
      </c>
      <c r="H242" s="2">
        <v>46119</v>
      </c>
      <c r="I242" s="2">
        <v>46122</v>
      </c>
      <c r="J242" s="1" t="s">
        <v>15</v>
      </c>
      <c r="K242" s="1">
        <v>1241</v>
      </c>
      <c r="L242" s="1" t="str">
        <f t="shared" si="0"/>
        <v>REGULAR ORDER</v>
      </c>
    </row>
    <row r="243" spans="1:12" x14ac:dyDescent="0.3">
      <c r="A243" s="1" t="s">
        <v>54</v>
      </c>
      <c r="B243" s="1" t="s">
        <v>38</v>
      </c>
      <c r="C243" s="1" t="s">
        <v>13</v>
      </c>
      <c r="D243" s="1" t="s">
        <v>50</v>
      </c>
      <c r="E243" s="1">
        <v>7</v>
      </c>
      <c r="F243" s="1">
        <v>168</v>
      </c>
      <c r="G243" s="1">
        <v>10</v>
      </c>
      <c r="H243" s="2">
        <v>46191</v>
      </c>
      <c r="I243" s="2">
        <v>46196</v>
      </c>
      <c r="J243" s="1" t="s">
        <v>51</v>
      </c>
      <c r="K243" s="1">
        <v>1242</v>
      </c>
      <c r="L243" s="1" t="str">
        <f t="shared" si="0"/>
        <v>MEDIUM ORDER</v>
      </c>
    </row>
    <row r="244" spans="1:12" x14ac:dyDescent="0.3">
      <c r="A244" s="1" t="s">
        <v>30</v>
      </c>
      <c r="B244" s="1" t="s">
        <v>31</v>
      </c>
      <c r="C244" s="1" t="s">
        <v>34</v>
      </c>
      <c r="D244" s="1" t="s">
        <v>41</v>
      </c>
      <c r="E244" s="1">
        <v>5</v>
      </c>
      <c r="F244" s="1">
        <v>11570</v>
      </c>
      <c r="G244" s="1">
        <v>15</v>
      </c>
      <c r="H244" s="2">
        <v>46069</v>
      </c>
      <c r="I244" s="2">
        <v>46077</v>
      </c>
      <c r="J244" s="1" t="s">
        <v>24</v>
      </c>
      <c r="K244" s="1">
        <v>1243</v>
      </c>
      <c r="L244" s="1" t="str">
        <f t="shared" si="0"/>
        <v>MEDIUM ORDER</v>
      </c>
    </row>
    <row r="245" spans="1:12" x14ac:dyDescent="0.3">
      <c r="A245" s="1" t="s">
        <v>57</v>
      </c>
      <c r="B245" s="1" t="s">
        <v>38</v>
      </c>
      <c r="C245" s="1" t="s">
        <v>18</v>
      </c>
      <c r="D245" s="1" t="s">
        <v>28</v>
      </c>
      <c r="E245" s="1">
        <v>10</v>
      </c>
      <c r="F245" s="1">
        <v>6339</v>
      </c>
      <c r="G245" s="1">
        <v>12</v>
      </c>
      <c r="H245" s="2">
        <v>46200</v>
      </c>
      <c r="I245" s="2">
        <v>46205</v>
      </c>
      <c r="J245" s="1" t="s">
        <v>15</v>
      </c>
      <c r="K245" s="1">
        <v>1244</v>
      </c>
      <c r="L245" s="1" t="str">
        <f t="shared" si="0"/>
        <v>MEDIUM ORDER</v>
      </c>
    </row>
    <row r="246" spans="1:12" x14ac:dyDescent="0.3">
      <c r="A246" s="1" t="s">
        <v>55</v>
      </c>
      <c r="B246" s="1" t="s">
        <v>43</v>
      </c>
      <c r="C246" s="1" t="s">
        <v>34</v>
      </c>
      <c r="D246" s="1" t="s">
        <v>41</v>
      </c>
      <c r="E246" s="1">
        <v>19</v>
      </c>
      <c r="F246" s="1">
        <v>69029</v>
      </c>
      <c r="G246" s="1">
        <v>7</v>
      </c>
      <c r="H246" s="2">
        <v>46176</v>
      </c>
      <c r="I246" s="2">
        <v>46179</v>
      </c>
      <c r="J246" s="1" t="s">
        <v>29</v>
      </c>
      <c r="K246" s="1">
        <v>1245</v>
      </c>
      <c r="L246" s="1" t="str">
        <f t="shared" si="0"/>
        <v>BULK ORDER</v>
      </c>
    </row>
    <row r="247" spans="1:12" x14ac:dyDescent="0.3">
      <c r="A247" s="1" t="s">
        <v>55</v>
      </c>
      <c r="B247" s="1" t="s">
        <v>22</v>
      </c>
      <c r="C247" s="1" t="s">
        <v>34</v>
      </c>
      <c r="D247" s="1" t="s">
        <v>35</v>
      </c>
      <c r="E247" s="1">
        <v>13</v>
      </c>
      <c r="F247" s="1">
        <v>1825</v>
      </c>
      <c r="G247" s="1">
        <v>2</v>
      </c>
      <c r="H247" s="2">
        <v>46039</v>
      </c>
      <c r="I247" s="2">
        <v>46045</v>
      </c>
      <c r="J247" s="1" t="s">
        <v>51</v>
      </c>
      <c r="K247" s="1">
        <v>1246</v>
      </c>
      <c r="L247" s="1" t="str">
        <f t="shared" si="0"/>
        <v>MEDIUM ORDER</v>
      </c>
    </row>
    <row r="248" spans="1:12" x14ac:dyDescent="0.3">
      <c r="A248" s="1" t="s">
        <v>26</v>
      </c>
      <c r="B248" s="1" t="s">
        <v>12</v>
      </c>
      <c r="C248" s="1" t="s">
        <v>13</v>
      </c>
      <c r="D248" s="1" t="s">
        <v>50</v>
      </c>
      <c r="E248" s="1">
        <v>10</v>
      </c>
      <c r="F248" s="1">
        <v>336</v>
      </c>
      <c r="G248" s="1">
        <v>7</v>
      </c>
      <c r="H248" s="2">
        <v>46173</v>
      </c>
      <c r="I248" s="2">
        <v>46175</v>
      </c>
      <c r="J248" s="1" t="s">
        <v>20</v>
      </c>
      <c r="K248" s="1">
        <v>1247</v>
      </c>
      <c r="L248" s="1" t="str">
        <f t="shared" si="0"/>
        <v>MEDIUM ORDER</v>
      </c>
    </row>
    <row r="249" spans="1:12" x14ac:dyDescent="0.3">
      <c r="A249" s="1" t="s">
        <v>27</v>
      </c>
      <c r="B249" s="1" t="s">
        <v>43</v>
      </c>
      <c r="C249" s="1" t="s">
        <v>13</v>
      </c>
      <c r="D249" s="1" t="s">
        <v>37</v>
      </c>
      <c r="E249" s="1">
        <v>5</v>
      </c>
      <c r="F249" s="1">
        <v>398</v>
      </c>
      <c r="G249" s="1">
        <v>7</v>
      </c>
      <c r="H249" s="2">
        <v>46161</v>
      </c>
      <c r="I249" s="2">
        <v>46171</v>
      </c>
      <c r="J249" s="1" t="s">
        <v>29</v>
      </c>
      <c r="K249" s="1">
        <v>1248</v>
      </c>
      <c r="L249" s="1" t="str">
        <f t="shared" si="0"/>
        <v>MEDIUM ORDER</v>
      </c>
    </row>
    <row r="250" spans="1:12" x14ac:dyDescent="0.3">
      <c r="A250" s="1" t="s">
        <v>16</v>
      </c>
      <c r="B250" s="1" t="s">
        <v>25</v>
      </c>
      <c r="C250" s="1" t="s">
        <v>34</v>
      </c>
      <c r="D250" s="1" t="s">
        <v>41</v>
      </c>
      <c r="E250" s="1">
        <v>18</v>
      </c>
      <c r="F250" s="1">
        <v>6360</v>
      </c>
      <c r="G250" s="1">
        <v>12</v>
      </c>
      <c r="H250" s="2">
        <v>46163</v>
      </c>
      <c r="I250" s="2">
        <v>46165</v>
      </c>
      <c r="J250" s="1" t="s">
        <v>20</v>
      </c>
      <c r="K250" s="1">
        <v>1249</v>
      </c>
      <c r="L250" s="1" t="str">
        <f t="shared" si="0"/>
        <v>BULK ORDER</v>
      </c>
    </row>
    <row r="251" spans="1:12" x14ac:dyDescent="0.3">
      <c r="A251" s="1" t="s">
        <v>11</v>
      </c>
      <c r="B251" s="1" t="s">
        <v>17</v>
      </c>
      <c r="C251" s="1" t="s">
        <v>34</v>
      </c>
      <c r="D251" s="1" t="s">
        <v>45</v>
      </c>
      <c r="E251" s="1">
        <v>2</v>
      </c>
      <c r="F251" s="1">
        <v>65953</v>
      </c>
      <c r="G251" s="1">
        <v>7</v>
      </c>
      <c r="H251" s="2">
        <v>46051</v>
      </c>
      <c r="I251" s="2">
        <v>46053</v>
      </c>
      <c r="J251" s="1" t="s">
        <v>29</v>
      </c>
      <c r="K251" s="1">
        <v>1250</v>
      </c>
      <c r="L251" s="1" t="str">
        <f t="shared" si="0"/>
        <v>REGULAR ORDER</v>
      </c>
    </row>
    <row r="252" spans="1:12" x14ac:dyDescent="0.3">
      <c r="A252" s="1" t="s">
        <v>55</v>
      </c>
      <c r="B252" s="1" t="s">
        <v>38</v>
      </c>
      <c r="C252" s="1" t="s">
        <v>34</v>
      </c>
      <c r="D252" s="1" t="s">
        <v>61</v>
      </c>
      <c r="E252" s="1">
        <v>19</v>
      </c>
      <c r="F252" s="1">
        <v>48548</v>
      </c>
      <c r="G252" s="1">
        <v>0</v>
      </c>
      <c r="H252" s="2">
        <v>46112</v>
      </c>
      <c r="I252" s="2">
        <v>46121</v>
      </c>
      <c r="J252" s="1" t="s">
        <v>51</v>
      </c>
      <c r="K252" s="1">
        <v>1251</v>
      </c>
      <c r="L252" s="1" t="str">
        <f t="shared" si="0"/>
        <v>BULK ORDER</v>
      </c>
    </row>
    <row r="253" spans="1:12" x14ac:dyDescent="0.3">
      <c r="A253" s="1" t="s">
        <v>47</v>
      </c>
      <c r="B253" s="1" t="s">
        <v>25</v>
      </c>
      <c r="C253" s="1" t="s">
        <v>13</v>
      </c>
      <c r="D253" s="1" t="s">
        <v>36</v>
      </c>
      <c r="E253" s="1">
        <v>15</v>
      </c>
      <c r="F253" s="1">
        <v>257</v>
      </c>
      <c r="G253" s="1">
        <v>5</v>
      </c>
      <c r="H253" s="2">
        <v>46166</v>
      </c>
      <c r="I253" s="2">
        <v>46173</v>
      </c>
      <c r="J253" s="1" t="s">
        <v>20</v>
      </c>
      <c r="K253" s="1">
        <v>1252</v>
      </c>
      <c r="L253" s="1" t="str">
        <f t="shared" si="0"/>
        <v>BULK ORDER</v>
      </c>
    </row>
    <row r="254" spans="1:12" x14ac:dyDescent="0.3">
      <c r="A254" s="1" t="s">
        <v>21</v>
      </c>
      <c r="B254" s="1" t="s">
        <v>31</v>
      </c>
      <c r="C254" s="1" t="s">
        <v>34</v>
      </c>
      <c r="D254" s="1" t="s">
        <v>45</v>
      </c>
      <c r="E254" s="1">
        <v>20</v>
      </c>
      <c r="F254" s="1">
        <v>47880</v>
      </c>
      <c r="G254" s="1">
        <v>7</v>
      </c>
      <c r="H254" s="2">
        <v>46074</v>
      </c>
      <c r="I254" s="2">
        <v>46075</v>
      </c>
      <c r="J254" s="1" t="s">
        <v>29</v>
      </c>
      <c r="K254" s="1">
        <v>1253</v>
      </c>
      <c r="L254" s="1" t="str">
        <f t="shared" si="0"/>
        <v>BULK ORDER</v>
      </c>
    </row>
    <row r="255" spans="1:12" x14ac:dyDescent="0.3">
      <c r="A255" s="1" t="s">
        <v>52</v>
      </c>
      <c r="B255" s="1" t="s">
        <v>22</v>
      </c>
      <c r="C255" s="1" t="s">
        <v>13</v>
      </c>
      <c r="D255" s="1" t="s">
        <v>50</v>
      </c>
      <c r="E255" s="1">
        <v>18</v>
      </c>
      <c r="F255" s="1">
        <v>447</v>
      </c>
      <c r="G255" s="1">
        <v>15</v>
      </c>
      <c r="H255" s="2">
        <v>46141</v>
      </c>
      <c r="I255" s="2">
        <v>46149</v>
      </c>
      <c r="J255" s="1" t="s">
        <v>24</v>
      </c>
      <c r="K255" s="1">
        <v>1254</v>
      </c>
      <c r="L255" s="1" t="str">
        <f t="shared" si="0"/>
        <v>BULK ORDER</v>
      </c>
    </row>
    <row r="256" spans="1:12" x14ac:dyDescent="0.3">
      <c r="A256" s="1" t="s">
        <v>32</v>
      </c>
      <c r="B256" s="1" t="s">
        <v>17</v>
      </c>
      <c r="C256" s="1" t="s">
        <v>18</v>
      </c>
      <c r="D256" s="1" t="s">
        <v>19</v>
      </c>
      <c r="E256" s="1">
        <v>1</v>
      </c>
      <c r="F256" s="1">
        <v>2240</v>
      </c>
      <c r="G256" s="1">
        <v>5</v>
      </c>
      <c r="H256" s="2">
        <v>46091</v>
      </c>
      <c r="I256" s="2">
        <v>46095</v>
      </c>
      <c r="J256" s="1" t="s">
        <v>20</v>
      </c>
      <c r="K256" s="1">
        <v>1255</v>
      </c>
      <c r="L256" s="1" t="str">
        <f t="shared" si="0"/>
        <v>REGULAR ORDER</v>
      </c>
    </row>
    <row r="257" spans="1:12" x14ac:dyDescent="0.3">
      <c r="A257" s="1" t="s">
        <v>48</v>
      </c>
      <c r="B257" s="1" t="s">
        <v>31</v>
      </c>
      <c r="C257" s="1" t="s">
        <v>13</v>
      </c>
      <c r="D257" s="1" t="s">
        <v>50</v>
      </c>
      <c r="E257" s="1">
        <v>19</v>
      </c>
      <c r="F257" s="1">
        <v>406</v>
      </c>
      <c r="G257" s="1">
        <v>7</v>
      </c>
      <c r="H257" s="2">
        <v>46057</v>
      </c>
      <c r="I257" s="2">
        <v>46061</v>
      </c>
      <c r="J257" s="1" t="s">
        <v>15</v>
      </c>
      <c r="K257" s="1">
        <v>1256</v>
      </c>
      <c r="L257" s="1" t="str">
        <f t="shared" ref="L257:L401" si="1">IF(E257&gt;=15,"BULK ORDER",IF(E257&gt;=5,"MEDIUM ORDER","REGULAR ORDER"))</f>
        <v>BULK ORDER</v>
      </c>
    </row>
    <row r="258" spans="1:12" x14ac:dyDescent="0.3">
      <c r="A258" s="1" t="s">
        <v>54</v>
      </c>
      <c r="B258" s="1" t="s">
        <v>25</v>
      </c>
      <c r="C258" s="1" t="s">
        <v>34</v>
      </c>
      <c r="D258" s="1" t="s">
        <v>61</v>
      </c>
      <c r="E258" s="1">
        <v>7</v>
      </c>
      <c r="F258" s="1">
        <v>53243</v>
      </c>
      <c r="G258" s="1">
        <v>12</v>
      </c>
      <c r="H258" s="2">
        <v>46161</v>
      </c>
      <c r="I258" s="2">
        <v>46171</v>
      </c>
      <c r="J258" s="1" t="s">
        <v>15</v>
      </c>
      <c r="K258" s="1">
        <v>1257</v>
      </c>
      <c r="L258" s="1" t="str">
        <f t="shared" si="1"/>
        <v>MEDIUM ORDER</v>
      </c>
    </row>
    <row r="259" spans="1:12" x14ac:dyDescent="0.3">
      <c r="A259" s="1" t="s">
        <v>32</v>
      </c>
      <c r="B259" s="1" t="s">
        <v>31</v>
      </c>
      <c r="C259" s="1" t="s">
        <v>34</v>
      </c>
      <c r="D259" s="1" t="s">
        <v>60</v>
      </c>
      <c r="E259" s="1">
        <v>1</v>
      </c>
      <c r="F259" s="1">
        <v>10600</v>
      </c>
      <c r="G259" s="1">
        <v>5</v>
      </c>
      <c r="H259" s="2">
        <v>46137</v>
      </c>
      <c r="I259" s="2">
        <v>46138</v>
      </c>
      <c r="J259" s="1" t="s">
        <v>29</v>
      </c>
      <c r="K259" s="1">
        <v>1258</v>
      </c>
      <c r="L259" s="1" t="str">
        <f t="shared" si="1"/>
        <v>REGULAR ORDER</v>
      </c>
    </row>
    <row r="260" spans="1:12" x14ac:dyDescent="0.3">
      <c r="A260" s="1" t="s">
        <v>42</v>
      </c>
      <c r="B260" s="1" t="s">
        <v>22</v>
      </c>
      <c r="C260" s="1" t="s">
        <v>34</v>
      </c>
      <c r="D260" s="1" t="s">
        <v>45</v>
      </c>
      <c r="E260" s="1">
        <v>10</v>
      </c>
      <c r="F260" s="1">
        <v>38771</v>
      </c>
      <c r="G260" s="1">
        <v>15</v>
      </c>
      <c r="H260" s="2">
        <v>46172</v>
      </c>
      <c r="I260" s="2">
        <v>46182</v>
      </c>
      <c r="J260" s="1" t="s">
        <v>15</v>
      </c>
      <c r="K260" s="1">
        <v>1259</v>
      </c>
      <c r="L260" s="1" t="str">
        <f t="shared" si="1"/>
        <v>MEDIUM ORDER</v>
      </c>
    </row>
    <row r="261" spans="1:12" x14ac:dyDescent="0.3">
      <c r="A261" s="1" t="s">
        <v>54</v>
      </c>
      <c r="B261" s="1" t="s">
        <v>38</v>
      </c>
      <c r="C261" s="1" t="s">
        <v>34</v>
      </c>
      <c r="D261" s="1" t="s">
        <v>41</v>
      </c>
      <c r="E261" s="1">
        <v>19</v>
      </c>
      <c r="F261" s="1">
        <v>54981</v>
      </c>
      <c r="G261" s="1">
        <v>10</v>
      </c>
      <c r="H261" s="2">
        <v>46040</v>
      </c>
      <c r="I261" s="2">
        <v>46045</v>
      </c>
      <c r="J261" s="1" t="s">
        <v>29</v>
      </c>
      <c r="K261" s="1">
        <v>1260</v>
      </c>
      <c r="L261" s="1" t="str">
        <f t="shared" si="1"/>
        <v>BULK ORDER</v>
      </c>
    </row>
    <row r="262" spans="1:12" x14ac:dyDescent="0.3">
      <c r="A262" s="1" t="s">
        <v>40</v>
      </c>
      <c r="B262" s="1" t="s">
        <v>17</v>
      </c>
      <c r="C262" s="1" t="s">
        <v>13</v>
      </c>
      <c r="D262" s="1" t="s">
        <v>50</v>
      </c>
      <c r="E262" s="1">
        <v>20</v>
      </c>
      <c r="F262" s="1">
        <v>162</v>
      </c>
      <c r="G262" s="1">
        <v>7</v>
      </c>
      <c r="H262" s="2">
        <v>46119</v>
      </c>
      <c r="I262" s="2">
        <v>46120</v>
      </c>
      <c r="J262" s="1" t="s">
        <v>51</v>
      </c>
      <c r="K262" s="1">
        <v>1261</v>
      </c>
      <c r="L262" s="1" t="str">
        <f t="shared" si="1"/>
        <v>BULK ORDER</v>
      </c>
    </row>
    <row r="263" spans="1:12" x14ac:dyDescent="0.3">
      <c r="A263" s="1" t="s">
        <v>16</v>
      </c>
      <c r="B263" s="1" t="s">
        <v>22</v>
      </c>
      <c r="C263" s="1" t="s">
        <v>18</v>
      </c>
      <c r="D263" s="1" t="s">
        <v>28</v>
      </c>
      <c r="E263" s="1">
        <v>9</v>
      </c>
      <c r="F263" s="1">
        <v>2231</v>
      </c>
      <c r="G263" s="1">
        <v>15</v>
      </c>
      <c r="H263" s="2">
        <v>46174</v>
      </c>
      <c r="I263" s="2">
        <v>46183</v>
      </c>
      <c r="J263" s="1" t="s">
        <v>15</v>
      </c>
      <c r="K263" s="1">
        <v>1262</v>
      </c>
      <c r="L263" s="1" t="str">
        <f t="shared" si="1"/>
        <v>MEDIUM ORDER</v>
      </c>
    </row>
    <row r="264" spans="1:12" x14ac:dyDescent="0.3">
      <c r="A264" s="1" t="s">
        <v>29</v>
      </c>
      <c r="B264" s="1" t="s">
        <v>38</v>
      </c>
      <c r="C264" s="1" t="s">
        <v>18</v>
      </c>
      <c r="D264" s="1" t="s">
        <v>28</v>
      </c>
      <c r="E264" s="1">
        <v>10</v>
      </c>
      <c r="F264" s="1">
        <v>1505</v>
      </c>
      <c r="G264" s="1">
        <v>0</v>
      </c>
      <c r="H264" s="2">
        <v>46130</v>
      </c>
      <c r="I264" s="2">
        <v>46138</v>
      </c>
      <c r="J264" s="1" t="s">
        <v>51</v>
      </c>
      <c r="K264" s="1">
        <v>1263</v>
      </c>
      <c r="L264" s="1" t="str">
        <f t="shared" si="1"/>
        <v>MEDIUM ORDER</v>
      </c>
    </row>
    <row r="265" spans="1:12" x14ac:dyDescent="0.3">
      <c r="A265" s="1" t="s">
        <v>11</v>
      </c>
      <c r="B265" s="1" t="s">
        <v>22</v>
      </c>
      <c r="C265" s="1" t="s">
        <v>18</v>
      </c>
      <c r="D265" s="1" t="s">
        <v>28</v>
      </c>
      <c r="E265" s="1">
        <v>15</v>
      </c>
      <c r="F265" s="1">
        <v>6365</v>
      </c>
      <c r="G265" s="1">
        <v>10</v>
      </c>
      <c r="H265" s="2">
        <v>46200</v>
      </c>
      <c r="I265" s="2">
        <v>46206</v>
      </c>
      <c r="J265" s="1" t="s">
        <v>20</v>
      </c>
      <c r="K265" s="1">
        <v>1264</v>
      </c>
      <c r="L265" s="1" t="str">
        <f t="shared" si="1"/>
        <v>BULK ORDER</v>
      </c>
    </row>
    <row r="266" spans="1:12" x14ac:dyDescent="0.3">
      <c r="A266" s="1" t="s">
        <v>58</v>
      </c>
      <c r="B266" s="1" t="s">
        <v>22</v>
      </c>
      <c r="C266" s="1" t="s">
        <v>18</v>
      </c>
      <c r="D266" s="1" t="s">
        <v>19</v>
      </c>
      <c r="E266" s="1">
        <v>1</v>
      </c>
      <c r="F266" s="1">
        <v>1052</v>
      </c>
      <c r="G266" s="1">
        <v>7</v>
      </c>
      <c r="H266" s="2">
        <v>46117</v>
      </c>
      <c r="I266" s="2">
        <v>46127</v>
      </c>
      <c r="J266" s="1" t="s">
        <v>51</v>
      </c>
      <c r="K266" s="1">
        <v>1265</v>
      </c>
      <c r="L266" s="1" t="str">
        <f t="shared" si="1"/>
        <v>REGULAR ORDER</v>
      </c>
    </row>
    <row r="267" spans="1:12" x14ac:dyDescent="0.3">
      <c r="A267" s="1" t="s">
        <v>29</v>
      </c>
      <c r="B267" s="1" t="s">
        <v>33</v>
      </c>
      <c r="C267" s="1" t="s">
        <v>13</v>
      </c>
      <c r="D267" s="1" t="s">
        <v>14</v>
      </c>
      <c r="E267" s="1">
        <v>17</v>
      </c>
      <c r="F267" s="1">
        <v>365</v>
      </c>
      <c r="G267" s="1">
        <v>2</v>
      </c>
      <c r="H267" s="2">
        <v>46096</v>
      </c>
      <c r="I267" s="2">
        <v>46104</v>
      </c>
      <c r="J267" s="1" t="s">
        <v>51</v>
      </c>
      <c r="K267" s="1">
        <v>1266</v>
      </c>
      <c r="L267" s="1" t="str">
        <f t="shared" si="1"/>
        <v>BULK ORDER</v>
      </c>
    </row>
    <row r="268" spans="1:12" x14ac:dyDescent="0.3">
      <c r="A268" s="1" t="s">
        <v>27</v>
      </c>
      <c r="B268" s="1" t="s">
        <v>38</v>
      </c>
      <c r="C268" s="1" t="s">
        <v>13</v>
      </c>
      <c r="D268" s="1" t="s">
        <v>50</v>
      </c>
      <c r="E268" s="1">
        <v>1</v>
      </c>
      <c r="F268" s="1">
        <v>50</v>
      </c>
      <c r="G268" s="1">
        <v>0</v>
      </c>
      <c r="H268" s="2">
        <v>46129</v>
      </c>
      <c r="I268" s="2">
        <v>46138</v>
      </c>
      <c r="J268" s="1" t="s">
        <v>20</v>
      </c>
      <c r="K268" s="1">
        <v>1267</v>
      </c>
      <c r="L268" s="1" t="str">
        <f t="shared" si="1"/>
        <v>REGULAR ORDER</v>
      </c>
    </row>
    <row r="269" spans="1:12" x14ac:dyDescent="0.3">
      <c r="A269" s="1" t="s">
        <v>42</v>
      </c>
      <c r="B269" s="1" t="s">
        <v>38</v>
      </c>
      <c r="C269" s="1" t="s">
        <v>34</v>
      </c>
      <c r="D269" s="1" t="s">
        <v>45</v>
      </c>
      <c r="E269" s="1">
        <v>10</v>
      </c>
      <c r="F269" s="1">
        <v>46291</v>
      </c>
      <c r="G269" s="1">
        <v>12</v>
      </c>
      <c r="H269" s="2">
        <v>46199</v>
      </c>
      <c r="I269" s="2">
        <v>46202</v>
      </c>
      <c r="J269" s="1" t="s">
        <v>20</v>
      </c>
      <c r="K269" s="1">
        <v>1268</v>
      </c>
      <c r="L269" s="1" t="str">
        <f t="shared" si="1"/>
        <v>MEDIUM ORDER</v>
      </c>
    </row>
    <row r="270" spans="1:12" x14ac:dyDescent="0.3">
      <c r="A270" s="1" t="s">
        <v>52</v>
      </c>
      <c r="B270" s="1" t="s">
        <v>43</v>
      </c>
      <c r="C270" s="1" t="s">
        <v>18</v>
      </c>
      <c r="D270" s="1" t="s">
        <v>19</v>
      </c>
      <c r="E270" s="1">
        <v>14</v>
      </c>
      <c r="F270" s="1">
        <v>5704</v>
      </c>
      <c r="G270" s="1">
        <v>2</v>
      </c>
      <c r="H270" s="2">
        <v>46129</v>
      </c>
      <c r="I270" s="2">
        <v>46131</v>
      </c>
      <c r="J270" s="1" t="s">
        <v>15</v>
      </c>
      <c r="K270" s="1">
        <v>1269</v>
      </c>
      <c r="L270" s="1" t="str">
        <f t="shared" si="1"/>
        <v>MEDIUM ORDER</v>
      </c>
    </row>
    <row r="271" spans="1:12" x14ac:dyDescent="0.3">
      <c r="A271" s="1" t="s">
        <v>49</v>
      </c>
      <c r="B271" s="1" t="s">
        <v>43</v>
      </c>
      <c r="C271" s="1" t="s">
        <v>34</v>
      </c>
      <c r="D271" s="1" t="s">
        <v>35</v>
      </c>
      <c r="E271" s="1">
        <v>16</v>
      </c>
      <c r="F271" s="1">
        <v>62941</v>
      </c>
      <c r="G271" s="1">
        <v>7</v>
      </c>
      <c r="H271" s="2">
        <v>46135</v>
      </c>
      <c r="I271" s="2">
        <v>46141</v>
      </c>
      <c r="J271" s="1" t="s">
        <v>51</v>
      </c>
      <c r="K271" s="1">
        <v>1270</v>
      </c>
      <c r="L271" s="1" t="str">
        <f t="shared" si="1"/>
        <v>BULK ORDER</v>
      </c>
    </row>
    <row r="272" spans="1:12" x14ac:dyDescent="0.3">
      <c r="A272" s="1" t="s">
        <v>40</v>
      </c>
      <c r="B272" s="1" t="s">
        <v>33</v>
      </c>
      <c r="C272" s="1" t="s">
        <v>34</v>
      </c>
      <c r="D272" s="1" t="s">
        <v>60</v>
      </c>
      <c r="E272" s="1">
        <v>20</v>
      </c>
      <c r="F272" s="1">
        <v>36941</v>
      </c>
      <c r="G272" s="1">
        <v>15</v>
      </c>
      <c r="H272" s="2">
        <v>46083</v>
      </c>
      <c r="I272" s="2">
        <v>46085</v>
      </c>
      <c r="J272" s="1" t="s">
        <v>29</v>
      </c>
      <c r="K272" s="1">
        <v>1271</v>
      </c>
      <c r="L272" s="1" t="str">
        <f t="shared" si="1"/>
        <v>BULK ORDER</v>
      </c>
    </row>
    <row r="273" spans="1:12" x14ac:dyDescent="0.3">
      <c r="A273" s="1" t="s">
        <v>52</v>
      </c>
      <c r="B273" s="1" t="s">
        <v>38</v>
      </c>
      <c r="C273" s="1" t="s">
        <v>34</v>
      </c>
      <c r="D273" s="1" t="s">
        <v>41</v>
      </c>
      <c r="E273" s="1">
        <v>13</v>
      </c>
      <c r="F273" s="1">
        <v>42179</v>
      </c>
      <c r="G273" s="1">
        <v>0</v>
      </c>
      <c r="H273" s="2">
        <v>46078</v>
      </c>
      <c r="I273" s="2">
        <v>46084</v>
      </c>
      <c r="J273" s="1" t="s">
        <v>20</v>
      </c>
      <c r="K273" s="1">
        <v>1272</v>
      </c>
      <c r="L273" s="1" t="str">
        <f t="shared" si="1"/>
        <v>MEDIUM ORDER</v>
      </c>
    </row>
    <row r="274" spans="1:12" x14ac:dyDescent="0.3">
      <c r="A274" s="1" t="s">
        <v>46</v>
      </c>
      <c r="B274" s="1" t="s">
        <v>25</v>
      </c>
      <c r="C274" s="1" t="s">
        <v>34</v>
      </c>
      <c r="D274" s="1" t="s">
        <v>39</v>
      </c>
      <c r="E274" s="1">
        <v>12</v>
      </c>
      <c r="F274" s="1">
        <v>20618</v>
      </c>
      <c r="G274" s="1">
        <v>12</v>
      </c>
      <c r="H274" s="2">
        <v>46172</v>
      </c>
      <c r="I274" s="2">
        <v>46174</v>
      </c>
      <c r="J274" s="1" t="s">
        <v>20</v>
      </c>
      <c r="K274" s="1">
        <v>1273</v>
      </c>
      <c r="L274" s="1" t="str">
        <f t="shared" si="1"/>
        <v>MEDIUM ORDER</v>
      </c>
    </row>
    <row r="275" spans="1:12" x14ac:dyDescent="0.3">
      <c r="A275" s="1" t="s">
        <v>26</v>
      </c>
      <c r="B275" s="1" t="s">
        <v>25</v>
      </c>
      <c r="C275" s="1" t="s">
        <v>34</v>
      </c>
      <c r="D275" s="1" t="s">
        <v>41</v>
      </c>
      <c r="E275" s="1">
        <v>13</v>
      </c>
      <c r="F275" s="1">
        <v>36652</v>
      </c>
      <c r="G275" s="1">
        <v>12</v>
      </c>
      <c r="H275" s="2">
        <v>46179</v>
      </c>
      <c r="I275" s="2">
        <v>46186</v>
      </c>
      <c r="J275" s="1" t="s">
        <v>20</v>
      </c>
      <c r="K275" s="1">
        <v>1274</v>
      </c>
      <c r="L275" s="1" t="str">
        <f t="shared" si="1"/>
        <v>MEDIUM ORDER</v>
      </c>
    </row>
    <row r="276" spans="1:12" x14ac:dyDescent="0.3">
      <c r="A276" s="1" t="s">
        <v>16</v>
      </c>
      <c r="B276" s="1" t="s">
        <v>31</v>
      </c>
      <c r="C276" s="1" t="s">
        <v>13</v>
      </c>
      <c r="D276" s="1" t="s">
        <v>50</v>
      </c>
      <c r="E276" s="1">
        <v>20</v>
      </c>
      <c r="F276" s="1">
        <v>451</v>
      </c>
      <c r="G276" s="1">
        <v>15</v>
      </c>
      <c r="H276" s="2">
        <v>46092</v>
      </c>
      <c r="I276" s="2">
        <v>46094</v>
      </c>
      <c r="J276" s="1" t="s">
        <v>20</v>
      </c>
      <c r="K276" s="1">
        <v>1275</v>
      </c>
      <c r="L276" s="1" t="str">
        <f t="shared" si="1"/>
        <v>BULK ORDER</v>
      </c>
    </row>
    <row r="277" spans="1:12" x14ac:dyDescent="0.3">
      <c r="A277" s="1" t="s">
        <v>40</v>
      </c>
      <c r="B277" s="1" t="s">
        <v>12</v>
      </c>
      <c r="C277" s="1" t="s">
        <v>18</v>
      </c>
      <c r="D277" s="1" t="s">
        <v>19</v>
      </c>
      <c r="E277" s="1">
        <v>1</v>
      </c>
      <c r="F277" s="1">
        <v>13437</v>
      </c>
      <c r="G277" s="1">
        <v>15</v>
      </c>
      <c r="H277" s="2">
        <v>46097</v>
      </c>
      <c r="I277" s="2">
        <v>46099</v>
      </c>
      <c r="J277" s="1" t="s">
        <v>24</v>
      </c>
      <c r="K277" s="1">
        <v>1276</v>
      </c>
      <c r="L277" s="1" t="str">
        <f t="shared" si="1"/>
        <v>REGULAR ORDER</v>
      </c>
    </row>
    <row r="278" spans="1:12" x14ac:dyDescent="0.3">
      <c r="A278" s="1" t="s">
        <v>59</v>
      </c>
      <c r="B278" s="1" t="s">
        <v>17</v>
      </c>
      <c r="C278" s="1" t="s">
        <v>13</v>
      </c>
      <c r="D278" s="1" t="s">
        <v>36</v>
      </c>
      <c r="E278" s="1">
        <v>14</v>
      </c>
      <c r="F278" s="1">
        <v>276</v>
      </c>
      <c r="G278" s="1">
        <v>0</v>
      </c>
      <c r="H278" s="2">
        <v>46086</v>
      </c>
      <c r="I278" s="2">
        <v>46089</v>
      </c>
      <c r="J278" s="1" t="s">
        <v>15</v>
      </c>
      <c r="K278" s="1">
        <v>1277</v>
      </c>
      <c r="L278" s="1" t="str">
        <f t="shared" si="1"/>
        <v>MEDIUM ORDER</v>
      </c>
    </row>
    <row r="279" spans="1:12" x14ac:dyDescent="0.3">
      <c r="A279" s="1" t="s">
        <v>47</v>
      </c>
      <c r="B279" s="1" t="s">
        <v>22</v>
      </c>
      <c r="C279" s="1" t="s">
        <v>34</v>
      </c>
      <c r="D279" s="1" t="s">
        <v>61</v>
      </c>
      <c r="E279" s="1">
        <v>4</v>
      </c>
      <c r="F279" s="1">
        <v>20639</v>
      </c>
      <c r="G279" s="1">
        <v>7</v>
      </c>
      <c r="H279" s="2">
        <v>46180</v>
      </c>
      <c r="I279" s="2">
        <v>46186</v>
      </c>
      <c r="J279" s="1" t="s">
        <v>20</v>
      </c>
      <c r="K279" s="1">
        <v>1278</v>
      </c>
      <c r="L279" s="1" t="str">
        <f t="shared" si="1"/>
        <v>REGULAR ORDER</v>
      </c>
    </row>
    <row r="280" spans="1:12" x14ac:dyDescent="0.3">
      <c r="A280" s="1" t="s">
        <v>55</v>
      </c>
      <c r="B280" s="1" t="s">
        <v>33</v>
      </c>
      <c r="C280" s="1" t="s">
        <v>34</v>
      </c>
      <c r="D280" s="1" t="s">
        <v>45</v>
      </c>
      <c r="E280" s="1">
        <v>20</v>
      </c>
      <c r="F280" s="1">
        <v>49042</v>
      </c>
      <c r="G280" s="1">
        <v>2</v>
      </c>
      <c r="H280" s="2">
        <v>46124</v>
      </c>
      <c r="I280" s="2">
        <v>46126</v>
      </c>
      <c r="J280" s="1" t="s">
        <v>15</v>
      </c>
      <c r="K280" s="1">
        <v>1279</v>
      </c>
      <c r="L280" s="1" t="str">
        <f t="shared" si="1"/>
        <v>BULK ORDER</v>
      </c>
    </row>
    <row r="281" spans="1:12" x14ac:dyDescent="0.3">
      <c r="A281" s="1" t="s">
        <v>59</v>
      </c>
      <c r="B281" s="1" t="s">
        <v>38</v>
      </c>
      <c r="C281" s="1" t="s">
        <v>13</v>
      </c>
      <c r="D281" s="1" t="s">
        <v>53</v>
      </c>
      <c r="E281" s="1">
        <v>9</v>
      </c>
      <c r="F281" s="1">
        <v>50</v>
      </c>
      <c r="G281" s="1">
        <v>7</v>
      </c>
      <c r="H281" s="2">
        <v>46085</v>
      </c>
      <c r="I281" s="2">
        <v>46095</v>
      </c>
      <c r="J281" s="1" t="s">
        <v>51</v>
      </c>
      <c r="K281" s="1">
        <v>1280</v>
      </c>
      <c r="L281" s="1" t="str">
        <f t="shared" si="1"/>
        <v>MEDIUM ORDER</v>
      </c>
    </row>
    <row r="282" spans="1:12" x14ac:dyDescent="0.3">
      <c r="A282" s="1" t="s">
        <v>55</v>
      </c>
      <c r="B282" s="1" t="s">
        <v>17</v>
      </c>
      <c r="C282" s="1" t="s">
        <v>13</v>
      </c>
      <c r="D282" s="1" t="s">
        <v>50</v>
      </c>
      <c r="E282" s="1">
        <v>6</v>
      </c>
      <c r="F282" s="1">
        <v>253</v>
      </c>
      <c r="G282" s="1">
        <v>0</v>
      </c>
      <c r="H282" s="2">
        <v>46055</v>
      </c>
      <c r="I282" s="2">
        <v>46063</v>
      </c>
      <c r="J282" s="1" t="s">
        <v>24</v>
      </c>
      <c r="K282" s="1">
        <v>1281</v>
      </c>
      <c r="L282" s="1" t="str">
        <f t="shared" si="1"/>
        <v>MEDIUM ORDER</v>
      </c>
    </row>
    <row r="283" spans="1:12" x14ac:dyDescent="0.3">
      <c r="A283" s="1" t="s">
        <v>57</v>
      </c>
      <c r="B283" s="1" t="s">
        <v>43</v>
      </c>
      <c r="C283" s="1" t="s">
        <v>18</v>
      </c>
      <c r="D283" s="1" t="s">
        <v>44</v>
      </c>
      <c r="E283" s="1">
        <v>12</v>
      </c>
      <c r="F283" s="1">
        <v>3178</v>
      </c>
      <c r="G283" s="1">
        <v>10</v>
      </c>
      <c r="H283" s="2">
        <v>46176</v>
      </c>
      <c r="I283" s="2">
        <v>46177</v>
      </c>
      <c r="J283" s="1" t="s">
        <v>29</v>
      </c>
      <c r="K283" s="1">
        <v>1282</v>
      </c>
      <c r="L283" s="1" t="str">
        <f t="shared" si="1"/>
        <v>MEDIUM ORDER</v>
      </c>
    </row>
    <row r="284" spans="1:12" x14ac:dyDescent="0.3">
      <c r="A284" s="1" t="s">
        <v>40</v>
      </c>
      <c r="B284" s="1" t="s">
        <v>12</v>
      </c>
      <c r="C284" s="1" t="s">
        <v>18</v>
      </c>
      <c r="D284" s="1" t="s">
        <v>23</v>
      </c>
      <c r="E284" s="1">
        <v>6</v>
      </c>
      <c r="F284" s="1">
        <v>1167</v>
      </c>
      <c r="G284" s="1">
        <v>2</v>
      </c>
      <c r="H284" s="2">
        <v>46100</v>
      </c>
      <c r="I284" s="2">
        <v>46106</v>
      </c>
      <c r="J284" s="1" t="s">
        <v>15</v>
      </c>
      <c r="K284" s="1">
        <v>1283</v>
      </c>
      <c r="L284" s="1" t="str">
        <f t="shared" si="1"/>
        <v>MEDIUM ORDER</v>
      </c>
    </row>
    <row r="285" spans="1:12" x14ac:dyDescent="0.3">
      <c r="A285" s="1" t="s">
        <v>40</v>
      </c>
      <c r="B285" s="1" t="s">
        <v>25</v>
      </c>
      <c r="C285" s="1" t="s">
        <v>13</v>
      </c>
      <c r="D285" s="1" t="s">
        <v>37</v>
      </c>
      <c r="E285" s="1">
        <v>16</v>
      </c>
      <c r="F285" s="1">
        <v>419</v>
      </c>
      <c r="G285" s="1">
        <v>2</v>
      </c>
      <c r="H285" s="2">
        <v>46082</v>
      </c>
      <c r="I285" s="2">
        <v>46090</v>
      </c>
      <c r="J285" s="1" t="s">
        <v>15</v>
      </c>
      <c r="K285" s="1">
        <v>1284</v>
      </c>
      <c r="L285" s="1" t="str">
        <f t="shared" si="1"/>
        <v>BULK ORDER</v>
      </c>
    </row>
    <row r="286" spans="1:12" x14ac:dyDescent="0.3">
      <c r="A286" s="1" t="s">
        <v>32</v>
      </c>
      <c r="B286" s="1" t="s">
        <v>38</v>
      </c>
      <c r="C286" s="1" t="s">
        <v>13</v>
      </c>
      <c r="D286" s="1" t="s">
        <v>36</v>
      </c>
      <c r="E286" s="1">
        <v>7</v>
      </c>
      <c r="F286" s="1">
        <v>439</v>
      </c>
      <c r="G286" s="1">
        <v>15</v>
      </c>
      <c r="H286" s="2">
        <v>46055</v>
      </c>
      <c r="I286" s="2">
        <v>46058</v>
      </c>
      <c r="J286" s="1" t="s">
        <v>20</v>
      </c>
      <c r="K286" s="1">
        <v>1285</v>
      </c>
      <c r="L286" s="1" t="str">
        <f t="shared" si="1"/>
        <v>MEDIUM ORDER</v>
      </c>
    </row>
    <row r="287" spans="1:12" x14ac:dyDescent="0.3">
      <c r="A287" s="1" t="s">
        <v>46</v>
      </c>
      <c r="B287" s="1" t="s">
        <v>17</v>
      </c>
      <c r="C287" s="1" t="s">
        <v>18</v>
      </c>
      <c r="D287" s="1" t="s">
        <v>56</v>
      </c>
      <c r="E287" s="1">
        <v>9</v>
      </c>
      <c r="F287" s="1">
        <v>1340</v>
      </c>
      <c r="G287" s="1">
        <v>2</v>
      </c>
      <c r="H287" s="2">
        <v>46168</v>
      </c>
      <c r="I287" s="2">
        <v>46173</v>
      </c>
      <c r="J287" s="1" t="s">
        <v>15</v>
      </c>
      <c r="K287" s="1">
        <v>1286</v>
      </c>
      <c r="L287" s="1" t="str">
        <f t="shared" si="1"/>
        <v>MEDIUM ORDER</v>
      </c>
    </row>
    <row r="288" spans="1:12" x14ac:dyDescent="0.3">
      <c r="A288" s="1" t="s">
        <v>59</v>
      </c>
      <c r="B288" s="1" t="s">
        <v>31</v>
      </c>
      <c r="C288" s="1" t="s">
        <v>13</v>
      </c>
      <c r="D288" s="1" t="s">
        <v>14</v>
      </c>
      <c r="E288" s="1">
        <v>15</v>
      </c>
      <c r="F288" s="1">
        <v>251</v>
      </c>
      <c r="G288" s="1">
        <v>2</v>
      </c>
      <c r="H288" s="2">
        <v>46116</v>
      </c>
      <c r="I288" s="2">
        <v>46122</v>
      </c>
      <c r="J288" s="1" t="s">
        <v>51</v>
      </c>
      <c r="K288" s="1">
        <v>1287</v>
      </c>
      <c r="L288" s="1" t="str">
        <f t="shared" si="1"/>
        <v>BULK ORDER</v>
      </c>
    </row>
    <row r="289" spans="1:12" x14ac:dyDescent="0.3">
      <c r="A289" s="1" t="s">
        <v>54</v>
      </c>
      <c r="B289" s="1" t="s">
        <v>22</v>
      </c>
      <c r="C289" s="1" t="s">
        <v>34</v>
      </c>
      <c r="D289" s="1" t="s">
        <v>60</v>
      </c>
      <c r="E289" s="1">
        <v>14</v>
      </c>
      <c r="F289" s="1">
        <v>35601</v>
      </c>
      <c r="G289" s="1">
        <v>10</v>
      </c>
      <c r="H289" s="2">
        <v>46179</v>
      </c>
      <c r="I289" s="2">
        <v>46187</v>
      </c>
      <c r="J289" s="1" t="s">
        <v>29</v>
      </c>
      <c r="K289" s="1">
        <v>1288</v>
      </c>
      <c r="L289" s="1" t="str">
        <f t="shared" si="1"/>
        <v>MEDIUM ORDER</v>
      </c>
    </row>
    <row r="290" spans="1:12" x14ac:dyDescent="0.3">
      <c r="A290" s="1" t="s">
        <v>26</v>
      </c>
      <c r="B290" s="1" t="s">
        <v>22</v>
      </c>
      <c r="C290" s="1" t="s">
        <v>34</v>
      </c>
      <c r="D290" s="1" t="s">
        <v>45</v>
      </c>
      <c r="E290" s="1">
        <v>19</v>
      </c>
      <c r="F290" s="1">
        <v>25336</v>
      </c>
      <c r="G290" s="1">
        <v>2</v>
      </c>
      <c r="H290" s="2">
        <v>46122</v>
      </c>
      <c r="I290" s="2">
        <v>46130</v>
      </c>
      <c r="J290" s="1" t="s">
        <v>24</v>
      </c>
      <c r="K290" s="1">
        <v>1289</v>
      </c>
      <c r="L290" s="1" t="str">
        <f t="shared" si="1"/>
        <v>BULK ORDER</v>
      </c>
    </row>
    <row r="291" spans="1:12" x14ac:dyDescent="0.3">
      <c r="A291" s="1" t="s">
        <v>26</v>
      </c>
      <c r="B291" s="1" t="s">
        <v>22</v>
      </c>
      <c r="C291" s="1" t="s">
        <v>34</v>
      </c>
      <c r="D291" s="1" t="s">
        <v>35</v>
      </c>
      <c r="E291" s="1">
        <v>3</v>
      </c>
      <c r="F291" s="1">
        <v>69793</v>
      </c>
      <c r="G291" s="1">
        <v>15</v>
      </c>
      <c r="H291" s="2">
        <v>46110</v>
      </c>
      <c r="I291" s="2">
        <v>46111</v>
      </c>
      <c r="J291" s="1" t="s">
        <v>29</v>
      </c>
      <c r="K291" s="1">
        <v>1290</v>
      </c>
      <c r="L291" s="1" t="str">
        <f t="shared" si="1"/>
        <v>REGULAR ORDER</v>
      </c>
    </row>
    <row r="292" spans="1:12" x14ac:dyDescent="0.3">
      <c r="A292" s="1" t="s">
        <v>21</v>
      </c>
      <c r="B292" s="1" t="s">
        <v>17</v>
      </c>
      <c r="C292" s="1" t="s">
        <v>13</v>
      </c>
      <c r="D292" s="1" t="s">
        <v>36</v>
      </c>
      <c r="E292" s="1">
        <v>17</v>
      </c>
      <c r="F292" s="1">
        <v>415</v>
      </c>
      <c r="G292" s="1">
        <v>5</v>
      </c>
      <c r="H292" s="2">
        <v>46137</v>
      </c>
      <c r="I292" s="2">
        <v>46141</v>
      </c>
      <c r="J292" s="1" t="s">
        <v>20</v>
      </c>
      <c r="K292" s="1">
        <v>1291</v>
      </c>
      <c r="L292" s="1" t="str">
        <f t="shared" si="1"/>
        <v>BULK ORDER</v>
      </c>
    </row>
    <row r="293" spans="1:12" x14ac:dyDescent="0.3">
      <c r="A293" s="1" t="s">
        <v>54</v>
      </c>
      <c r="B293" s="1" t="s">
        <v>33</v>
      </c>
      <c r="C293" s="1" t="s">
        <v>34</v>
      </c>
      <c r="D293" s="1" t="s">
        <v>61</v>
      </c>
      <c r="E293" s="1">
        <v>11</v>
      </c>
      <c r="F293" s="1">
        <v>25158</v>
      </c>
      <c r="G293" s="1">
        <v>5</v>
      </c>
      <c r="H293" s="2">
        <v>46186</v>
      </c>
      <c r="I293" s="2">
        <v>46193</v>
      </c>
      <c r="J293" s="1" t="s">
        <v>20</v>
      </c>
      <c r="K293" s="1">
        <v>1292</v>
      </c>
      <c r="L293" s="1" t="str">
        <f t="shared" si="1"/>
        <v>MEDIUM ORDER</v>
      </c>
    </row>
    <row r="294" spans="1:12" x14ac:dyDescent="0.3">
      <c r="A294" s="1" t="s">
        <v>49</v>
      </c>
      <c r="B294" s="1" t="s">
        <v>43</v>
      </c>
      <c r="C294" s="1" t="s">
        <v>18</v>
      </c>
      <c r="D294" s="1" t="s">
        <v>23</v>
      </c>
      <c r="E294" s="1">
        <v>7</v>
      </c>
      <c r="F294" s="1">
        <v>11481</v>
      </c>
      <c r="G294" s="1">
        <v>15</v>
      </c>
      <c r="H294" s="2">
        <v>46045</v>
      </c>
      <c r="I294" s="2">
        <v>46050</v>
      </c>
      <c r="J294" s="1" t="s">
        <v>20</v>
      </c>
      <c r="K294" s="1">
        <v>1293</v>
      </c>
      <c r="L294" s="1" t="str">
        <f t="shared" si="1"/>
        <v>MEDIUM ORDER</v>
      </c>
    </row>
    <row r="295" spans="1:12" x14ac:dyDescent="0.3">
      <c r="A295" s="1" t="s">
        <v>21</v>
      </c>
      <c r="B295" s="1" t="s">
        <v>12</v>
      </c>
      <c r="C295" s="1" t="s">
        <v>18</v>
      </c>
      <c r="D295" s="1" t="s">
        <v>19</v>
      </c>
      <c r="E295" s="1">
        <v>8</v>
      </c>
      <c r="F295" s="1">
        <v>14448</v>
      </c>
      <c r="G295" s="1">
        <v>10</v>
      </c>
      <c r="H295" s="2">
        <v>46181</v>
      </c>
      <c r="I295" s="2">
        <v>46189</v>
      </c>
      <c r="J295" s="1" t="s">
        <v>15</v>
      </c>
      <c r="K295" s="1">
        <v>1294</v>
      </c>
      <c r="L295" s="1" t="str">
        <f t="shared" si="1"/>
        <v>MEDIUM ORDER</v>
      </c>
    </row>
    <row r="296" spans="1:12" x14ac:dyDescent="0.3">
      <c r="A296" s="1" t="s">
        <v>52</v>
      </c>
      <c r="B296" s="1" t="s">
        <v>38</v>
      </c>
      <c r="C296" s="1" t="s">
        <v>18</v>
      </c>
      <c r="D296" s="1" t="s">
        <v>28</v>
      </c>
      <c r="E296" s="1">
        <v>16</v>
      </c>
      <c r="F296" s="1">
        <v>11935</v>
      </c>
      <c r="G296" s="1">
        <v>12</v>
      </c>
      <c r="H296" s="2">
        <v>46157</v>
      </c>
      <c r="I296" s="2">
        <v>46162</v>
      </c>
      <c r="J296" s="1" t="s">
        <v>15</v>
      </c>
      <c r="K296" s="1">
        <v>1295</v>
      </c>
      <c r="L296" s="1" t="str">
        <f t="shared" si="1"/>
        <v>BULK ORDER</v>
      </c>
    </row>
    <row r="297" spans="1:12" x14ac:dyDescent="0.3">
      <c r="A297" s="1" t="s">
        <v>26</v>
      </c>
      <c r="B297" s="1" t="s">
        <v>38</v>
      </c>
      <c r="C297" s="1" t="s">
        <v>13</v>
      </c>
      <c r="D297" s="1" t="s">
        <v>50</v>
      </c>
      <c r="E297" s="1">
        <v>6</v>
      </c>
      <c r="F297" s="1">
        <v>201</v>
      </c>
      <c r="G297" s="1">
        <v>0</v>
      </c>
      <c r="H297" s="2">
        <v>46063</v>
      </c>
      <c r="I297" s="2">
        <v>46072</v>
      </c>
      <c r="J297" s="1" t="s">
        <v>51</v>
      </c>
      <c r="K297" s="1">
        <v>1296</v>
      </c>
      <c r="L297" s="1" t="str">
        <f t="shared" si="1"/>
        <v>MEDIUM ORDER</v>
      </c>
    </row>
    <row r="298" spans="1:12" x14ac:dyDescent="0.3">
      <c r="A298" s="1" t="s">
        <v>54</v>
      </c>
      <c r="B298" s="1" t="s">
        <v>25</v>
      </c>
      <c r="C298" s="1" t="s">
        <v>34</v>
      </c>
      <c r="D298" s="1" t="s">
        <v>35</v>
      </c>
      <c r="E298" s="1">
        <v>14</v>
      </c>
      <c r="F298" s="1">
        <v>24524</v>
      </c>
      <c r="G298" s="1">
        <v>10</v>
      </c>
      <c r="H298" s="2">
        <v>46178</v>
      </c>
      <c r="I298" s="2">
        <v>46187</v>
      </c>
      <c r="J298" s="1" t="s">
        <v>29</v>
      </c>
      <c r="K298" s="1">
        <v>1297</v>
      </c>
      <c r="L298" s="1" t="str">
        <f t="shared" si="1"/>
        <v>MEDIUM ORDER</v>
      </c>
    </row>
    <row r="299" spans="1:12" x14ac:dyDescent="0.3">
      <c r="A299" s="1" t="s">
        <v>21</v>
      </c>
      <c r="B299" s="1" t="s">
        <v>12</v>
      </c>
      <c r="C299" s="1" t="s">
        <v>34</v>
      </c>
      <c r="D299" s="1" t="s">
        <v>61</v>
      </c>
      <c r="E299" s="1">
        <v>19</v>
      </c>
      <c r="F299" s="1">
        <v>20745</v>
      </c>
      <c r="G299" s="1">
        <v>2</v>
      </c>
      <c r="H299" s="2">
        <v>46083</v>
      </c>
      <c r="I299" s="2">
        <v>46093</v>
      </c>
      <c r="J299" s="1" t="s">
        <v>24</v>
      </c>
      <c r="K299" s="1">
        <v>1298</v>
      </c>
      <c r="L299" s="1" t="str">
        <f t="shared" si="1"/>
        <v>BULK ORDER</v>
      </c>
    </row>
    <row r="300" spans="1:12" x14ac:dyDescent="0.3">
      <c r="A300" s="1" t="s">
        <v>26</v>
      </c>
      <c r="B300" s="1" t="s">
        <v>17</v>
      </c>
      <c r="C300" s="1" t="s">
        <v>18</v>
      </c>
      <c r="D300" s="1" t="s">
        <v>56</v>
      </c>
      <c r="E300" s="1">
        <v>8</v>
      </c>
      <c r="F300" s="1">
        <v>8783</v>
      </c>
      <c r="G300" s="1">
        <v>2</v>
      </c>
      <c r="H300" s="2">
        <v>46123</v>
      </c>
      <c r="I300" s="2">
        <v>46132</v>
      </c>
      <c r="J300" s="1" t="s">
        <v>15</v>
      </c>
      <c r="K300" s="1">
        <v>1299</v>
      </c>
      <c r="L300" s="1" t="str">
        <f t="shared" si="1"/>
        <v>MEDIUM ORDER</v>
      </c>
    </row>
    <row r="301" spans="1:12" x14ac:dyDescent="0.3">
      <c r="A301" s="1" t="s">
        <v>47</v>
      </c>
      <c r="B301" s="1" t="s">
        <v>33</v>
      </c>
      <c r="C301" s="1" t="s">
        <v>34</v>
      </c>
      <c r="D301" s="1" t="s">
        <v>45</v>
      </c>
      <c r="E301" s="1">
        <v>20</v>
      </c>
      <c r="F301" s="1">
        <v>1392</v>
      </c>
      <c r="G301" s="1">
        <v>2</v>
      </c>
      <c r="H301" s="2">
        <v>46110</v>
      </c>
      <c r="I301" s="2">
        <v>46117</v>
      </c>
      <c r="J301" s="1" t="s">
        <v>24</v>
      </c>
      <c r="K301" s="1">
        <v>1300</v>
      </c>
      <c r="L301" s="1" t="str">
        <f t="shared" si="1"/>
        <v>BULK ORDER</v>
      </c>
    </row>
    <row r="302" spans="1:12" x14ac:dyDescent="0.3">
      <c r="A302" s="1" t="s">
        <v>54</v>
      </c>
      <c r="B302" s="1" t="s">
        <v>17</v>
      </c>
      <c r="C302" s="1" t="s">
        <v>18</v>
      </c>
      <c r="D302" s="1" t="s">
        <v>28</v>
      </c>
      <c r="E302" s="1">
        <v>3</v>
      </c>
      <c r="F302" s="1">
        <v>7020</v>
      </c>
      <c r="G302" s="1">
        <v>10</v>
      </c>
      <c r="H302" s="2">
        <v>46028</v>
      </c>
      <c r="I302" s="2">
        <v>46038</v>
      </c>
      <c r="J302" s="1" t="s">
        <v>24</v>
      </c>
      <c r="K302" s="1">
        <v>1301</v>
      </c>
      <c r="L302" s="1" t="str">
        <f t="shared" si="1"/>
        <v>REGULAR ORDER</v>
      </c>
    </row>
    <row r="303" spans="1:12" x14ac:dyDescent="0.3">
      <c r="A303" s="1" t="s">
        <v>57</v>
      </c>
      <c r="B303" s="1" t="s">
        <v>12</v>
      </c>
      <c r="C303" s="1" t="s">
        <v>34</v>
      </c>
      <c r="D303" s="1" t="s">
        <v>35</v>
      </c>
      <c r="E303" s="1">
        <v>9</v>
      </c>
      <c r="F303" s="1">
        <v>8500</v>
      </c>
      <c r="G303" s="1">
        <v>15</v>
      </c>
      <c r="H303" s="2">
        <v>46163</v>
      </c>
      <c r="I303" s="2">
        <v>46172</v>
      </c>
      <c r="J303" s="1" t="s">
        <v>24</v>
      </c>
      <c r="K303" s="1">
        <v>1302</v>
      </c>
      <c r="L303" s="1" t="str">
        <f t="shared" si="1"/>
        <v>MEDIUM ORDER</v>
      </c>
    </row>
    <row r="304" spans="1:12" x14ac:dyDescent="0.3">
      <c r="A304" s="1" t="s">
        <v>57</v>
      </c>
      <c r="B304" s="1" t="s">
        <v>38</v>
      </c>
      <c r="C304" s="1" t="s">
        <v>34</v>
      </c>
      <c r="D304" s="1" t="s">
        <v>35</v>
      </c>
      <c r="E304" s="1">
        <v>13</v>
      </c>
      <c r="F304" s="1">
        <v>5170</v>
      </c>
      <c r="G304" s="1">
        <v>2</v>
      </c>
      <c r="H304" s="2">
        <v>46124</v>
      </c>
      <c r="I304" s="2">
        <v>46127</v>
      </c>
      <c r="J304" s="1" t="s">
        <v>15</v>
      </c>
      <c r="K304" s="1">
        <v>1303</v>
      </c>
      <c r="L304" s="1" t="str">
        <f t="shared" si="1"/>
        <v>MEDIUM ORDER</v>
      </c>
    </row>
    <row r="305" spans="1:12" x14ac:dyDescent="0.3">
      <c r="A305" s="1" t="s">
        <v>59</v>
      </c>
      <c r="B305" s="1" t="s">
        <v>25</v>
      </c>
      <c r="C305" s="1" t="s">
        <v>13</v>
      </c>
      <c r="D305" s="1" t="s">
        <v>36</v>
      </c>
      <c r="E305" s="1">
        <v>20</v>
      </c>
      <c r="F305" s="1">
        <v>368</v>
      </c>
      <c r="G305" s="1">
        <v>7</v>
      </c>
      <c r="H305" s="2">
        <v>46042</v>
      </c>
      <c r="I305" s="2">
        <v>46051</v>
      </c>
      <c r="J305" s="1" t="s">
        <v>51</v>
      </c>
      <c r="K305" s="1">
        <v>1304</v>
      </c>
      <c r="L305" s="1" t="str">
        <f t="shared" si="1"/>
        <v>BULK ORDER</v>
      </c>
    </row>
    <row r="306" spans="1:12" x14ac:dyDescent="0.3">
      <c r="A306" s="1" t="s">
        <v>58</v>
      </c>
      <c r="B306" s="1" t="s">
        <v>31</v>
      </c>
      <c r="C306" s="1" t="s">
        <v>34</v>
      </c>
      <c r="D306" s="1" t="s">
        <v>60</v>
      </c>
      <c r="E306" s="1">
        <v>20</v>
      </c>
      <c r="F306" s="1">
        <v>31406</v>
      </c>
      <c r="G306" s="1">
        <v>15</v>
      </c>
      <c r="H306" s="2">
        <v>46146</v>
      </c>
      <c r="I306" s="2">
        <v>46154</v>
      </c>
      <c r="J306" s="1" t="s">
        <v>51</v>
      </c>
      <c r="K306" s="1">
        <v>1305</v>
      </c>
      <c r="L306" s="1" t="str">
        <f t="shared" si="1"/>
        <v>BULK ORDER</v>
      </c>
    </row>
    <row r="307" spans="1:12" x14ac:dyDescent="0.3">
      <c r="A307" s="1" t="s">
        <v>54</v>
      </c>
      <c r="B307" s="1" t="s">
        <v>43</v>
      </c>
      <c r="C307" s="1" t="s">
        <v>13</v>
      </c>
      <c r="D307" s="1" t="s">
        <v>36</v>
      </c>
      <c r="E307" s="1">
        <v>1</v>
      </c>
      <c r="F307" s="1">
        <v>332</v>
      </c>
      <c r="G307" s="1">
        <v>0</v>
      </c>
      <c r="H307" s="2">
        <v>46191</v>
      </c>
      <c r="I307" s="2">
        <v>46194</v>
      </c>
      <c r="J307" s="1" t="s">
        <v>20</v>
      </c>
      <c r="K307" s="1">
        <v>1306</v>
      </c>
      <c r="L307" s="1" t="str">
        <f t="shared" si="1"/>
        <v>REGULAR ORDER</v>
      </c>
    </row>
    <row r="308" spans="1:12" x14ac:dyDescent="0.3">
      <c r="A308" s="1" t="s">
        <v>57</v>
      </c>
      <c r="B308" s="1" t="s">
        <v>43</v>
      </c>
      <c r="C308" s="1" t="s">
        <v>34</v>
      </c>
      <c r="D308" s="1" t="s">
        <v>35</v>
      </c>
      <c r="E308" s="1">
        <v>18</v>
      </c>
      <c r="F308" s="1">
        <v>7541</v>
      </c>
      <c r="G308" s="1">
        <v>12</v>
      </c>
      <c r="H308" s="2">
        <v>46048</v>
      </c>
      <c r="I308" s="2">
        <v>46051</v>
      </c>
      <c r="J308" s="1" t="s">
        <v>51</v>
      </c>
      <c r="K308" s="1">
        <v>1307</v>
      </c>
      <c r="L308" s="1" t="str">
        <f t="shared" si="1"/>
        <v>BULK ORDER</v>
      </c>
    </row>
    <row r="309" spans="1:12" x14ac:dyDescent="0.3">
      <c r="A309" s="1" t="s">
        <v>30</v>
      </c>
      <c r="B309" s="1" t="s">
        <v>22</v>
      </c>
      <c r="C309" s="1" t="s">
        <v>34</v>
      </c>
      <c r="D309" s="1" t="s">
        <v>41</v>
      </c>
      <c r="E309" s="1">
        <v>12</v>
      </c>
      <c r="F309" s="1">
        <v>66075</v>
      </c>
      <c r="G309" s="1">
        <v>5</v>
      </c>
      <c r="H309" s="2">
        <v>46129</v>
      </c>
      <c r="I309" s="2">
        <v>46135</v>
      </c>
      <c r="J309" s="1" t="s">
        <v>20</v>
      </c>
      <c r="K309" s="1">
        <v>1308</v>
      </c>
      <c r="L309" s="1" t="str">
        <f t="shared" si="1"/>
        <v>MEDIUM ORDER</v>
      </c>
    </row>
    <row r="310" spans="1:12" x14ac:dyDescent="0.3">
      <c r="A310" s="1" t="s">
        <v>29</v>
      </c>
      <c r="B310" s="1" t="s">
        <v>31</v>
      </c>
      <c r="C310" s="1" t="s">
        <v>13</v>
      </c>
      <c r="D310" s="1" t="s">
        <v>50</v>
      </c>
      <c r="E310" s="1">
        <v>2</v>
      </c>
      <c r="F310" s="1">
        <v>35</v>
      </c>
      <c r="G310" s="1">
        <v>5</v>
      </c>
      <c r="H310" s="2">
        <v>46197</v>
      </c>
      <c r="I310" s="2">
        <v>46198</v>
      </c>
      <c r="J310" s="1" t="s">
        <v>24</v>
      </c>
      <c r="K310" s="1">
        <v>1309</v>
      </c>
      <c r="L310" s="1" t="str">
        <f t="shared" si="1"/>
        <v>REGULAR ORDER</v>
      </c>
    </row>
    <row r="311" spans="1:12" x14ac:dyDescent="0.3">
      <c r="A311" s="1" t="s">
        <v>49</v>
      </c>
      <c r="B311" s="1" t="s">
        <v>17</v>
      </c>
      <c r="C311" s="1" t="s">
        <v>18</v>
      </c>
      <c r="D311" s="1" t="s">
        <v>56</v>
      </c>
      <c r="E311" s="1">
        <v>19</v>
      </c>
      <c r="F311" s="1">
        <v>12691</v>
      </c>
      <c r="G311" s="1">
        <v>0</v>
      </c>
      <c r="H311" s="2">
        <v>46181</v>
      </c>
      <c r="I311" s="2">
        <v>46189</v>
      </c>
      <c r="J311" s="1" t="s">
        <v>29</v>
      </c>
      <c r="K311" s="1">
        <v>1310</v>
      </c>
      <c r="L311" s="1" t="str">
        <f t="shared" si="1"/>
        <v>BULK ORDER</v>
      </c>
    </row>
    <row r="312" spans="1:12" x14ac:dyDescent="0.3">
      <c r="A312" s="1" t="s">
        <v>55</v>
      </c>
      <c r="B312" s="1" t="s">
        <v>12</v>
      </c>
      <c r="C312" s="1" t="s">
        <v>13</v>
      </c>
      <c r="D312" s="1" t="s">
        <v>14</v>
      </c>
      <c r="E312" s="1">
        <v>2</v>
      </c>
      <c r="F312" s="1">
        <v>209</v>
      </c>
      <c r="G312" s="1">
        <v>0</v>
      </c>
      <c r="H312" s="2">
        <v>46173</v>
      </c>
      <c r="I312" s="2">
        <v>46176</v>
      </c>
      <c r="J312" s="1" t="s">
        <v>20</v>
      </c>
      <c r="K312" s="1">
        <v>1311</v>
      </c>
      <c r="L312" s="1" t="str">
        <f t="shared" si="1"/>
        <v>REGULAR ORDER</v>
      </c>
    </row>
    <row r="313" spans="1:12" x14ac:dyDescent="0.3">
      <c r="A313" s="1" t="s">
        <v>57</v>
      </c>
      <c r="B313" s="1" t="s">
        <v>22</v>
      </c>
      <c r="C313" s="1" t="s">
        <v>18</v>
      </c>
      <c r="D313" s="1" t="s">
        <v>56</v>
      </c>
      <c r="E313" s="1">
        <v>20</v>
      </c>
      <c r="F313" s="1">
        <v>3274</v>
      </c>
      <c r="G313" s="1">
        <v>2</v>
      </c>
      <c r="H313" s="2">
        <v>46148</v>
      </c>
      <c r="I313" s="2">
        <v>46156</v>
      </c>
      <c r="J313" s="1" t="s">
        <v>24</v>
      </c>
      <c r="K313" s="1">
        <v>1312</v>
      </c>
      <c r="L313" s="1" t="str">
        <f t="shared" si="1"/>
        <v>BULK ORDER</v>
      </c>
    </row>
    <row r="314" spans="1:12" x14ac:dyDescent="0.3">
      <c r="A314" s="1" t="s">
        <v>59</v>
      </c>
      <c r="B314" s="1" t="s">
        <v>22</v>
      </c>
      <c r="C314" s="1" t="s">
        <v>18</v>
      </c>
      <c r="D314" s="1" t="s">
        <v>56</v>
      </c>
      <c r="E314" s="1">
        <v>6</v>
      </c>
      <c r="F314" s="1">
        <v>10864</v>
      </c>
      <c r="G314" s="1">
        <v>10</v>
      </c>
      <c r="H314" s="2">
        <v>46041</v>
      </c>
      <c r="I314" s="2">
        <v>46049</v>
      </c>
      <c r="J314" s="1" t="s">
        <v>15</v>
      </c>
      <c r="K314" s="1">
        <v>1313</v>
      </c>
      <c r="L314" s="1" t="str">
        <f t="shared" si="1"/>
        <v>MEDIUM ORDER</v>
      </c>
    </row>
    <row r="315" spans="1:12" x14ac:dyDescent="0.3">
      <c r="A315" s="1" t="s">
        <v>52</v>
      </c>
      <c r="B315" s="1" t="s">
        <v>33</v>
      </c>
      <c r="C315" s="1" t="s">
        <v>18</v>
      </c>
      <c r="D315" s="1" t="s">
        <v>19</v>
      </c>
      <c r="E315" s="1">
        <v>10</v>
      </c>
      <c r="F315" s="1">
        <v>6328</v>
      </c>
      <c r="G315" s="1">
        <v>2</v>
      </c>
      <c r="H315" s="2">
        <v>46196</v>
      </c>
      <c r="I315" s="2">
        <v>46197</v>
      </c>
      <c r="J315" s="1" t="s">
        <v>29</v>
      </c>
      <c r="K315" s="1">
        <v>1314</v>
      </c>
      <c r="L315" s="1" t="str">
        <f t="shared" si="1"/>
        <v>MEDIUM ORDER</v>
      </c>
    </row>
    <row r="316" spans="1:12" x14ac:dyDescent="0.3">
      <c r="A316" s="1" t="s">
        <v>49</v>
      </c>
      <c r="B316" s="1" t="s">
        <v>31</v>
      </c>
      <c r="C316" s="1" t="s">
        <v>34</v>
      </c>
      <c r="D316" s="1" t="s">
        <v>41</v>
      </c>
      <c r="E316" s="1">
        <v>14</v>
      </c>
      <c r="F316" s="1">
        <v>57670</v>
      </c>
      <c r="G316" s="1">
        <v>2</v>
      </c>
      <c r="H316" s="2">
        <v>46186</v>
      </c>
      <c r="I316" s="2">
        <v>46196</v>
      </c>
      <c r="J316" s="1" t="s">
        <v>15</v>
      </c>
      <c r="K316" s="1">
        <v>1315</v>
      </c>
      <c r="L316" s="1" t="str">
        <f t="shared" si="1"/>
        <v>MEDIUM ORDER</v>
      </c>
    </row>
    <row r="317" spans="1:12" x14ac:dyDescent="0.3">
      <c r="A317" s="1" t="s">
        <v>46</v>
      </c>
      <c r="B317" s="1" t="s">
        <v>12</v>
      </c>
      <c r="C317" s="1" t="s">
        <v>18</v>
      </c>
      <c r="D317" s="1" t="s">
        <v>28</v>
      </c>
      <c r="E317" s="1">
        <v>7</v>
      </c>
      <c r="F317" s="1">
        <v>9838</v>
      </c>
      <c r="G317" s="1">
        <v>7</v>
      </c>
      <c r="H317" s="2">
        <v>46078</v>
      </c>
      <c r="I317" s="2">
        <v>46085</v>
      </c>
      <c r="J317" s="1" t="s">
        <v>20</v>
      </c>
      <c r="K317" s="1">
        <v>1316</v>
      </c>
      <c r="L317" s="1" t="str">
        <f t="shared" si="1"/>
        <v>MEDIUM ORDER</v>
      </c>
    </row>
    <row r="318" spans="1:12" x14ac:dyDescent="0.3">
      <c r="A318" s="1" t="s">
        <v>59</v>
      </c>
      <c r="B318" s="1" t="s">
        <v>33</v>
      </c>
      <c r="C318" s="1" t="s">
        <v>34</v>
      </c>
      <c r="D318" s="1" t="s">
        <v>41</v>
      </c>
      <c r="E318" s="1">
        <v>7</v>
      </c>
      <c r="F318" s="1">
        <v>67339</v>
      </c>
      <c r="G318" s="1">
        <v>5</v>
      </c>
      <c r="H318" s="2">
        <v>46159</v>
      </c>
      <c r="I318" s="2">
        <v>46169</v>
      </c>
      <c r="J318" s="1" t="s">
        <v>51</v>
      </c>
      <c r="K318" s="1">
        <v>1317</v>
      </c>
      <c r="L318" s="1" t="str">
        <f t="shared" si="1"/>
        <v>MEDIUM ORDER</v>
      </c>
    </row>
    <row r="319" spans="1:12" x14ac:dyDescent="0.3">
      <c r="A319" s="1" t="s">
        <v>11</v>
      </c>
      <c r="B319" s="1" t="s">
        <v>43</v>
      </c>
      <c r="C319" s="1" t="s">
        <v>13</v>
      </c>
      <c r="D319" s="1" t="s">
        <v>50</v>
      </c>
      <c r="E319" s="1">
        <v>4</v>
      </c>
      <c r="F319" s="1">
        <v>38</v>
      </c>
      <c r="G319" s="1">
        <v>12</v>
      </c>
      <c r="H319" s="2">
        <v>46169</v>
      </c>
      <c r="I319" s="2">
        <v>46175</v>
      </c>
      <c r="J319" s="1" t="s">
        <v>29</v>
      </c>
      <c r="K319" s="1">
        <v>1318</v>
      </c>
      <c r="L319" s="1" t="str">
        <f t="shared" si="1"/>
        <v>REGULAR ORDER</v>
      </c>
    </row>
    <row r="320" spans="1:12" x14ac:dyDescent="0.3">
      <c r="A320" s="1" t="s">
        <v>21</v>
      </c>
      <c r="B320" s="1" t="s">
        <v>17</v>
      </c>
      <c r="C320" s="1" t="s">
        <v>34</v>
      </c>
      <c r="D320" s="1" t="s">
        <v>61</v>
      </c>
      <c r="E320" s="1">
        <v>17</v>
      </c>
      <c r="F320" s="1">
        <v>58407</v>
      </c>
      <c r="G320" s="1">
        <v>7</v>
      </c>
      <c r="H320" s="2">
        <v>46094</v>
      </c>
      <c r="I320" s="2">
        <v>46102</v>
      </c>
      <c r="J320" s="1" t="s">
        <v>15</v>
      </c>
      <c r="K320" s="1">
        <v>1319</v>
      </c>
      <c r="L320" s="1" t="str">
        <f t="shared" si="1"/>
        <v>BULK ORDER</v>
      </c>
    </row>
    <row r="321" spans="1:12" x14ac:dyDescent="0.3">
      <c r="A321" s="1" t="s">
        <v>47</v>
      </c>
      <c r="B321" s="1" t="s">
        <v>38</v>
      </c>
      <c r="C321" s="1" t="s">
        <v>13</v>
      </c>
      <c r="D321" s="1" t="s">
        <v>36</v>
      </c>
      <c r="E321" s="1">
        <v>20</v>
      </c>
      <c r="F321" s="1">
        <v>55</v>
      </c>
      <c r="G321" s="1">
        <v>7</v>
      </c>
      <c r="H321" s="2">
        <v>46183</v>
      </c>
      <c r="I321" s="2">
        <v>46186</v>
      </c>
      <c r="J321" s="1" t="s">
        <v>20</v>
      </c>
      <c r="K321" s="1">
        <v>1320</v>
      </c>
      <c r="L321" s="1" t="str">
        <f t="shared" si="1"/>
        <v>BULK ORDER</v>
      </c>
    </row>
    <row r="322" spans="1:12" x14ac:dyDescent="0.3">
      <c r="A322" s="1" t="s">
        <v>32</v>
      </c>
      <c r="B322" s="1" t="s">
        <v>22</v>
      </c>
      <c r="C322" s="1" t="s">
        <v>18</v>
      </c>
      <c r="D322" s="1" t="s">
        <v>19</v>
      </c>
      <c r="E322" s="1">
        <v>8</v>
      </c>
      <c r="F322" s="1">
        <v>5619</v>
      </c>
      <c r="G322" s="1">
        <v>7</v>
      </c>
      <c r="H322" s="2">
        <v>46107</v>
      </c>
      <c r="I322" s="2">
        <v>46109</v>
      </c>
      <c r="J322" s="1" t="s">
        <v>51</v>
      </c>
      <c r="K322" s="1">
        <v>1321</v>
      </c>
      <c r="L322" s="1" t="str">
        <f t="shared" si="1"/>
        <v>MEDIUM ORDER</v>
      </c>
    </row>
    <row r="323" spans="1:12" x14ac:dyDescent="0.3">
      <c r="A323" s="1" t="s">
        <v>27</v>
      </c>
      <c r="B323" s="1" t="s">
        <v>12</v>
      </c>
      <c r="C323" s="1" t="s">
        <v>18</v>
      </c>
      <c r="D323" s="1" t="s">
        <v>23</v>
      </c>
      <c r="E323" s="1">
        <v>14</v>
      </c>
      <c r="F323" s="1">
        <v>9081</v>
      </c>
      <c r="G323" s="1">
        <v>15</v>
      </c>
      <c r="H323" s="2">
        <v>46141</v>
      </c>
      <c r="I323" s="2">
        <v>46146</v>
      </c>
      <c r="J323" s="1" t="s">
        <v>15</v>
      </c>
      <c r="K323" s="1">
        <v>1322</v>
      </c>
      <c r="L323" s="1" t="str">
        <f t="shared" si="1"/>
        <v>MEDIUM ORDER</v>
      </c>
    </row>
    <row r="324" spans="1:12" x14ac:dyDescent="0.3">
      <c r="A324" s="1" t="s">
        <v>57</v>
      </c>
      <c r="B324" s="1" t="s">
        <v>38</v>
      </c>
      <c r="C324" s="1" t="s">
        <v>34</v>
      </c>
      <c r="D324" s="1" t="s">
        <v>61</v>
      </c>
      <c r="E324" s="1">
        <v>2</v>
      </c>
      <c r="F324" s="1">
        <v>32074</v>
      </c>
      <c r="G324" s="1">
        <v>10</v>
      </c>
      <c r="H324" s="2">
        <v>46073</v>
      </c>
      <c r="I324" s="2">
        <v>46078</v>
      </c>
      <c r="J324" s="1" t="s">
        <v>15</v>
      </c>
      <c r="K324" s="1">
        <v>1323</v>
      </c>
      <c r="L324" s="1" t="str">
        <f t="shared" si="1"/>
        <v>REGULAR ORDER</v>
      </c>
    </row>
    <row r="325" spans="1:12" x14ac:dyDescent="0.3">
      <c r="A325" s="1" t="s">
        <v>32</v>
      </c>
      <c r="B325" s="1" t="s">
        <v>22</v>
      </c>
      <c r="C325" s="1" t="s">
        <v>18</v>
      </c>
      <c r="D325" s="1" t="s">
        <v>19</v>
      </c>
      <c r="E325" s="1">
        <v>1</v>
      </c>
      <c r="F325" s="1">
        <v>4286</v>
      </c>
      <c r="G325" s="1">
        <v>15</v>
      </c>
      <c r="H325" s="2">
        <v>46053</v>
      </c>
      <c r="I325" s="2">
        <v>46056</v>
      </c>
      <c r="J325" s="1" t="s">
        <v>20</v>
      </c>
      <c r="K325" s="1">
        <v>1324</v>
      </c>
      <c r="L325" s="1" t="str">
        <f t="shared" si="1"/>
        <v>REGULAR ORDER</v>
      </c>
    </row>
    <row r="326" spans="1:12" x14ac:dyDescent="0.3">
      <c r="A326" s="1" t="s">
        <v>48</v>
      </c>
      <c r="B326" s="1" t="s">
        <v>43</v>
      </c>
      <c r="C326" s="1" t="s">
        <v>34</v>
      </c>
      <c r="D326" s="1" t="s">
        <v>39</v>
      </c>
      <c r="E326" s="1">
        <v>9</v>
      </c>
      <c r="F326" s="1">
        <v>58442</v>
      </c>
      <c r="G326" s="1">
        <v>12</v>
      </c>
      <c r="H326" s="2">
        <v>46076</v>
      </c>
      <c r="I326" s="2">
        <v>46085</v>
      </c>
      <c r="J326" s="1" t="s">
        <v>20</v>
      </c>
      <c r="K326" s="1">
        <v>1325</v>
      </c>
      <c r="L326" s="1" t="str">
        <f t="shared" si="1"/>
        <v>MEDIUM ORDER</v>
      </c>
    </row>
    <row r="327" spans="1:12" x14ac:dyDescent="0.3">
      <c r="A327" s="1" t="s">
        <v>26</v>
      </c>
      <c r="B327" s="1" t="s">
        <v>17</v>
      </c>
      <c r="C327" s="1" t="s">
        <v>18</v>
      </c>
      <c r="D327" s="1" t="s">
        <v>44</v>
      </c>
      <c r="E327" s="1">
        <v>18</v>
      </c>
      <c r="F327" s="1">
        <v>1830</v>
      </c>
      <c r="G327" s="1">
        <v>10</v>
      </c>
      <c r="H327" s="2">
        <v>46165</v>
      </c>
      <c r="I327" s="2">
        <v>46172</v>
      </c>
      <c r="J327" s="1" t="s">
        <v>15</v>
      </c>
      <c r="K327" s="1">
        <v>1326</v>
      </c>
      <c r="L327" s="1" t="str">
        <f t="shared" si="1"/>
        <v>BULK ORDER</v>
      </c>
    </row>
    <row r="328" spans="1:12" x14ac:dyDescent="0.3">
      <c r="A328" s="1" t="s">
        <v>48</v>
      </c>
      <c r="B328" s="1" t="s">
        <v>12</v>
      </c>
      <c r="C328" s="1" t="s">
        <v>13</v>
      </c>
      <c r="D328" s="1" t="s">
        <v>53</v>
      </c>
      <c r="E328" s="1">
        <v>15</v>
      </c>
      <c r="F328" s="1">
        <v>449</v>
      </c>
      <c r="G328" s="1">
        <v>5</v>
      </c>
      <c r="H328" s="2">
        <v>46152</v>
      </c>
      <c r="I328" s="2">
        <v>46153</v>
      </c>
      <c r="J328" s="1" t="s">
        <v>15</v>
      </c>
      <c r="K328" s="1">
        <v>1327</v>
      </c>
      <c r="L328" s="1" t="str">
        <f t="shared" si="1"/>
        <v>BULK ORDER</v>
      </c>
    </row>
    <row r="329" spans="1:12" x14ac:dyDescent="0.3">
      <c r="A329" s="1" t="s">
        <v>16</v>
      </c>
      <c r="B329" s="1" t="s">
        <v>38</v>
      </c>
      <c r="C329" s="1" t="s">
        <v>13</v>
      </c>
      <c r="D329" s="1" t="s">
        <v>36</v>
      </c>
      <c r="E329" s="1">
        <v>4</v>
      </c>
      <c r="F329" s="1">
        <v>132</v>
      </c>
      <c r="G329" s="1">
        <v>0</v>
      </c>
      <c r="H329" s="2">
        <v>46109</v>
      </c>
      <c r="I329" s="2">
        <v>46114</v>
      </c>
      <c r="J329" s="1" t="s">
        <v>29</v>
      </c>
      <c r="K329" s="1">
        <v>1328</v>
      </c>
      <c r="L329" s="1" t="str">
        <f t="shared" si="1"/>
        <v>REGULAR ORDER</v>
      </c>
    </row>
    <row r="330" spans="1:12" x14ac:dyDescent="0.3">
      <c r="A330" s="1" t="s">
        <v>30</v>
      </c>
      <c r="B330" s="1" t="s">
        <v>43</v>
      </c>
      <c r="C330" s="1" t="s">
        <v>13</v>
      </c>
      <c r="D330" s="1" t="s">
        <v>53</v>
      </c>
      <c r="E330" s="1">
        <v>18</v>
      </c>
      <c r="F330" s="1">
        <v>227</v>
      </c>
      <c r="G330" s="1">
        <v>5</v>
      </c>
      <c r="H330" s="2">
        <v>46126</v>
      </c>
      <c r="I330" s="2">
        <v>46136</v>
      </c>
      <c r="J330" s="1" t="s">
        <v>29</v>
      </c>
      <c r="K330" s="1">
        <v>1329</v>
      </c>
      <c r="L330" s="1" t="str">
        <f t="shared" si="1"/>
        <v>BULK ORDER</v>
      </c>
    </row>
    <row r="331" spans="1:12" x14ac:dyDescent="0.3">
      <c r="A331" s="1" t="s">
        <v>49</v>
      </c>
      <c r="B331" s="1" t="s">
        <v>17</v>
      </c>
      <c r="C331" s="1" t="s">
        <v>18</v>
      </c>
      <c r="D331" s="1" t="s">
        <v>19</v>
      </c>
      <c r="E331" s="1">
        <v>13</v>
      </c>
      <c r="F331" s="1">
        <v>12071</v>
      </c>
      <c r="G331" s="1">
        <v>0</v>
      </c>
      <c r="H331" s="2">
        <v>46032</v>
      </c>
      <c r="I331" s="2">
        <v>46036</v>
      </c>
      <c r="J331" s="1" t="s">
        <v>51</v>
      </c>
      <c r="K331" s="1">
        <v>1330</v>
      </c>
      <c r="L331" s="1" t="str">
        <f t="shared" si="1"/>
        <v>MEDIUM ORDER</v>
      </c>
    </row>
    <row r="332" spans="1:12" x14ac:dyDescent="0.3">
      <c r="A332" s="1" t="s">
        <v>21</v>
      </c>
      <c r="B332" s="1" t="s">
        <v>25</v>
      </c>
      <c r="C332" s="1" t="s">
        <v>34</v>
      </c>
      <c r="D332" s="1" t="s">
        <v>61</v>
      </c>
      <c r="E332" s="1">
        <v>2</v>
      </c>
      <c r="F332" s="1">
        <v>43557</v>
      </c>
      <c r="G332" s="1">
        <v>2</v>
      </c>
      <c r="H332" s="2">
        <v>46190</v>
      </c>
      <c r="I332" s="2">
        <v>46200</v>
      </c>
      <c r="J332" s="1" t="s">
        <v>15</v>
      </c>
      <c r="K332" s="1">
        <v>1331</v>
      </c>
      <c r="L332" s="1" t="str">
        <f t="shared" si="1"/>
        <v>REGULAR ORDER</v>
      </c>
    </row>
    <row r="333" spans="1:12" x14ac:dyDescent="0.3">
      <c r="A333" s="1" t="s">
        <v>29</v>
      </c>
      <c r="B333" s="1" t="s">
        <v>43</v>
      </c>
      <c r="C333" s="1" t="s">
        <v>13</v>
      </c>
      <c r="D333" s="1" t="s">
        <v>50</v>
      </c>
      <c r="E333" s="1">
        <v>7</v>
      </c>
      <c r="F333" s="1">
        <v>439</v>
      </c>
      <c r="G333" s="1">
        <v>2</v>
      </c>
      <c r="H333" s="2">
        <v>46154</v>
      </c>
      <c r="I333" s="2">
        <v>46157</v>
      </c>
      <c r="J333" s="1" t="s">
        <v>15</v>
      </c>
      <c r="K333" s="1">
        <v>1332</v>
      </c>
      <c r="L333" s="1" t="str">
        <f t="shared" si="1"/>
        <v>MEDIUM ORDER</v>
      </c>
    </row>
    <row r="334" spans="1:12" x14ac:dyDescent="0.3">
      <c r="A334" s="1" t="s">
        <v>29</v>
      </c>
      <c r="B334" s="1" t="s">
        <v>38</v>
      </c>
      <c r="C334" s="1" t="s">
        <v>13</v>
      </c>
      <c r="D334" s="1" t="s">
        <v>53</v>
      </c>
      <c r="E334" s="1">
        <v>20</v>
      </c>
      <c r="F334" s="1">
        <v>416</v>
      </c>
      <c r="G334" s="1">
        <v>12</v>
      </c>
      <c r="H334" s="2">
        <v>46145</v>
      </c>
      <c r="I334" s="2">
        <v>46146</v>
      </c>
      <c r="J334" s="1" t="s">
        <v>51</v>
      </c>
      <c r="K334" s="1">
        <v>1333</v>
      </c>
      <c r="L334" s="1" t="str">
        <f t="shared" si="1"/>
        <v>BULK ORDER</v>
      </c>
    </row>
    <row r="335" spans="1:12" x14ac:dyDescent="0.3">
      <c r="A335" s="1" t="s">
        <v>40</v>
      </c>
      <c r="B335" s="1" t="s">
        <v>12</v>
      </c>
      <c r="C335" s="1" t="s">
        <v>34</v>
      </c>
      <c r="D335" s="1" t="s">
        <v>41</v>
      </c>
      <c r="E335" s="1">
        <v>15</v>
      </c>
      <c r="F335" s="1">
        <v>39853</v>
      </c>
      <c r="G335" s="1">
        <v>7</v>
      </c>
      <c r="H335" s="2">
        <v>46038</v>
      </c>
      <c r="I335" s="2">
        <v>46047</v>
      </c>
      <c r="J335" s="1" t="s">
        <v>51</v>
      </c>
      <c r="K335" s="1">
        <v>1334</v>
      </c>
      <c r="L335" s="1" t="str">
        <f t="shared" si="1"/>
        <v>BULK ORDER</v>
      </c>
    </row>
    <row r="336" spans="1:12" x14ac:dyDescent="0.3">
      <c r="A336" s="1" t="s">
        <v>47</v>
      </c>
      <c r="B336" s="1" t="s">
        <v>17</v>
      </c>
      <c r="C336" s="1" t="s">
        <v>18</v>
      </c>
      <c r="D336" s="1" t="s">
        <v>19</v>
      </c>
      <c r="E336" s="1">
        <v>9</v>
      </c>
      <c r="F336" s="1">
        <v>1495</v>
      </c>
      <c r="G336" s="1">
        <v>12</v>
      </c>
      <c r="H336" s="2">
        <v>46168</v>
      </c>
      <c r="I336" s="2">
        <v>46173</v>
      </c>
      <c r="J336" s="1" t="s">
        <v>15</v>
      </c>
      <c r="K336" s="1">
        <v>1335</v>
      </c>
      <c r="L336" s="1" t="str">
        <f t="shared" si="1"/>
        <v>MEDIUM ORDER</v>
      </c>
    </row>
    <row r="337" spans="1:12" x14ac:dyDescent="0.3">
      <c r="A337" s="1" t="s">
        <v>16</v>
      </c>
      <c r="B337" s="1" t="s">
        <v>25</v>
      </c>
      <c r="C337" s="1" t="s">
        <v>18</v>
      </c>
      <c r="D337" s="1" t="s">
        <v>56</v>
      </c>
      <c r="E337" s="1">
        <v>10</v>
      </c>
      <c r="F337" s="1">
        <v>5624</v>
      </c>
      <c r="G337" s="1">
        <v>0</v>
      </c>
      <c r="H337" s="2">
        <v>46086</v>
      </c>
      <c r="I337" s="2">
        <v>46092</v>
      </c>
      <c r="J337" s="1" t="s">
        <v>29</v>
      </c>
      <c r="K337" s="1">
        <v>1336</v>
      </c>
      <c r="L337" s="1" t="str">
        <f t="shared" si="1"/>
        <v>MEDIUM ORDER</v>
      </c>
    </row>
    <row r="338" spans="1:12" x14ac:dyDescent="0.3">
      <c r="A338" s="1" t="s">
        <v>16</v>
      </c>
      <c r="B338" s="1" t="s">
        <v>12</v>
      </c>
      <c r="C338" s="1" t="s">
        <v>13</v>
      </c>
      <c r="D338" s="1" t="s">
        <v>53</v>
      </c>
      <c r="E338" s="1">
        <v>14</v>
      </c>
      <c r="F338" s="1">
        <v>373</v>
      </c>
      <c r="G338" s="1">
        <v>10</v>
      </c>
      <c r="H338" s="2">
        <v>46074</v>
      </c>
      <c r="I338" s="2">
        <v>46080</v>
      </c>
      <c r="J338" s="1" t="s">
        <v>29</v>
      </c>
      <c r="K338" s="1">
        <v>1337</v>
      </c>
      <c r="L338" s="1" t="str">
        <f t="shared" si="1"/>
        <v>MEDIUM ORDER</v>
      </c>
    </row>
    <row r="339" spans="1:12" x14ac:dyDescent="0.3">
      <c r="A339" s="1" t="s">
        <v>59</v>
      </c>
      <c r="B339" s="1" t="s">
        <v>25</v>
      </c>
      <c r="C339" s="1" t="s">
        <v>34</v>
      </c>
      <c r="D339" s="1" t="s">
        <v>60</v>
      </c>
      <c r="E339" s="1">
        <v>10</v>
      </c>
      <c r="F339" s="1">
        <v>16719</v>
      </c>
      <c r="G339" s="1">
        <v>5</v>
      </c>
      <c r="H339" s="2">
        <v>46177</v>
      </c>
      <c r="I339" s="2">
        <v>46179</v>
      </c>
      <c r="J339" s="1" t="s">
        <v>15</v>
      </c>
      <c r="K339" s="1">
        <v>1338</v>
      </c>
      <c r="L339" s="1" t="str">
        <f t="shared" si="1"/>
        <v>MEDIUM ORDER</v>
      </c>
    </row>
    <row r="340" spans="1:12" x14ac:dyDescent="0.3">
      <c r="A340" s="1" t="s">
        <v>32</v>
      </c>
      <c r="B340" s="1" t="s">
        <v>25</v>
      </c>
      <c r="C340" s="1" t="s">
        <v>13</v>
      </c>
      <c r="D340" s="1" t="s">
        <v>14</v>
      </c>
      <c r="E340" s="1">
        <v>6</v>
      </c>
      <c r="F340" s="1">
        <v>302</v>
      </c>
      <c r="G340" s="1">
        <v>5</v>
      </c>
      <c r="H340" s="2">
        <v>46142</v>
      </c>
      <c r="I340" s="2">
        <v>46148</v>
      </c>
      <c r="J340" s="1" t="s">
        <v>20</v>
      </c>
      <c r="K340" s="1">
        <v>1339</v>
      </c>
      <c r="L340" s="1" t="str">
        <f t="shared" si="1"/>
        <v>MEDIUM ORDER</v>
      </c>
    </row>
    <row r="341" spans="1:12" x14ac:dyDescent="0.3">
      <c r="A341" s="1" t="s">
        <v>48</v>
      </c>
      <c r="B341" s="1" t="s">
        <v>17</v>
      </c>
      <c r="C341" s="1" t="s">
        <v>18</v>
      </c>
      <c r="D341" s="1" t="s">
        <v>19</v>
      </c>
      <c r="E341" s="1">
        <v>12</v>
      </c>
      <c r="F341" s="1">
        <v>3857</v>
      </c>
      <c r="G341" s="1">
        <v>12</v>
      </c>
      <c r="H341" s="2">
        <v>46196</v>
      </c>
      <c r="I341" s="2">
        <v>46198</v>
      </c>
      <c r="J341" s="1" t="s">
        <v>51</v>
      </c>
      <c r="K341" s="1">
        <v>1340</v>
      </c>
      <c r="L341" s="1" t="str">
        <f t="shared" si="1"/>
        <v>MEDIUM ORDER</v>
      </c>
    </row>
    <row r="342" spans="1:12" x14ac:dyDescent="0.3">
      <c r="A342" s="1" t="s">
        <v>57</v>
      </c>
      <c r="B342" s="1" t="s">
        <v>38</v>
      </c>
      <c r="C342" s="1" t="s">
        <v>18</v>
      </c>
      <c r="D342" s="1" t="s">
        <v>19</v>
      </c>
      <c r="E342" s="1">
        <v>19</v>
      </c>
      <c r="F342" s="1">
        <v>6488</v>
      </c>
      <c r="G342" s="1">
        <v>15</v>
      </c>
      <c r="H342" s="2">
        <v>46026</v>
      </c>
      <c r="I342" s="2">
        <v>46030</v>
      </c>
      <c r="J342" s="1" t="s">
        <v>20</v>
      </c>
      <c r="K342" s="1">
        <v>1341</v>
      </c>
      <c r="L342" s="1" t="str">
        <f t="shared" si="1"/>
        <v>BULK ORDER</v>
      </c>
    </row>
    <row r="343" spans="1:12" x14ac:dyDescent="0.3">
      <c r="A343" s="1" t="s">
        <v>59</v>
      </c>
      <c r="B343" s="1" t="s">
        <v>31</v>
      </c>
      <c r="C343" s="1" t="s">
        <v>34</v>
      </c>
      <c r="D343" s="1" t="s">
        <v>35</v>
      </c>
      <c r="E343" s="1">
        <v>13</v>
      </c>
      <c r="F343" s="1">
        <v>47881</v>
      </c>
      <c r="G343" s="1">
        <v>15</v>
      </c>
      <c r="H343" s="2">
        <v>46132</v>
      </c>
      <c r="I343" s="2">
        <v>46139</v>
      </c>
      <c r="J343" s="1" t="s">
        <v>29</v>
      </c>
      <c r="K343" s="1">
        <v>1342</v>
      </c>
      <c r="L343" s="1" t="str">
        <f t="shared" si="1"/>
        <v>MEDIUM ORDER</v>
      </c>
    </row>
    <row r="344" spans="1:12" x14ac:dyDescent="0.3">
      <c r="A344" s="1" t="s">
        <v>59</v>
      </c>
      <c r="B344" s="1" t="s">
        <v>31</v>
      </c>
      <c r="C344" s="1" t="s">
        <v>34</v>
      </c>
      <c r="D344" s="1" t="s">
        <v>39</v>
      </c>
      <c r="E344" s="1">
        <v>14</v>
      </c>
      <c r="F344" s="1">
        <v>32719</v>
      </c>
      <c r="G344" s="1">
        <v>15</v>
      </c>
      <c r="H344" s="2">
        <v>46174</v>
      </c>
      <c r="I344" s="2">
        <v>46179</v>
      </c>
      <c r="J344" s="1" t="s">
        <v>15</v>
      </c>
      <c r="K344" s="1">
        <v>1343</v>
      </c>
      <c r="L344" s="1" t="str">
        <f t="shared" si="1"/>
        <v>MEDIUM ORDER</v>
      </c>
    </row>
    <row r="345" spans="1:12" x14ac:dyDescent="0.3">
      <c r="A345" s="1" t="s">
        <v>30</v>
      </c>
      <c r="B345" s="1" t="s">
        <v>17</v>
      </c>
      <c r="C345" s="1" t="s">
        <v>13</v>
      </c>
      <c r="D345" s="1" t="s">
        <v>53</v>
      </c>
      <c r="E345" s="1">
        <v>18</v>
      </c>
      <c r="F345" s="1">
        <v>240</v>
      </c>
      <c r="G345" s="1">
        <v>10</v>
      </c>
      <c r="H345" s="2">
        <v>46155</v>
      </c>
      <c r="I345" s="2">
        <v>46156</v>
      </c>
      <c r="J345" s="1" t="s">
        <v>24</v>
      </c>
      <c r="K345" s="1">
        <v>1344</v>
      </c>
      <c r="L345" s="1" t="str">
        <f t="shared" si="1"/>
        <v>BULK ORDER</v>
      </c>
    </row>
    <row r="346" spans="1:12" x14ac:dyDescent="0.3">
      <c r="A346" s="1" t="s">
        <v>32</v>
      </c>
      <c r="B346" s="1" t="s">
        <v>12</v>
      </c>
      <c r="C346" s="1" t="s">
        <v>34</v>
      </c>
      <c r="D346" s="1" t="s">
        <v>45</v>
      </c>
      <c r="E346" s="1">
        <v>12</v>
      </c>
      <c r="F346" s="1">
        <v>50544</v>
      </c>
      <c r="G346" s="1">
        <v>10</v>
      </c>
      <c r="H346" s="2">
        <v>46095</v>
      </c>
      <c r="I346" s="2">
        <v>46097</v>
      </c>
      <c r="J346" s="1" t="s">
        <v>29</v>
      </c>
      <c r="K346" s="1">
        <v>1345</v>
      </c>
      <c r="L346" s="1" t="str">
        <f t="shared" si="1"/>
        <v>MEDIUM ORDER</v>
      </c>
    </row>
    <row r="347" spans="1:12" x14ac:dyDescent="0.3">
      <c r="A347" s="1" t="s">
        <v>32</v>
      </c>
      <c r="B347" s="1" t="s">
        <v>22</v>
      </c>
      <c r="C347" s="1" t="s">
        <v>18</v>
      </c>
      <c r="D347" s="1" t="s">
        <v>19</v>
      </c>
      <c r="E347" s="1">
        <v>16</v>
      </c>
      <c r="F347" s="1">
        <v>6910</v>
      </c>
      <c r="G347" s="1">
        <v>15</v>
      </c>
      <c r="H347" s="2">
        <v>46140</v>
      </c>
      <c r="I347" s="2">
        <v>46142</v>
      </c>
      <c r="J347" s="1" t="s">
        <v>29</v>
      </c>
      <c r="K347" s="1">
        <v>1346</v>
      </c>
      <c r="L347" s="1" t="str">
        <f t="shared" si="1"/>
        <v>BULK ORDER</v>
      </c>
    </row>
    <row r="348" spans="1:12" x14ac:dyDescent="0.3">
      <c r="A348" s="1" t="s">
        <v>29</v>
      </c>
      <c r="B348" s="1" t="s">
        <v>22</v>
      </c>
      <c r="C348" s="1" t="s">
        <v>34</v>
      </c>
      <c r="D348" s="1" t="s">
        <v>35</v>
      </c>
      <c r="E348" s="1">
        <v>16</v>
      </c>
      <c r="F348" s="1">
        <v>6034</v>
      </c>
      <c r="G348" s="1">
        <v>15</v>
      </c>
      <c r="H348" s="2">
        <v>46037</v>
      </c>
      <c r="I348" s="2">
        <v>46044</v>
      </c>
      <c r="J348" s="1" t="s">
        <v>24</v>
      </c>
      <c r="K348" s="1">
        <v>1347</v>
      </c>
      <c r="L348" s="1" t="str">
        <f t="shared" si="1"/>
        <v>BULK ORDER</v>
      </c>
    </row>
    <row r="349" spans="1:12" x14ac:dyDescent="0.3">
      <c r="A349" s="1" t="s">
        <v>11</v>
      </c>
      <c r="B349" s="1" t="s">
        <v>33</v>
      </c>
      <c r="C349" s="1" t="s">
        <v>13</v>
      </c>
      <c r="D349" s="1" t="s">
        <v>50</v>
      </c>
      <c r="E349" s="1">
        <v>12</v>
      </c>
      <c r="F349" s="1">
        <v>244</v>
      </c>
      <c r="G349" s="1">
        <v>7</v>
      </c>
      <c r="H349" s="2">
        <v>46048</v>
      </c>
      <c r="I349" s="2">
        <v>46053</v>
      </c>
      <c r="J349" s="1" t="s">
        <v>15</v>
      </c>
      <c r="K349" s="1">
        <v>1348</v>
      </c>
      <c r="L349" s="1" t="str">
        <f t="shared" si="1"/>
        <v>MEDIUM ORDER</v>
      </c>
    </row>
    <row r="350" spans="1:12" x14ac:dyDescent="0.3">
      <c r="A350" s="1" t="s">
        <v>40</v>
      </c>
      <c r="B350" s="1" t="s">
        <v>33</v>
      </c>
      <c r="C350" s="1" t="s">
        <v>34</v>
      </c>
      <c r="D350" s="1" t="s">
        <v>35</v>
      </c>
      <c r="E350" s="1">
        <v>20</v>
      </c>
      <c r="F350" s="1">
        <v>62721</v>
      </c>
      <c r="G350" s="1">
        <v>7</v>
      </c>
      <c r="H350" s="2">
        <v>46079</v>
      </c>
      <c r="I350" s="2">
        <v>46083</v>
      </c>
      <c r="J350" s="1" t="s">
        <v>20</v>
      </c>
      <c r="K350" s="1">
        <v>1349</v>
      </c>
      <c r="L350" s="1" t="str">
        <f t="shared" si="1"/>
        <v>BULK ORDER</v>
      </c>
    </row>
    <row r="351" spans="1:12" x14ac:dyDescent="0.3">
      <c r="A351" s="1" t="s">
        <v>26</v>
      </c>
      <c r="B351" s="1" t="s">
        <v>43</v>
      </c>
      <c r="C351" s="1" t="s">
        <v>18</v>
      </c>
      <c r="D351" s="1" t="s">
        <v>28</v>
      </c>
      <c r="E351" s="1">
        <v>16</v>
      </c>
      <c r="F351" s="1">
        <v>11790</v>
      </c>
      <c r="G351" s="1">
        <v>12</v>
      </c>
      <c r="H351" s="2">
        <v>46185</v>
      </c>
      <c r="I351" s="2">
        <v>46190</v>
      </c>
      <c r="J351" s="1" t="s">
        <v>29</v>
      </c>
      <c r="K351" s="1">
        <v>1350</v>
      </c>
      <c r="L351" s="1" t="str">
        <f t="shared" si="1"/>
        <v>BULK ORDER</v>
      </c>
    </row>
    <row r="352" spans="1:12" x14ac:dyDescent="0.3">
      <c r="A352" s="1" t="s">
        <v>42</v>
      </c>
      <c r="B352" s="1" t="s">
        <v>33</v>
      </c>
      <c r="C352" s="1" t="s">
        <v>34</v>
      </c>
      <c r="D352" s="1" t="s">
        <v>45</v>
      </c>
      <c r="E352" s="1">
        <v>12</v>
      </c>
      <c r="F352" s="1">
        <v>1272</v>
      </c>
      <c r="G352" s="1">
        <v>0</v>
      </c>
      <c r="H352" s="2">
        <v>46026</v>
      </c>
      <c r="I352" s="2">
        <v>46029</v>
      </c>
      <c r="J352" s="1" t="s">
        <v>15</v>
      </c>
      <c r="K352" s="1">
        <v>1351</v>
      </c>
      <c r="L352" s="1" t="str">
        <f t="shared" si="1"/>
        <v>MEDIUM ORDER</v>
      </c>
    </row>
    <row r="353" spans="1:12" x14ac:dyDescent="0.3">
      <c r="A353" s="1" t="s">
        <v>54</v>
      </c>
      <c r="B353" s="1" t="s">
        <v>22</v>
      </c>
      <c r="C353" s="1" t="s">
        <v>13</v>
      </c>
      <c r="D353" s="1" t="s">
        <v>14</v>
      </c>
      <c r="E353" s="1">
        <v>12</v>
      </c>
      <c r="F353" s="1">
        <v>203</v>
      </c>
      <c r="G353" s="1">
        <v>5</v>
      </c>
      <c r="H353" s="2">
        <v>46024</v>
      </c>
      <c r="I353" s="2">
        <v>46033</v>
      </c>
      <c r="J353" s="1" t="s">
        <v>15</v>
      </c>
      <c r="K353" s="1">
        <v>1352</v>
      </c>
      <c r="L353" s="1" t="str">
        <f t="shared" si="1"/>
        <v>MEDIUM ORDER</v>
      </c>
    </row>
    <row r="354" spans="1:12" x14ac:dyDescent="0.3">
      <c r="A354" s="1" t="s">
        <v>47</v>
      </c>
      <c r="B354" s="1" t="s">
        <v>43</v>
      </c>
      <c r="C354" s="1" t="s">
        <v>13</v>
      </c>
      <c r="D354" s="1" t="s">
        <v>14</v>
      </c>
      <c r="E354" s="1">
        <v>6</v>
      </c>
      <c r="F354" s="1">
        <v>495</v>
      </c>
      <c r="G354" s="1">
        <v>2</v>
      </c>
      <c r="H354" s="2">
        <v>46194</v>
      </c>
      <c r="I354" s="2">
        <v>46200</v>
      </c>
      <c r="J354" s="1" t="s">
        <v>24</v>
      </c>
      <c r="K354" s="1">
        <v>1353</v>
      </c>
      <c r="L354" s="1" t="str">
        <f t="shared" si="1"/>
        <v>MEDIUM ORDER</v>
      </c>
    </row>
    <row r="355" spans="1:12" x14ac:dyDescent="0.3">
      <c r="A355" s="1" t="s">
        <v>47</v>
      </c>
      <c r="B355" s="1" t="s">
        <v>43</v>
      </c>
      <c r="C355" s="1" t="s">
        <v>34</v>
      </c>
      <c r="D355" s="1" t="s">
        <v>35</v>
      </c>
      <c r="E355" s="1">
        <v>15</v>
      </c>
      <c r="F355" s="1">
        <v>14927</v>
      </c>
      <c r="G355" s="1">
        <v>15</v>
      </c>
      <c r="H355" s="2">
        <v>46118</v>
      </c>
      <c r="I355" s="2">
        <v>46120</v>
      </c>
      <c r="J355" s="1" t="s">
        <v>51</v>
      </c>
      <c r="K355" s="1">
        <v>1354</v>
      </c>
      <c r="L355" s="1" t="str">
        <f t="shared" si="1"/>
        <v>BULK ORDER</v>
      </c>
    </row>
    <row r="356" spans="1:12" x14ac:dyDescent="0.3">
      <c r="A356" s="1" t="s">
        <v>27</v>
      </c>
      <c r="B356" s="1" t="s">
        <v>12</v>
      </c>
      <c r="C356" s="1" t="s">
        <v>34</v>
      </c>
      <c r="D356" s="1" t="s">
        <v>60</v>
      </c>
      <c r="E356" s="1">
        <v>18</v>
      </c>
      <c r="F356" s="1">
        <v>35997</v>
      </c>
      <c r="G356" s="1">
        <v>2</v>
      </c>
      <c r="H356" s="2">
        <v>46024</v>
      </c>
      <c r="I356" s="2">
        <v>46031</v>
      </c>
      <c r="J356" s="1" t="s">
        <v>51</v>
      </c>
      <c r="K356" s="1">
        <v>1355</v>
      </c>
      <c r="L356" s="1" t="str">
        <f t="shared" si="1"/>
        <v>BULK ORDER</v>
      </c>
    </row>
    <row r="357" spans="1:12" x14ac:dyDescent="0.3">
      <c r="A357" s="1" t="s">
        <v>26</v>
      </c>
      <c r="B357" s="1" t="s">
        <v>38</v>
      </c>
      <c r="C357" s="1" t="s">
        <v>34</v>
      </c>
      <c r="D357" s="1" t="s">
        <v>60</v>
      </c>
      <c r="E357" s="1">
        <v>16</v>
      </c>
      <c r="F357" s="1">
        <v>53457</v>
      </c>
      <c r="G357" s="1">
        <v>10</v>
      </c>
      <c r="H357" s="2">
        <v>46201</v>
      </c>
      <c r="I357" s="2">
        <v>46204</v>
      </c>
      <c r="J357" s="1" t="s">
        <v>15</v>
      </c>
      <c r="K357" s="1">
        <v>1356</v>
      </c>
      <c r="L357" s="1" t="str">
        <f t="shared" si="1"/>
        <v>BULK ORDER</v>
      </c>
    </row>
    <row r="358" spans="1:12" x14ac:dyDescent="0.3">
      <c r="A358" s="1" t="s">
        <v>59</v>
      </c>
      <c r="B358" s="1" t="s">
        <v>25</v>
      </c>
      <c r="C358" s="1" t="s">
        <v>13</v>
      </c>
      <c r="D358" s="1" t="s">
        <v>37</v>
      </c>
      <c r="E358" s="1">
        <v>6</v>
      </c>
      <c r="F358" s="1">
        <v>365</v>
      </c>
      <c r="G358" s="1">
        <v>7</v>
      </c>
      <c r="H358" s="2">
        <v>46133</v>
      </c>
      <c r="I358" s="2">
        <v>46140</v>
      </c>
      <c r="J358" s="1" t="s">
        <v>51</v>
      </c>
      <c r="K358" s="1">
        <v>1357</v>
      </c>
      <c r="L358" s="1" t="str">
        <f t="shared" si="1"/>
        <v>MEDIUM ORDER</v>
      </c>
    </row>
    <row r="359" spans="1:12" x14ac:dyDescent="0.3">
      <c r="A359" s="1" t="s">
        <v>40</v>
      </c>
      <c r="B359" s="1" t="s">
        <v>38</v>
      </c>
      <c r="C359" s="1" t="s">
        <v>18</v>
      </c>
      <c r="D359" s="1" t="s">
        <v>19</v>
      </c>
      <c r="E359" s="1">
        <v>7</v>
      </c>
      <c r="F359" s="1">
        <v>6618</v>
      </c>
      <c r="G359" s="1">
        <v>0</v>
      </c>
      <c r="H359" s="2">
        <v>46127</v>
      </c>
      <c r="I359" s="2">
        <v>46129</v>
      </c>
      <c r="J359" s="1" t="s">
        <v>20</v>
      </c>
      <c r="K359" s="1">
        <v>1358</v>
      </c>
      <c r="L359" s="1" t="str">
        <f t="shared" si="1"/>
        <v>MEDIUM ORDER</v>
      </c>
    </row>
    <row r="360" spans="1:12" x14ac:dyDescent="0.3">
      <c r="A360" s="1" t="s">
        <v>54</v>
      </c>
      <c r="B360" s="1" t="s">
        <v>12</v>
      </c>
      <c r="C360" s="1" t="s">
        <v>34</v>
      </c>
      <c r="D360" s="1" t="s">
        <v>61</v>
      </c>
      <c r="E360" s="1">
        <v>9</v>
      </c>
      <c r="F360" s="1">
        <v>38179</v>
      </c>
      <c r="G360" s="1">
        <v>0</v>
      </c>
      <c r="H360" s="2">
        <v>46096</v>
      </c>
      <c r="I360" s="2">
        <v>46099</v>
      </c>
      <c r="J360" s="1" t="s">
        <v>15</v>
      </c>
      <c r="K360" s="1">
        <v>1359</v>
      </c>
      <c r="L360" s="1" t="str">
        <f t="shared" si="1"/>
        <v>MEDIUM ORDER</v>
      </c>
    </row>
    <row r="361" spans="1:12" x14ac:dyDescent="0.3">
      <c r="A361" s="1" t="s">
        <v>11</v>
      </c>
      <c r="B361" s="1" t="s">
        <v>43</v>
      </c>
      <c r="C361" s="1" t="s">
        <v>18</v>
      </c>
      <c r="D361" s="1" t="s">
        <v>23</v>
      </c>
      <c r="E361" s="1">
        <v>19</v>
      </c>
      <c r="F361" s="1">
        <v>6681</v>
      </c>
      <c r="G361" s="1">
        <v>2</v>
      </c>
      <c r="H361" s="2">
        <v>46146</v>
      </c>
      <c r="I361" s="2">
        <v>46150</v>
      </c>
      <c r="J361" s="1" t="s">
        <v>15</v>
      </c>
      <c r="K361" s="1">
        <v>1360</v>
      </c>
      <c r="L361" s="1" t="str">
        <f t="shared" si="1"/>
        <v>BULK ORDER</v>
      </c>
    </row>
    <row r="362" spans="1:12" x14ac:dyDescent="0.3">
      <c r="A362" s="1" t="s">
        <v>42</v>
      </c>
      <c r="B362" s="1" t="s">
        <v>17</v>
      </c>
      <c r="C362" s="1" t="s">
        <v>18</v>
      </c>
      <c r="D362" s="1" t="s">
        <v>23</v>
      </c>
      <c r="E362" s="1">
        <v>2</v>
      </c>
      <c r="F362" s="1">
        <v>1822</v>
      </c>
      <c r="G362" s="1">
        <v>5</v>
      </c>
      <c r="H362" s="2">
        <v>46141</v>
      </c>
      <c r="I362" s="2">
        <v>46145</v>
      </c>
      <c r="J362" s="1" t="s">
        <v>20</v>
      </c>
      <c r="K362" s="1">
        <v>1361</v>
      </c>
      <c r="L362" s="1" t="str">
        <f t="shared" si="1"/>
        <v>REGULAR ORDER</v>
      </c>
    </row>
    <row r="363" spans="1:12" x14ac:dyDescent="0.3">
      <c r="A363" s="1" t="s">
        <v>16</v>
      </c>
      <c r="B363" s="1" t="s">
        <v>12</v>
      </c>
      <c r="C363" s="1" t="s">
        <v>18</v>
      </c>
      <c r="D363" s="1" t="s">
        <v>28</v>
      </c>
      <c r="E363" s="1">
        <v>1</v>
      </c>
      <c r="F363" s="1">
        <v>10474</v>
      </c>
      <c r="G363" s="1">
        <v>0</v>
      </c>
      <c r="H363" s="2">
        <v>46094</v>
      </c>
      <c r="I363" s="2">
        <v>46096</v>
      </c>
      <c r="J363" s="1" t="s">
        <v>29</v>
      </c>
      <c r="K363" s="1">
        <v>1362</v>
      </c>
      <c r="L363" s="1" t="str">
        <f t="shared" si="1"/>
        <v>REGULAR ORDER</v>
      </c>
    </row>
    <row r="364" spans="1:12" x14ac:dyDescent="0.3">
      <c r="A364" s="1" t="s">
        <v>27</v>
      </c>
      <c r="B364" s="1" t="s">
        <v>25</v>
      </c>
      <c r="C364" s="1" t="s">
        <v>34</v>
      </c>
      <c r="D364" s="1" t="s">
        <v>35</v>
      </c>
      <c r="E364" s="1">
        <v>7</v>
      </c>
      <c r="F364" s="1">
        <v>45381</v>
      </c>
      <c r="G364" s="1">
        <v>0</v>
      </c>
      <c r="H364" s="2">
        <v>46122</v>
      </c>
      <c r="I364" s="2">
        <v>46128</v>
      </c>
      <c r="J364" s="1" t="s">
        <v>15</v>
      </c>
      <c r="K364" s="1">
        <v>1363</v>
      </c>
      <c r="L364" s="1" t="str">
        <f t="shared" si="1"/>
        <v>MEDIUM ORDER</v>
      </c>
    </row>
    <row r="365" spans="1:12" x14ac:dyDescent="0.3">
      <c r="A365" s="1" t="s">
        <v>30</v>
      </c>
      <c r="B365" s="1" t="s">
        <v>22</v>
      </c>
      <c r="C365" s="1" t="s">
        <v>18</v>
      </c>
      <c r="D365" s="1" t="s">
        <v>56</v>
      </c>
      <c r="E365" s="1">
        <v>16</v>
      </c>
      <c r="F365" s="1">
        <v>1744</v>
      </c>
      <c r="G365" s="1">
        <v>15</v>
      </c>
      <c r="H365" s="2">
        <v>46031</v>
      </c>
      <c r="I365" s="2">
        <v>46033</v>
      </c>
      <c r="J365" s="1" t="s">
        <v>51</v>
      </c>
      <c r="K365" s="1">
        <v>1364</v>
      </c>
      <c r="L365" s="1" t="str">
        <f t="shared" si="1"/>
        <v>BULK ORDER</v>
      </c>
    </row>
    <row r="366" spans="1:12" x14ac:dyDescent="0.3">
      <c r="A366" s="1" t="s">
        <v>46</v>
      </c>
      <c r="B366" s="1" t="s">
        <v>33</v>
      </c>
      <c r="C366" s="1" t="s">
        <v>13</v>
      </c>
      <c r="D366" s="1" t="s">
        <v>50</v>
      </c>
      <c r="E366" s="1">
        <v>17</v>
      </c>
      <c r="F366" s="1">
        <v>119</v>
      </c>
      <c r="G366" s="1">
        <v>7</v>
      </c>
      <c r="H366" s="2">
        <v>46070</v>
      </c>
      <c r="I366" s="2">
        <v>46072</v>
      </c>
      <c r="J366" s="1" t="s">
        <v>20</v>
      </c>
      <c r="K366" s="1">
        <v>1365</v>
      </c>
      <c r="L366" s="1" t="str">
        <f t="shared" si="1"/>
        <v>BULK ORDER</v>
      </c>
    </row>
    <row r="367" spans="1:12" x14ac:dyDescent="0.3">
      <c r="A367" s="1" t="s">
        <v>26</v>
      </c>
      <c r="B367" s="1" t="s">
        <v>17</v>
      </c>
      <c r="C367" s="1" t="s">
        <v>34</v>
      </c>
      <c r="D367" s="1" t="s">
        <v>61</v>
      </c>
      <c r="E367" s="1">
        <v>20</v>
      </c>
      <c r="F367" s="1">
        <v>44312</v>
      </c>
      <c r="G367" s="1">
        <v>10</v>
      </c>
      <c r="H367" s="2">
        <v>46047</v>
      </c>
      <c r="I367" s="2">
        <v>46054</v>
      </c>
      <c r="J367" s="1" t="s">
        <v>29</v>
      </c>
      <c r="K367" s="1">
        <v>1366</v>
      </c>
      <c r="L367" s="1" t="str">
        <f t="shared" si="1"/>
        <v>BULK ORDER</v>
      </c>
    </row>
    <row r="368" spans="1:12" x14ac:dyDescent="0.3">
      <c r="A368" s="1" t="s">
        <v>54</v>
      </c>
      <c r="B368" s="1" t="s">
        <v>25</v>
      </c>
      <c r="C368" s="1" t="s">
        <v>13</v>
      </c>
      <c r="D368" s="1" t="s">
        <v>53</v>
      </c>
      <c r="E368" s="1">
        <v>1</v>
      </c>
      <c r="F368" s="1">
        <v>371</v>
      </c>
      <c r="G368" s="1">
        <v>5</v>
      </c>
      <c r="H368" s="2">
        <v>46158</v>
      </c>
      <c r="I368" s="2">
        <v>46168</v>
      </c>
      <c r="J368" s="1" t="s">
        <v>29</v>
      </c>
      <c r="K368" s="1">
        <v>1367</v>
      </c>
      <c r="L368" s="1" t="str">
        <f t="shared" si="1"/>
        <v>REGULAR ORDER</v>
      </c>
    </row>
    <row r="369" spans="1:12" x14ac:dyDescent="0.3">
      <c r="A369" s="1" t="s">
        <v>55</v>
      </c>
      <c r="B369" s="1" t="s">
        <v>38</v>
      </c>
      <c r="C369" s="1" t="s">
        <v>13</v>
      </c>
      <c r="D369" s="1" t="s">
        <v>36</v>
      </c>
      <c r="E369" s="1">
        <v>9</v>
      </c>
      <c r="F369" s="1">
        <v>115</v>
      </c>
      <c r="G369" s="1">
        <v>0</v>
      </c>
      <c r="H369" s="2">
        <v>46036</v>
      </c>
      <c r="I369" s="2">
        <v>46045</v>
      </c>
      <c r="J369" s="1" t="s">
        <v>24</v>
      </c>
      <c r="K369" s="1">
        <v>1368</v>
      </c>
      <c r="L369" s="1" t="str">
        <f t="shared" si="1"/>
        <v>MEDIUM ORDER</v>
      </c>
    </row>
    <row r="370" spans="1:12" x14ac:dyDescent="0.3">
      <c r="A370" s="1" t="s">
        <v>57</v>
      </c>
      <c r="B370" s="1" t="s">
        <v>25</v>
      </c>
      <c r="C370" s="1" t="s">
        <v>18</v>
      </c>
      <c r="D370" s="1" t="s">
        <v>19</v>
      </c>
      <c r="E370" s="1">
        <v>19</v>
      </c>
      <c r="F370" s="1">
        <v>5840</v>
      </c>
      <c r="G370" s="1">
        <v>5</v>
      </c>
      <c r="H370" s="2">
        <v>46062</v>
      </c>
      <c r="I370" s="2">
        <v>46067</v>
      </c>
      <c r="J370" s="1" t="s">
        <v>15</v>
      </c>
      <c r="K370" s="1">
        <v>1369</v>
      </c>
      <c r="L370" s="1" t="str">
        <f t="shared" si="1"/>
        <v>BULK ORDER</v>
      </c>
    </row>
    <row r="371" spans="1:12" x14ac:dyDescent="0.3">
      <c r="A371" s="1" t="s">
        <v>59</v>
      </c>
      <c r="B371" s="1" t="s">
        <v>38</v>
      </c>
      <c r="C371" s="1" t="s">
        <v>13</v>
      </c>
      <c r="D371" s="1" t="s">
        <v>53</v>
      </c>
      <c r="E371" s="1">
        <v>13</v>
      </c>
      <c r="F371" s="1">
        <v>337</v>
      </c>
      <c r="G371" s="1">
        <v>7</v>
      </c>
      <c r="H371" s="2">
        <v>46184</v>
      </c>
      <c r="I371" s="2">
        <v>46188</v>
      </c>
      <c r="J371" s="1" t="s">
        <v>15</v>
      </c>
      <c r="K371" s="1">
        <v>1370</v>
      </c>
      <c r="L371" s="1" t="str">
        <f t="shared" si="1"/>
        <v>MEDIUM ORDER</v>
      </c>
    </row>
    <row r="372" spans="1:12" x14ac:dyDescent="0.3">
      <c r="A372" s="1" t="s">
        <v>48</v>
      </c>
      <c r="B372" s="1" t="s">
        <v>38</v>
      </c>
      <c r="C372" s="1" t="s">
        <v>18</v>
      </c>
      <c r="D372" s="1" t="s">
        <v>19</v>
      </c>
      <c r="E372" s="1">
        <v>19</v>
      </c>
      <c r="F372" s="1">
        <v>1087</v>
      </c>
      <c r="G372" s="1">
        <v>15</v>
      </c>
      <c r="H372" s="2">
        <v>46072</v>
      </c>
      <c r="I372" s="2">
        <v>46082</v>
      </c>
      <c r="J372" s="1" t="s">
        <v>20</v>
      </c>
      <c r="K372" s="1">
        <v>1371</v>
      </c>
      <c r="L372" s="1" t="str">
        <f t="shared" si="1"/>
        <v>BULK ORDER</v>
      </c>
    </row>
    <row r="373" spans="1:12" x14ac:dyDescent="0.3">
      <c r="A373" s="1" t="s">
        <v>48</v>
      </c>
      <c r="B373" s="1" t="s">
        <v>17</v>
      </c>
      <c r="C373" s="1" t="s">
        <v>34</v>
      </c>
      <c r="D373" s="1" t="s">
        <v>39</v>
      </c>
      <c r="E373" s="1">
        <v>9</v>
      </c>
      <c r="F373" s="1">
        <v>9551</v>
      </c>
      <c r="G373" s="1">
        <v>10</v>
      </c>
      <c r="H373" s="2">
        <v>46161</v>
      </c>
      <c r="I373" s="2">
        <v>46168</v>
      </c>
      <c r="J373" s="1" t="s">
        <v>15</v>
      </c>
      <c r="K373" s="1">
        <v>1372</v>
      </c>
      <c r="L373" s="1" t="str">
        <f t="shared" si="1"/>
        <v>MEDIUM ORDER</v>
      </c>
    </row>
    <row r="374" spans="1:12" x14ac:dyDescent="0.3">
      <c r="A374" s="1" t="s">
        <v>54</v>
      </c>
      <c r="B374" s="1" t="s">
        <v>25</v>
      </c>
      <c r="C374" s="1" t="s">
        <v>34</v>
      </c>
      <c r="D374" s="1" t="s">
        <v>60</v>
      </c>
      <c r="E374" s="1">
        <v>11</v>
      </c>
      <c r="F374" s="1">
        <v>47930</v>
      </c>
      <c r="G374" s="1">
        <v>12</v>
      </c>
      <c r="H374" s="2">
        <v>46191</v>
      </c>
      <c r="I374" s="2">
        <v>46201</v>
      </c>
      <c r="J374" s="1" t="s">
        <v>20</v>
      </c>
      <c r="K374" s="1">
        <v>1373</v>
      </c>
      <c r="L374" s="1" t="str">
        <f t="shared" si="1"/>
        <v>MEDIUM ORDER</v>
      </c>
    </row>
    <row r="375" spans="1:12" x14ac:dyDescent="0.3">
      <c r="A375" s="1" t="s">
        <v>57</v>
      </c>
      <c r="B375" s="1" t="s">
        <v>33</v>
      </c>
      <c r="C375" s="1" t="s">
        <v>34</v>
      </c>
      <c r="D375" s="1" t="s">
        <v>35</v>
      </c>
      <c r="E375" s="1">
        <v>12</v>
      </c>
      <c r="F375" s="1">
        <v>66052</v>
      </c>
      <c r="G375" s="1">
        <v>2</v>
      </c>
      <c r="H375" s="2">
        <v>46063</v>
      </c>
      <c r="I375" s="2">
        <v>46066</v>
      </c>
      <c r="J375" s="1" t="s">
        <v>51</v>
      </c>
      <c r="K375" s="1">
        <v>1374</v>
      </c>
      <c r="L375" s="1" t="str">
        <f t="shared" si="1"/>
        <v>MEDIUM ORDER</v>
      </c>
    </row>
    <row r="376" spans="1:12" x14ac:dyDescent="0.3">
      <c r="A376" s="1" t="s">
        <v>46</v>
      </c>
      <c r="B376" s="1" t="s">
        <v>43</v>
      </c>
      <c r="C376" s="1" t="s">
        <v>34</v>
      </c>
      <c r="D376" s="1" t="s">
        <v>45</v>
      </c>
      <c r="E376" s="1">
        <v>20</v>
      </c>
      <c r="F376" s="1">
        <v>56766</v>
      </c>
      <c r="G376" s="1">
        <v>0</v>
      </c>
      <c r="H376" s="2">
        <v>46052</v>
      </c>
      <c r="I376" s="2">
        <v>46061</v>
      </c>
      <c r="J376" s="1" t="s">
        <v>24</v>
      </c>
      <c r="K376" s="1">
        <v>1375</v>
      </c>
      <c r="L376" s="1" t="str">
        <f t="shared" si="1"/>
        <v>BULK ORDER</v>
      </c>
    </row>
    <row r="377" spans="1:12" x14ac:dyDescent="0.3">
      <c r="A377" s="1" t="s">
        <v>52</v>
      </c>
      <c r="B377" s="1" t="s">
        <v>31</v>
      </c>
      <c r="C377" s="1" t="s">
        <v>13</v>
      </c>
      <c r="D377" s="1" t="s">
        <v>50</v>
      </c>
      <c r="E377" s="1">
        <v>20</v>
      </c>
      <c r="F377" s="1">
        <v>429</v>
      </c>
      <c r="G377" s="1">
        <v>5</v>
      </c>
      <c r="H377" s="2">
        <v>46178</v>
      </c>
      <c r="I377" s="2">
        <v>46184</v>
      </c>
      <c r="J377" s="1" t="s">
        <v>20</v>
      </c>
      <c r="K377" s="1">
        <v>1376</v>
      </c>
      <c r="L377" s="1" t="str">
        <f t="shared" si="1"/>
        <v>BULK ORDER</v>
      </c>
    </row>
    <row r="378" spans="1:12" x14ac:dyDescent="0.3">
      <c r="A378" s="1" t="s">
        <v>32</v>
      </c>
      <c r="B378" s="1" t="s">
        <v>38</v>
      </c>
      <c r="C378" s="1" t="s">
        <v>18</v>
      </c>
      <c r="D378" s="1" t="s">
        <v>19</v>
      </c>
      <c r="E378" s="1">
        <v>3</v>
      </c>
      <c r="F378" s="1">
        <v>5480</v>
      </c>
      <c r="G378" s="1">
        <v>12</v>
      </c>
      <c r="H378" s="2">
        <v>46105</v>
      </c>
      <c r="I378" s="2">
        <v>46111</v>
      </c>
      <c r="J378" s="1" t="s">
        <v>24</v>
      </c>
      <c r="K378" s="1">
        <v>1377</v>
      </c>
      <c r="L378" s="1" t="str">
        <f t="shared" si="1"/>
        <v>REGULAR ORDER</v>
      </c>
    </row>
    <row r="379" spans="1:12" x14ac:dyDescent="0.3">
      <c r="A379" s="1" t="s">
        <v>55</v>
      </c>
      <c r="B379" s="1" t="s">
        <v>22</v>
      </c>
      <c r="C379" s="1" t="s">
        <v>34</v>
      </c>
      <c r="D379" s="1" t="s">
        <v>45</v>
      </c>
      <c r="E379" s="1">
        <v>15</v>
      </c>
      <c r="F379" s="1">
        <v>22693</v>
      </c>
      <c r="G379" s="1">
        <v>12</v>
      </c>
      <c r="H379" s="2">
        <v>46074</v>
      </c>
      <c r="I379" s="2">
        <v>46080</v>
      </c>
      <c r="J379" s="1" t="s">
        <v>51</v>
      </c>
      <c r="K379" s="1">
        <v>1378</v>
      </c>
      <c r="L379" s="1" t="str">
        <f t="shared" si="1"/>
        <v>BULK ORDER</v>
      </c>
    </row>
    <row r="380" spans="1:12" x14ac:dyDescent="0.3">
      <c r="A380" s="1" t="s">
        <v>47</v>
      </c>
      <c r="B380" s="1" t="s">
        <v>17</v>
      </c>
      <c r="C380" s="1" t="s">
        <v>13</v>
      </c>
      <c r="D380" s="1" t="s">
        <v>14</v>
      </c>
      <c r="E380" s="1">
        <v>11</v>
      </c>
      <c r="F380" s="1">
        <v>136</v>
      </c>
      <c r="G380" s="1">
        <v>15</v>
      </c>
      <c r="H380" s="2">
        <v>46106</v>
      </c>
      <c r="I380" s="2">
        <v>46107</v>
      </c>
      <c r="J380" s="1" t="s">
        <v>20</v>
      </c>
      <c r="K380" s="1">
        <v>1379</v>
      </c>
      <c r="L380" s="1" t="str">
        <f t="shared" si="1"/>
        <v>MEDIUM ORDER</v>
      </c>
    </row>
    <row r="381" spans="1:12" x14ac:dyDescent="0.3">
      <c r="A381" s="1" t="s">
        <v>52</v>
      </c>
      <c r="B381" s="1" t="s">
        <v>43</v>
      </c>
      <c r="C381" s="1" t="s">
        <v>13</v>
      </c>
      <c r="D381" s="1" t="s">
        <v>53</v>
      </c>
      <c r="E381" s="1">
        <v>3</v>
      </c>
      <c r="F381" s="1">
        <v>412</v>
      </c>
      <c r="G381" s="1">
        <v>7</v>
      </c>
      <c r="H381" s="2">
        <v>46128</v>
      </c>
      <c r="I381" s="2">
        <v>46138</v>
      </c>
      <c r="J381" s="1" t="s">
        <v>24</v>
      </c>
      <c r="K381" s="1">
        <v>1380</v>
      </c>
      <c r="L381" s="1" t="str">
        <f t="shared" si="1"/>
        <v>REGULAR ORDER</v>
      </c>
    </row>
    <row r="382" spans="1:12" x14ac:dyDescent="0.3">
      <c r="A382" s="1" t="s">
        <v>55</v>
      </c>
      <c r="B382" s="1" t="s">
        <v>33</v>
      </c>
      <c r="C382" s="1" t="s">
        <v>18</v>
      </c>
      <c r="D382" s="1" t="s">
        <v>28</v>
      </c>
      <c r="E382" s="1">
        <v>5</v>
      </c>
      <c r="F382" s="1">
        <v>7484</v>
      </c>
      <c r="G382" s="1">
        <v>2</v>
      </c>
      <c r="H382" s="2">
        <v>46089</v>
      </c>
      <c r="I382" s="2">
        <v>46093</v>
      </c>
      <c r="J382" s="1" t="s">
        <v>20</v>
      </c>
      <c r="K382" s="1">
        <v>1381</v>
      </c>
      <c r="L382" s="1" t="str">
        <f t="shared" si="1"/>
        <v>MEDIUM ORDER</v>
      </c>
    </row>
    <row r="383" spans="1:12" x14ac:dyDescent="0.3">
      <c r="A383" s="1" t="s">
        <v>49</v>
      </c>
      <c r="B383" s="1" t="s">
        <v>33</v>
      </c>
      <c r="C383" s="1" t="s">
        <v>34</v>
      </c>
      <c r="D383" s="1" t="s">
        <v>60</v>
      </c>
      <c r="E383" s="1">
        <v>11</v>
      </c>
      <c r="F383" s="1">
        <v>36198</v>
      </c>
      <c r="G383" s="1">
        <v>0</v>
      </c>
      <c r="H383" s="2">
        <v>46130</v>
      </c>
      <c r="I383" s="2">
        <v>46134</v>
      </c>
      <c r="J383" s="1" t="s">
        <v>15</v>
      </c>
      <c r="K383" s="1">
        <v>1382</v>
      </c>
      <c r="L383" s="1" t="str">
        <f t="shared" si="1"/>
        <v>MEDIUM ORDER</v>
      </c>
    </row>
    <row r="384" spans="1:12" x14ac:dyDescent="0.3">
      <c r="A384" s="1" t="s">
        <v>32</v>
      </c>
      <c r="B384" s="1" t="s">
        <v>12</v>
      </c>
      <c r="C384" s="1" t="s">
        <v>13</v>
      </c>
      <c r="D384" s="1" t="s">
        <v>53</v>
      </c>
      <c r="E384" s="1">
        <v>14</v>
      </c>
      <c r="F384" s="1">
        <v>334</v>
      </c>
      <c r="G384" s="1">
        <v>10</v>
      </c>
      <c r="H384" s="2">
        <v>46196</v>
      </c>
      <c r="I384" s="2">
        <v>46203</v>
      </c>
      <c r="J384" s="1" t="s">
        <v>15</v>
      </c>
      <c r="K384" s="1">
        <v>1383</v>
      </c>
      <c r="L384" s="1" t="str">
        <f t="shared" si="1"/>
        <v>MEDIUM ORDER</v>
      </c>
    </row>
    <row r="385" spans="1:12" x14ac:dyDescent="0.3">
      <c r="A385" s="1" t="s">
        <v>59</v>
      </c>
      <c r="B385" s="1" t="s">
        <v>12</v>
      </c>
      <c r="C385" s="1" t="s">
        <v>34</v>
      </c>
      <c r="D385" s="1" t="s">
        <v>39</v>
      </c>
      <c r="E385" s="1">
        <v>15</v>
      </c>
      <c r="F385" s="1">
        <v>38116</v>
      </c>
      <c r="G385" s="1">
        <v>0</v>
      </c>
      <c r="H385" s="2">
        <v>46074</v>
      </c>
      <c r="I385" s="2">
        <v>46078</v>
      </c>
      <c r="J385" s="1" t="s">
        <v>29</v>
      </c>
      <c r="K385" s="1">
        <v>1384</v>
      </c>
      <c r="L385" s="1" t="str">
        <f t="shared" si="1"/>
        <v>BULK ORDER</v>
      </c>
    </row>
    <row r="386" spans="1:12" x14ac:dyDescent="0.3">
      <c r="A386" s="1" t="s">
        <v>26</v>
      </c>
      <c r="B386" s="1" t="s">
        <v>33</v>
      </c>
      <c r="C386" s="1" t="s">
        <v>34</v>
      </c>
      <c r="D386" s="1" t="s">
        <v>39</v>
      </c>
      <c r="E386" s="1">
        <v>12</v>
      </c>
      <c r="F386" s="1">
        <v>61360</v>
      </c>
      <c r="G386" s="1">
        <v>10</v>
      </c>
      <c r="H386" s="2">
        <v>46048</v>
      </c>
      <c r="I386" s="2">
        <v>46053</v>
      </c>
      <c r="J386" s="1" t="s">
        <v>51</v>
      </c>
      <c r="K386" s="1">
        <v>1385</v>
      </c>
      <c r="L386" s="1" t="str">
        <f t="shared" si="1"/>
        <v>MEDIUM ORDER</v>
      </c>
    </row>
    <row r="387" spans="1:12" x14ac:dyDescent="0.3">
      <c r="A387" s="1" t="s">
        <v>27</v>
      </c>
      <c r="B387" s="1" t="s">
        <v>31</v>
      </c>
      <c r="C387" s="1" t="s">
        <v>18</v>
      </c>
      <c r="D387" s="1" t="s">
        <v>28</v>
      </c>
      <c r="E387" s="1">
        <v>9</v>
      </c>
      <c r="F387" s="1">
        <v>7509</v>
      </c>
      <c r="G387" s="1">
        <v>5</v>
      </c>
      <c r="H387" s="2">
        <v>46162</v>
      </c>
      <c r="I387" s="2">
        <v>46171</v>
      </c>
      <c r="J387" s="1" t="s">
        <v>51</v>
      </c>
      <c r="K387" s="1">
        <v>1386</v>
      </c>
      <c r="L387" s="1" t="str">
        <f t="shared" si="1"/>
        <v>MEDIUM ORDER</v>
      </c>
    </row>
    <row r="388" spans="1:12" x14ac:dyDescent="0.3">
      <c r="A388" s="1" t="s">
        <v>54</v>
      </c>
      <c r="B388" s="1" t="s">
        <v>33</v>
      </c>
      <c r="C388" s="1" t="s">
        <v>34</v>
      </c>
      <c r="D388" s="1" t="s">
        <v>35</v>
      </c>
      <c r="E388" s="1">
        <v>11</v>
      </c>
      <c r="F388" s="1">
        <v>56515</v>
      </c>
      <c r="G388" s="1">
        <v>5</v>
      </c>
      <c r="H388" s="2">
        <v>46102</v>
      </c>
      <c r="I388" s="2">
        <v>46112</v>
      </c>
      <c r="J388" s="1" t="s">
        <v>24</v>
      </c>
      <c r="K388" s="1">
        <v>1387</v>
      </c>
      <c r="L388" s="1" t="str">
        <f t="shared" si="1"/>
        <v>MEDIUM ORDER</v>
      </c>
    </row>
    <row r="389" spans="1:12" x14ac:dyDescent="0.3">
      <c r="A389" s="1" t="s">
        <v>55</v>
      </c>
      <c r="B389" s="1" t="s">
        <v>31</v>
      </c>
      <c r="C389" s="1" t="s">
        <v>18</v>
      </c>
      <c r="D389" s="1" t="s">
        <v>28</v>
      </c>
      <c r="E389" s="1">
        <v>12</v>
      </c>
      <c r="F389" s="1">
        <v>11662</v>
      </c>
      <c r="G389" s="1">
        <v>12</v>
      </c>
      <c r="H389" s="2">
        <v>46094</v>
      </c>
      <c r="I389" s="2">
        <v>46096</v>
      </c>
      <c r="J389" s="1" t="s">
        <v>20</v>
      </c>
      <c r="K389" s="1">
        <v>1388</v>
      </c>
      <c r="L389" s="1" t="str">
        <f t="shared" si="1"/>
        <v>MEDIUM ORDER</v>
      </c>
    </row>
    <row r="390" spans="1:12" x14ac:dyDescent="0.3">
      <c r="A390" s="1" t="s">
        <v>32</v>
      </c>
      <c r="B390" s="1" t="s">
        <v>12</v>
      </c>
      <c r="C390" s="1" t="s">
        <v>34</v>
      </c>
      <c r="D390" s="1" t="s">
        <v>41</v>
      </c>
      <c r="E390" s="1">
        <v>3</v>
      </c>
      <c r="F390" s="1">
        <v>56380</v>
      </c>
      <c r="G390" s="1">
        <v>5</v>
      </c>
      <c r="H390" s="2">
        <v>46044</v>
      </c>
      <c r="I390" s="2">
        <v>46048</v>
      </c>
      <c r="J390" s="1" t="s">
        <v>51</v>
      </c>
      <c r="K390" s="1">
        <v>1389</v>
      </c>
      <c r="L390" s="1" t="str">
        <f t="shared" si="1"/>
        <v>REGULAR ORDER</v>
      </c>
    </row>
    <row r="391" spans="1:12" x14ac:dyDescent="0.3">
      <c r="A391" s="1" t="s">
        <v>58</v>
      </c>
      <c r="B391" s="1" t="s">
        <v>43</v>
      </c>
      <c r="C391" s="1" t="s">
        <v>18</v>
      </c>
      <c r="D391" s="1" t="s">
        <v>19</v>
      </c>
      <c r="E391" s="1">
        <v>9</v>
      </c>
      <c r="F391" s="1">
        <v>7670</v>
      </c>
      <c r="G391" s="1">
        <v>0</v>
      </c>
      <c r="H391" s="2">
        <v>46076</v>
      </c>
      <c r="I391" s="2">
        <v>46081</v>
      </c>
      <c r="J391" s="1" t="s">
        <v>51</v>
      </c>
      <c r="K391" s="1">
        <v>1390</v>
      </c>
      <c r="L391" s="1" t="str">
        <f t="shared" si="1"/>
        <v>MEDIUM ORDER</v>
      </c>
    </row>
    <row r="392" spans="1:12" x14ac:dyDescent="0.3">
      <c r="A392" s="1" t="s">
        <v>30</v>
      </c>
      <c r="B392" s="1" t="s">
        <v>31</v>
      </c>
      <c r="C392" s="1" t="s">
        <v>34</v>
      </c>
      <c r="D392" s="1" t="s">
        <v>35</v>
      </c>
      <c r="E392" s="1">
        <v>5</v>
      </c>
      <c r="F392" s="1">
        <v>65270</v>
      </c>
      <c r="G392" s="1">
        <v>5</v>
      </c>
      <c r="H392" s="2">
        <v>46100</v>
      </c>
      <c r="I392" s="2">
        <v>46103</v>
      </c>
      <c r="J392" s="1" t="s">
        <v>24</v>
      </c>
      <c r="K392" s="1">
        <v>1391</v>
      </c>
      <c r="L392" s="1" t="str">
        <f t="shared" si="1"/>
        <v>MEDIUM ORDER</v>
      </c>
    </row>
    <row r="393" spans="1:12" x14ac:dyDescent="0.3">
      <c r="A393" s="1" t="s">
        <v>29</v>
      </c>
      <c r="B393" s="1" t="s">
        <v>43</v>
      </c>
      <c r="C393" s="1" t="s">
        <v>34</v>
      </c>
      <c r="D393" s="1" t="s">
        <v>35</v>
      </c>
      <c r="E393" s="1">
        <v>13</v>
      </c>
      <c r="F393" s="1">
        <v>23903</v>
      </c>
      <c r="G393" s="1">
        <v>5</v>
      </c>
      <c r="H393" s="2">
        <v>46124</v>
      </c>
      <c r="I393" s="2">
        <v>46125</v>
      </c>
      <c r="J393" s="1" t="s">
        <v>29</v>
      </c>
      <c r="K393" s="1">
        <v>1392</v>
      </c>
      <c r="L393" s="1" t="str">
        <f t="shared" si="1"/>
        <v>MEDIUM ORDER</v>
      </c>
    </row>
    <row r="394" spans="1:12" x14ac:dyDescent="0.3">
      <c r="A394" s="1" t="s">
        <v>30</v>
      </c>
      <c r="B394" s="1" t="s">
        <v>25</v>
      </c>
      <c r="C394" s="1" t="s">
        <v>34</v>
      </c>
      <c r="D394" s="1" t="s">
        <v>45</v>
      </c>
      <c r="E394" s="1">
        <v>17</v>
      </c>
      <c r="F394" s="1">
        <v>30351</v>
      </c>
      <c r="G394" s="1">
        <v>15</v>
      </c>
      <c r="H394" s="2">
        <v>46047</v>
      </c>
      <c r="I394" s="2">
        <v>46051</v>
      </c>
      <c r="J394" s="1" t="s">
        <v>51</v>
      </c>
      <c r="K394" s="1">
        <v>1393</v>
      </c>
      <c r="L394" s="1" t="str">
        <f t="shared" si="1"/>
        <v>BULK ORDER</v>
      </c>
    </row>
    <row r="395" spans="1:12" x14ac:dyDescent="0.3">
      <c r="A395" s="1" t="s">
        <v>54</v>
      </c>
      <c r="B395" s="1" t="s">
        <v>12</v>
      </c>
      <c r="C395" s="1" t="s">
        <v>13</v>
      </c>
      <c r="D395" s="1" t="s">
        <v>14</v>
      </c>
      <c r="E395" s="1">
        <v>10</v>
      </c>
      <c r="F395" s="1">
        <v>138</v>
      </c>
      <c r="G395" s="1">
        <v>2</v>
      </c>
      <c r="H395" s="2">
        <v>46056</v>
      </c>
      <c r="I395" s="2">
        <v>46057</v>
      </c>
      <c r="J395" s="1" t="s">
        <v>15</v>
      </c>
      <c r="K395" s="1">
        <v>1394</v>
      </c>
      <c r="L395" s="1" t="str">
        <f t="shared" si="1"/>
        <v>MEDIUM ORDER</v>
      </c>
    </row>
    <row r="396" spans="1:12" x14ac:dyDescent="0.3">
      <c r="A396" s="1" t="s">
        <v>54</v>
      </c>
      <c r="B396" s="1" t="s">
        <v>33</v>
      </c>
      <c r="C396" s="1" t="s">
        <v>18</v>
      </c>
      <c r="D396" s="1" t="s">
        <v>44</v>
      </c>
      <c r="E396" s="1">
        <v>18</v>
      </c>
      <c r="F396" s="1">
        <v>10402</v>
      </c>
      <c r="G396" s="1">
        <v>15</v>
      </c>
      <c r="H396" s="2">
        <v>46062</v>
      </c>
      <c r="I396" s="2">
        <v>46067</v>
      </c>
      <c r="J396" s="1" t="s">
        <v>29</v>
      </c>
      <c r="K396" s="1">
        <v>1395</v>
      </c>
      <c r="L396" s="1" t="str">
        <f t="shared" si="1"/>
        <v>BULK ORDER</v>
      </c>
    </row>
    <row r="397" spans="1:12" x14ac:dyDescent="0.3">
      <c r="A397" s="1" t="s">
        <v>21</v>
      </c>
      <c r="B397" s="1" t="s">
        <v>38</v>
      </c>
      <c r="C397" s="1" t="s">
        <v>13</v>
      </c>
      <c r="D397" s="1" t="s">
        <v>53</v>
      </c>
      <c r="E397" s="1">
        <v>8</v>
      </c>
      <c r="F397" s="1">
        <v>54</v>
      </c>
      <c r="G397" s="1">
        <v>15</v>
      </c>
      <c r="H397" s="2">
        <v>46031</v>
      </c>
      <c r="I397" s="2">
        <v>46035</v>
      </c>
      <c r="J397" s="1" t="s">
        <v>15</v>
      </c>
      <c r="K397" s="1">
        <v>1396</v>
      </c>
      <c r="L397" s="1" t="str">
        <f t="shared" si="1"/>
        <v>MEDIUM ORDER</v>
      </c>
    </row>
    <row r="398" spans="1:12" x14ac:dyDescent="0.3">
      <c r="A398" s="1" t="s">
        <v>21</v>
      </c>
      <c r="B398" s="1" t="s">
        <v>33</v>
      </c>
      <c r="C398" s="1" t="s">
        <v>18</v>
      </c>
      <c r="D398" s="1" t="s">
        <v>23</v>
      </c>
      <c r="E398" s="1">
        <v>1</v>
      </c>
      <c r="F398" s="1">
        <v>8948</v>
      </c>
      <c r="G398" s="1">
        <v>5</v>
      </c>
      <c r="H398" s="2">
        <v>46194</v>
      </c>
      <c r="I398" s="2">
        <v>46201</v>
      </c>
      <c r="J398" s="1" t="s">
        <v>51</v>
      </c>
      <c r="K398" s="1">
        <v>1397</v>
      </c>
      <c r="L398" s="1" t="str">
        <f t="shared" si="1"/>
        <v>REGULAR ORDER</v>
      </c>
    </row>
    <row r="399" spans="1:12" x14ac:dyDescent="0.3">
      <c r="A399" s="1" t="s">
        <v>58</v>
      </c>
      <c r="B399" s="1" t="s">
        <v>43</v>
      </c>
      <c r="C399" s="1" t="s">
        <v>34</v>
      </c>
      <c r="D399" s="1" t="s">
        <v>39</v>
      </c>
      <c r="E399" s="1">
        <v>12</v>
      </c>
      <c r="F399" s="1">
        <v>10668</v>
      </c>
      <c r="G399" s="1">
        <v>0</v>
      </c>
      <c r="H399" s="2">
        <v>46170</v>
      </c>
      <c r="I399" s="2">
        <v>46176</v>
      </c>
      <c r="J399" s="1" t="s">
        <v>15</v>
      </c>
      <c r="K399" s="1">
        <v>1398</v>
      </c>
      <c r="L399" s="1" t="str">
        <f t="shared" si="1"/>
        <v>MEDIUM ORDER</v>
      </c>
    </row>
    <row r="400" spans="1:12" x14ac:dyDescent="0.3">
      <c r="A400" s="1" t="s">
        <v>48</v>
      </c>
      <c r="B400" s="1" t="s">
        <v>31</v>
      </c>
      <c r="C400" s="1" t="s">
        <v>13</v>
      </c>
      <c r="D400" s="1" t="s">
        <v>14</v>
      </c>
      <c r="E400" s="1">
        <v>15</v>
      </c>
      <c r="F400" s="1">
        <v>87</v>
      </c>
      <c r="G400" s="1">
        <v>15</v>
      </c>
      <c r="H400" s="2">
        <v>46089</v>
      </c>
      <c r="I400" s="2">
        <v>46093</v>
      </c>
      <c r="J400" s="1" t="s">
        <v>20</v>
      </c>
      <c r="K400" s="1">
        <v>1399</v>
      </c>
      <c r="L400" s="1" t="str">
        <f t="shared" si="1"/>
        <v>BULK ORDER</v>
      </c>
    </row>
    <row r="401" spans="1:12" x14ac:dyDescent="0.3">
      <c r="A401" s="1" t="s">
        <v>40</v>
      </c>
      <c r="B401" s="1" t="s">
        <v>22</v>
      </c>
      <c r="C401" s="1" t="s">
        <v>34</v>
      </c>
      <c r="D401" s="1" t="s">
        <v>35</v>
      </c>
      <c r="E401" s="1">
        <v>13</v>
      </c>
      <c r="F401" s="1">
        <v>52411</v>
      </c>
      <c r="G401" s="1">
        <v>15</v>
      </c>
      <c r="H401" s="2">
        <v>46090</v>
      </c>
      <c r="I401" s="2">
        <v>46092</v>
      </c>
      <c r="J401" s="1" t="s">
        <v>20</v>
      </c>
      <c r="K401" s="1">
        <v>1400</v>
      </c>
      <c r="L401" s="1" t="str">
        <f t="shared" si="1"/>
        <v>MEDIUM ORDER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L401"/>
  <sheetViews>
    <sheetView workbookViewId="0"/>
  </sheetViews>
  <sheetFormatPr defaultColWidth="14.44140625" defaultRowHeight="15" customHeight="1" x14ac:dyDescent="0.3"/>
  <sheetData>
    <row r="1" spans="1:12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0</v>
      </c>
      <c r="L1" s="1" t="s">
        <v>68</v>
      </c>
    </row>
    <row r="2" spans="1:12" x14ac:dyDescent="0.3">
      <c r="A2" s="1" t="s">
        <v>11</v>
      </c>
      <c r="B2" s="1" t="s">
        <v>12</v>
      </c>
      <c r="C2" s="1" t="s">
        <v>13</v>
      </c>
      <c r="D2" s="1" t="s">
        <v>14</v>
      </c>
      <c r="E2" s="1">
        <v>3</v>
      </c>
      <c r="F2" s="1">
        <v>222</v>
      </c>
      <c r="G2" s="1">
        <v>15</v>
      </c>
      <c r="H2" s="2">
        <v>46081</v>
      </c>
      <c r="I2" s="2">
        <v>46083</v>
      </c>
      <c r="J2" s="1" t="s">
        <v>15</v>
      </c>
      <c r="K2" s="1">
        <v>1001</v>
      </c>
      <c r="L2" s="1" t="str">
        <f t="shared" ref="L2:L256" si="0">IF(AND(C2="ELECTRONICS",G2&gt;=10),"NOT ELIGIBLE","ELIGIBLE")</f>
        <v>ELIGIBLE</v>
      </c>
    </row>
    <row r="3" spans="1:12" x14ac:dyDescent="0.3">
      <c r="A3" s="1" t="s">
        <v>16</v>
      </c>
      <c r="B3" s="1" t="s">
        <v>17</v>
      </c>
      <c r="C3" s="1" t="s">
        <v>18</v>
      </c>
      <c r="D3" s="1" t="s">
        <v>19</v>
      </c>
      <c r="E3" s="1">
        <v>7</v>
      </c>
      <c r="F3" s="1">
        <v>8448</v>
      </c>
      <c r="G3" s="1">
        <v>12</v>
      </c>
      <c r="H3" s="2">
        <v>46174</v>
      </c>
      <c r="I3" s="2">
        <v>46179</v>
      </c>
      <c r="J3" s="1" t="s">
        <v>20</v>
      </c>
      <c r="K3" s="1">
        <v>1002</v>
      </c>
      <c r="L3" s="1" t="str">
        <f t="shared" si="0"/>
        <v>ELIGIBLE</v>
      </c>
    </row>
    <row r="4" spans="1:12" x14ac:dyDescent="0.3">
      <c r="A4" s="1" t="s">
        <v>21</v>
      </c>
      <c r="B4" s="1" t="s">
        <v>22</v>
      </c>
      <c r="C4" s="1" t="s">
        <v>18</v>
      </c>
      <c r="D4" s="1" t="s">
        <v>23</v>
      </c>
      <c r="E4" s="1">
        <v>20</v>
      </c>
      <c r="F4" s="1">
        <v>2123</v>
      </c>
      <c r="G4" s="1">
        <v>15</v>
      </c>
      <c r="H4" s="2">
        <v>46183</v>
      </c>
      <c r="I4" s="2">
        <v>46192</v>
      </c>
      <c r="J4" s="1" t="s">
        <v>24</v>
      </c>
      <c r="K4" s="1">
        <v>1003</v>
      </c>
      <c r="L4" s="1" t="str">
        <f t="shared" si="0"/>
        <v>ELIGIBLE</v>
      </c>
    </row>
    <row r="5" spans="1:12" x14ac:dyDescent="0.3">
      <c r="A5" s="1" t="s">
        <v>16</v>
      </c>
      <c r="B5" s="1" t="s">
        <v>25</v>
      </c>
      <c r="C5" s="1" t="s">
        <v>18</v>
      </c>
      <c r="D5" s="1" t="s">
        <v>23</v>
      </c>
      <c r="E5" s="1">
        <v>16</v>
      </c>
      <c r="F5" s="1">
        <v>11739</v>
      </c>
      <c r="G5" s="1">
        <v>12</v>
      </c>
      <c r="H5" s="2">
        <v>46034</v>
      </c>
      <c r="I5" s="2">
        <v>46040</v>
      </c>
      <c r="J5" s="1" t="s">
        <v>20</v>
      </c>
      <c r="K5" s="1">
        <v>1004</v>
      </c>
      <c r="L5" s="1" t="str">
        <f t="shared" si="0"/>
        <v>ELIGIBLE</v>
      </c>
    </row>
    <row r="6" spans="1:12" x14ac:dyDescent="0.3">
      <c r="A6" s="1" t="s">
        <v>26</v>
      </c>
      <c r="B6" s="1" t="s">
        <v>17</v>
      </c>
      <c r="C6" s="1" t="s">
        <v>13</v>
      </c>
      <c r="D6" s="1" t="s">
        <v>14</v>
      </c>
      <c r="E6" s="1">
        <v>18</v>
      </c>
      <c r="F6" s="1">
        <v>70</v>
      </c>
      <c r="G6" s="1">
        <v>0</v>
      </c>
      <c r="H6" s="2">
        <v>46171</v>
      </c>
      <c r="I6" s="2">
        <v>46179</v>
      </c>
      <c r="J6" s="1" t="s">
        <v>24</v>
      </c>
      <c r="K6" s="1">
        <v>1005</v>
      </c>
      <c r="L6" s="1" t="str">
        <f t="shared" si="0"/>
        <v>ELIGIBLE</v>
      </c>
    </row>
    <row r="7" spans="1:12" x14ac:dyDescent="0.3">
      <c r="A7" s="1" t="s">
        <v>27</v>
      </c>
      <c r="B7" s="1" t="s">
        <v>25</v>
      </c>
      <c r="C7" s="1" t="s">
        <v>18</v>
      </c>
      <c r="D7" s="1" t="s">
        <v>28</v>
      </c>
      <c r="E7" s="1">
        <v>3</v>
      </c>
      <c r="F7" s="1">
        <v>2714</v>
      </c>
      <c r="G7" s="1">
        <v>5</v>
      </c>
      <c r="H7" s="2">
        <v>46055</v>
      </c>
      <c r="I7" s="2">
        <v>46062</v>
      </c>
      <c r="J7" s="1" t="s">
        <v>29</v>
      </c>
      <c r="K7" s="1">
        <v>1006</v>
      </c>
      <c r="L7" s="1" t="str">
        <f t="shared" si="0"/>
        <v>ELIGIBLE</v>
      </c>
    </row>
    <row r="8" spans="1:12" x14ac:dyDescent="0.3">
      <c r="A8" s="1" t="s">
        <v>21</v>
      </c>
      <c r="B8" s="1" t="s">
        <v>22</v>
      </c>
      <c r="C8" s="1" t="s">
        <v>13</v>
      </c>
      <c r="D8" s="1" t="s">
        <v>14</v>
      </c>
      <c r="E8" s="1">
        <v>19</v>
      </c>
      <c r="F8" s="1">
        <v>149</v>
      </c>
      <c r="G8" s="1">
        <v>7</v>
      </c>
      <c r="H8" s="2">
        <v>46162</v>
      </c>
      <c r="I8" s="2">
        <v>46168</v>
      </c>
      <c r="J8" s="1" t="s">
        <v>24</v>
      </c>
      <c r="K8" s="1">
        <v>1007</v>
      </c>
      <c r="L8" s="1" t="str">
        <f t="shared" si="0"/>
        <v>ELIGIBLE</v>
      </c>
    </row>
    <row r="9" spans="1:12" x14ac:dyDescent="0.3">
      <c r="A9" s="1" t="s">
        <v>30</v>
      </c>
      <c r="B9" s="1" t="s">
        <v>31</v>
      </c>
      <c r="C9" s="1" t="s">
        <v>18</v>
      </c>
      <c r="D9" s="1" t="s">
        <v>28</v>
      </c>
      <c r="E9" s="1">
        <v>1</v>
      </c>
      <c r="F9" s="1">
        <v>1134</v>
      </c>
      <c r="G9" s="1">
        <v>0</v>
      </c>
      <c r="H9" s="2">
        <v>46033</v>
      </c>
      <c r="I9" s="2">
        <v>46041</v>
      </c>
      <c r="J9" s="1" t="s">
        <v>24</v>
      </c>
      <c r="K9" s="1">
        <v>1008</v>
      </c>
      <c r="L9" s="1" t="str">
        <f t="shared" si="0"/>
        <v>ELIGIBLE</v>
      </c>
    </row>
    <row r="10" spans="1:12" x14ac:dyDescent="0.3">
      <c r="A10" s="1" t="s">
        <v>32</v>
      </c>
      <c r="B10" s="1" t="s">
        <v>33</v>
      </c>
      <c r="C10" s="1" t="s">
        <v>34</v>
      </c>
      <c r="D10" s="1" t="s">
        <v>35</v>
      </c>
      <c r="E10" s="1">
        <v>10</v>
      </c>
      <c r="F10" s="1">
        <v>40671</v>
      </c>
      <c r="G10" s="1">
        <v>12</v>
      </c>
      <c r="H10" s="2">
        <v>46183</v>
      </c>
      <c r="I10" s="2">
        <v>46193</v>
      </c>
      <c r="J10" s="1" t="s">
        <v>24</v>
      </c>
      <c r="K10" s="1">
        <v>1009</v>
      </c>
      <c r="L10" s="1" t="str">
        <f t="shared" si="0"/>
        <v>NOT ELIGIBLE</v>
      </c>
    </row>
    <row r="11" spans="1:12" x14ac:dyDescent="0.3">
      <c r="A11" s="1" t="s">
        <v>11</v>
      </c>
      <c r="B11" s="1" t="s">
        <v>17</v>
      </c>
      <c r="C11" s="1" t="s">
        <v>13</v>
      </c>
      <c r="D11" s="1" t="s">
        <v>36</v>
      </c>
      <c r="E11" s="1">
        <v>14</v>
      </c>
      <c r="F11" s="1">
        <v>470</v>
      </c>
      <c r="G11" s="1">
        <v>5</v>
      </c>
      <c r="H11" s="2">
        <v>46062</v>
      </c>
      <c r="I11" s="2">
        <v>46068</v>
      </c>
      <c r="J11" s="1" t="s">
        <v>15</v>
      </c>
      <c r="K11" s="1">
        <v>1010</v>
      </c>
      <c r="L11" s="1" t="str">
        <f t="shared" si="0"/>
        <v>ELIGIBLE</v>
      </c>
    </row>
    <row r="12" spans="1:12" x14ac:dyDescent="0.3">
      <c r="A12" s="1" t="s">
        <v>11</v>
      </c>
      <c r="B12" s="1" t="s">
        <v>17</v>
      </c>
      <c r="C12" s="1" t="s">
        <v>13</v>
      </c>
      <c r="D12" s="1" t="s">
        <v>37</v>
      </c>
      <c r="E12" s="1">
        <v>14</v>
      </c>
      <c r="F12" s="1">
        <v>88</v>
      </c>
      <c r="G12" s="1">
        <v>12</v>
      </c>
      <c r="H12" s="2">
        <v>46161</v>
      </c>
      <c r="I12" s="2">
        <v>46163</v>
      </c>
      <c r="J12" s="1" t="s">
        <v>15</v>
      </c>
      <c r="K12" s="1">
        <v>1011</v>
      </c>
      <c r="L12" s="1" t="str">
        <f t="shared" si="0"/>
        <v>ELIGIBLE</v>
      </c>
    </row>
    <row r="13" spans="1:12" x14ac:dyDescent="0.3">
      <c r="A13" s="1" t="s">
        <v>26</v>
      </c>
      <c r="B13" s="1" t="s">
        <v>38</v>
      </c>
      <c r="C13" s="1" t="s">
        <v>34</v>
      </c>
      <c r="D13" s="1" t="s">
        <v>39</v>
      </c>
      <c r="E13" s="1">
        <v>3</v>
      </c>
      <c r="F13" s="1">
        <v>64615</v>
      </c>
      <c r="G13" s="1">
        <v>10</v>
      </c>
      <c r="H13" s="2">
        <v>46086</v>
      </c>
      <c r="I13" s="2">
        <v>46095</v>
      </c>
      <c r="J13" s="1" t="s">
        <v>29</v>
      </c>
      <c r="K13" s="1">
        <v>1012</v>
      </c>
      <c r="L13" s="1" t="str">
        <f t="shared" si="0"/>
        <v>NOT ELIGIBLE</v>
      </c>
    </row>
    <row r="14" spans="1:12" x14ac:dyDescent="0.3">
      <c r="A14" s="1" t="s">
        <v>16</v>
      </c>
      <c r="B14" s="1" t="s">
        <v>31</v>
      </c>
      <c r="C14" s="1" t="s">
        <v>13</v>
      </c>
      <c r="D14" s="1" t="s">
        <v>36</v>
      </c>
      <c r="E14" s="1">
        <v>17</v>
      </c>
      <c r="F14" s="1">
        <v>459</v>
      </c>
      <c r="G14" s="1">
        <v>12</v>
      </c>
      <c r="H14" s="2">
        <v>46095</v>
      </c>
      <c r="I14" s="2">
        <v>46105</v>
      </c>
      <c r="J14" s="1" t="s">
        <v>29</v>
      </c>
      <c r="K14" s="1">
        <v>1013</v>
      </c>
      <c r="L14" s="1" t="str">
        <f t="shared" si="0"/>
        <v>ELIGIBLE</v>
      </c>
    </row>
    <row r="15" spans="1:12" x14ac:dyDescent="0.3">
      <c r="A15" s="1" t="s">
        <v>40</v>
      </c>
      <c r="B15" s="1" t="s">
        <v>17</v>
      </c>
      <c r="C15" s="1" t="s">
        <v>34</v>
      </c>
      <c r="D15" s="1" t="s">
        <v>41</v>
      </c>
      <c r="E15" s="1">
        <v>19</v>
      </c>
      <c r="F15" s="1">
        <v>53683</v>
      </c>
      <c r="G15" s="1">
        <v>12</v>
      </c>
      <c r="H15" s="2">
        <v>46129</v>
      </c>
      <c r="I15" s="2">
        <v>46134</v>
      </c>
      <c r="J15" s="1" t="s">
        <v>29</v>
      </c>
      <c r="K15" s="1">
        <v>1014</v>
      </c>
      <c r="L15" s="1" t="str">
        <f t="shared" si="0"/>
        <v>NOT ELIGIBLE</v>
      </c>
    </row>
    <row r="16" spans="1:12" x14ac:dyDescent="0.3">
      <c r="A16" s="1" t="s">
        <v>42</v>
      </c>
      <c r="B16" s="1" t="s">
        <v>43</v>
      </c>
      <c r="C16" s="1" t="s">
        <v>18</v>
      </c>
      <c r="D16" s="1" t="s">
        <v>44</v>
      </c>
      <c r="E16" s="1">
        <v>11</v>
      </c>
      <c r="F16" s="1">
        <v>14511</v>
      </c>
      <c r="G16" s="1">
        <v>2</v>
      </c>
      <c r="H16" s="2">
        <v>46175</v>
      </c>
      <c r="I16" s="2">
        <v>46185</v>
      </c>
      <c r="J16" s="1" t="s">
        <v>20</v>
      </c>
      <c r="K16" s="1">
        <v>1015</v>
      </c>
      <c r="L16" s="1" t="str">
        <f t="shared" si="0"/>
        <v>ELIGIBLE</v>
      </c>
    </row>
    <row r="17" spans="1:12" x14ac:dyDescent="0.3">
      <c r="A17" s="1" t="s">
        <v>32</v>
      </c>
      <c r="B17" s="1" t="s">
        <v>33</v>
      </c>
      <c r="C17" s="1" t="s">
        <v>34</v>
      </c>
      <c r="D17" s="1" t="s">
        <v>45</v>
      </c>
      <c r="E17" s="1">
        <v>16</v>
      </c>
      <c r="F17" s="1">
        <v>30234</v>
      </c>
      <c r="G17" s="1">
        <v>15</v>
      </c>
      <c r="H17" s="2">
        <v>46137</v>
      </c>
      <c r="I17" s="2">
        <v>46140</v>
      </c>
      <c r="J17" s="1" t="s">
        <v>24</v>
      </c>
      <c r="K17" s="1">
        <v>1016</v>
      </c>
      <c r="L17" s="1" t="str">
        <f t="shared" si="0"/>
        <v>NOT ELIGIBLE</v>
      </c>
    </row>
    <row r="18" spans="1:12" x14ac:dyDescent="0.3">
      <c r="A18" s="1" t="s">
        <v>46</v>
      </c>
      <c r="B18" s="1" t="s">
        <v>38</v>
      </c>
      <c r="C18" s="1" t="s">
        <v>13</v>
      </c>
      <c r="D18" s="1" t="s">
        <v>36</v>
      </c>
      <c r="E18" s="1">
        <v>8</v>
      </c>
      <c r="F18" s="1">
        <v>179</v>
      </c>
      <c r="G18" s="1">
        <v>15</v>
      </c>
      <c r="H18" s="2">
        <v>46082</v>
      </c>
      <c r="I18" s="2">
        <v>46084</v>
      </c>
      <c r="J18" s="1" t="s">
        <v>15</v>
      </c>
      <c r="K18" s="1">
        <v>1017</v>
      </c>
      <c r="L18" s="1" t="str">
        <f t="shared" si="0"/>
        <v>ELIGIBLE</v>
      </c>
    </row>
    <row r="19" spans="1:12" x14ac:dyDescent="0.3">
      <c r="A19" s="1" t="s">
        <v>47</v>
      </c>
      <c r="B19" s="1" t="s">
        <v>25</v>
      </c>
      <c r="C19" s="1" t="s">
        <v>13</v>
      </c>
      <c r="D19" s="1" t="s">
        <v>14</v>
      </c>
      <c r="E19" s="1">
        <v>20</v>
      </c>
      <c r="F19" s="1">
        <v>301</v>
      </c>
      <c r="G19" s="1">
        <v>0</v>
      </c>
      <c r="H19" s="2">
        <v>46089</v>
      </c>
      <c r="I19" s="2">
        <v>46094</v>
      </c>
      <c r="J19" s="1" t="s">
        <v>29</v>
      </c>
      <c r="K19" s="1">
        <v>1018</v>
      </c>
      <c r="L19" s="1" t="str">
        <f t="shared" si="0"/>
        <v>ELIGIBLE</v>
      </c>
    </row>
    <row r="20" spans="1:12" x14ac:dyDescent="0.3">
      <c r="A20" s="1" t="s">
        <v>11</v>
      </c>
      <c r="B20" s="1" t="s">
        <v>43</v>
      </c>
      <c r="C20" s="1" t="s">
        <v>34</v>
      </c>
      <c r="D20" s="1" t="s">
        <v>41</v>
      </c>
      <c r="E20" s="1">
        <v>18</v>
      </c>
      <c r="F20" s="1">
        <v>45652</v>
      </c>
      <c r="G20" s="1">
        <v>10</v>
      </c>
      <c r="H20" s="2">
        <v>46023</v>
      </c>
      <c r="I20" s="2">
        <v>46030</v>
      </c>
      <c r="J20" s="1" t="s">
        <v>20</v>
      </c>
      <c r="K20" s="1">
        <v>1019</v>
      </c>
      <c r="L20" s="1" t="str">
        <f t="shared" si="0"/>
        <v>NOT ELIGIBLE</v>
      </c>
    </row>
    <row r="21" spans="1:12" x14ac:dyDescent="0.3">
      <c r="A21" s="1" t="s">
        <v>46</v>
      </c>
      <c r="B21" s="1" t="s">
        <v>12</v>
      </c>
      <c r="C21" s="1" t="s">
        <v>18</v>
      </c>
      <c r="D21" s="1" t="s">
        <v>19</v>
      </c>
      <c r="E21" s="1">
        <v>5</v>
      </c>
      <c r="F21" s="1">
        <v>4582</v>
      </c>
      <c r="G21" s="1">
        <v>5</v>
      </c>
      <c r="H21" s="2">
        <v>46078</v>
      </c>
      <c r="I21" s="2">
        <v>46083</v>
      </c>
      <c r="J21" s="1" t="s">
        <v>15</v>
      </c>
      <c r="K21" s="1">
        <v>1020</v>
      </c>
      <c r="L21" s="1" t="str">
        <f t="shared" si="0"/>
        <v>ELIGIBLE</v>
      </c>
    </row>
    <row r="22" spans="1:12" x14ac:dyDescent="0.3">
      <c r="A22" s="1" t="s">
        <v>48</v>
      </c>
      <c r="B22" s="1" t="s">
        <v>43</v>
      </c>
      <c r="C22" s="1" t="s">
        <v>13</v>
      </c>
      <c r="D22" s="1" t="s">
        <v>14</v>
      </c>
      <c r="E22" s="1">
        <v>3</v>
      </c>
      <c r="F22" s="1">
        <v>484</v>
      </c>
      <c r="G22" s="1">
        <v>2</v>
      </c>
      <c r="H22" s="2">
        <v>46144</v>
      </c>
      <c r="I22" s="2">
        <v>46148</v>
      </c>
      <c r="J22" s="1" t="s">
        <v>24</v>
      </c>
      <c r="K22" s="1">
        <v>1021</v>
      </c>
      <c r="L22" s="1" t="str">
        <f t="shared" si="0"/>
        <v>ELIGIBLE</v>
      </c>
    </row>
    <row r="23" spans="1:12" x14ac:dyDescent="0.3">
      <c r="A23" s="1" t="s">
        <v>26</v>
      </c>
      <c r="B23" s="1" t="s">
        <v>17</v>
      </c>
      <c r="C23" s="1" t="s">
        <v>34</v>
      </c>
      <c r="D23" s="1" t="s">
        <v>45</v>
      </c>
      <c r="E23" s="1">
        <v>15</v>
      </c>
      <c r="F23" s="1">
        <v>11596</v>
      </c>
      <c r="G23" s="1">
        <v>0</v>
      </c>
      <c r="H23" s="2">
        <v>46117</v>
      </c>
      <c r="I23" s="2">
        <v>46121</v>
      </c>
      <c r="J23" s="1" t="s">
        <v>29</v>
      </c>
      <c r="K23" s="1">
        <v>1022</v>
      </c>
      <c r="L23" s="1" t="str">
        <f t="shared" si="0"/>
        <v>ELIGIBLE</v>
      </c>
    </row>
    <row r="24" spans="1:12" x14ac:dyDescent="0.3">
      <c r="A24" s="1" t="s">
        <v>40</v>
      </c>
      <c r="B24" s="1" t="s">
        <v>12</v>
      </c>
      <c r="C24" s="1" t="s">
        <v>18</v>
      </c>
      <c r="D24" s="1" t="s">
        <v>44</v>
      </c>
      <c r="E24" s="1">
        <v>15</v>
      </c>
      <c r="F24" s="1">
        <v>3506</v>
      </c>
      <c r="G24" s="1">
        <v>2</v>
      </c>
      <c r="H24" s="2">
        <v>46193</v>
      </c>
      <c r="I24" s="2">
        <v>46194</v>
      </c>
      <c r="J24" s="1" t="s">
        <v>29</v>
      </c>
      <c r="K24" s="1">
        <v>1023</v>
      </c>
      <c r="L24" s="1" t="str">
        <f t="shared" si="0"/>
        <v>ELIGIBLE</v>
      </c>
    </row>
    <row r="25" spans="1:12" x14ac:dyDescent="0.3">
      <c r="A25" s="1" t="s">
        <v>32</v>
      </c>
      <c r="B25" s="1" t="s">
        <v>38</v>
      </c>
      <c r="C25" s="1" t="s">
        <v>34</v>
      </c>
      <c r="D25" s="1" t="s">
        <v>41</v>
      </c>
      <c r="E25" s="1">
        <v>12</v>
      </c>
      <c r="F25" s="1">
        <v>1682</v>
      </c>
      <c r="G25" s="1">
        <v>5</v>
      </c>
      <c r="H25" s="2">
        <v>46161</v>
      </c>
      <c r="I25" s="2">
        <v>46165</v>
      </c>
      <c r="J25" s="1" t="s">
        <v>15</v>
      </c>
      <c r="K25" s="1">
        <v>1024</v>
      </c>
      <c r="L25" s="1" t="str">
        <f t="shared" si="0"/>
        <v>ELIGIBLE</v>
      </c>
    </row>
    <row r="26" spans="1:12" x14ac:dyDescent="0.3">
      <c r="A26" s="1" t="s">
        <v>21</v>
      </c>
      <c r="B26" s="1" t="s">
        <v>12</v>
      </c>
      <c r="C26" s="1" t="s">
        <v>18</v>
      </c>
      <c r="D26" s="1" t="s">
        <v>19</v>
      </c>
      <c r="E26" s="1">
        <v>18</v>
      </c>
      <c r="F26" s="1">
        <v>7924</v>
      </c>
      <c r="G26" s="1">
        <v>0</v>
      </c>
      <c r="H26" s="2">
        <v>46175</v>
      </c>
      <c r="I26" s="2">
        <v>46181</v>
      </c>
      <c r="J26" s="1" t="s">
        <v>15</v>
      </c>
      <c r="K26" s="1">
        <v>1025</v>
      </c>
      <c r="L26" s="1" t="str">
        <f t="shared" si="0"/>
        <v>ELIGIBLE</v>
      </c>
    </row>
    <row r="27" spans="1:12" x14ac:dyDescent="0.3">
      <c r="A27" s="1" t="s">
        <v>49</v>
      </c>
      <c r="B27" s="1" t="s">
        <v>31</v>
      </c>
      <c r="C27" s="1" t="s">
        <v>13</v>
      </c>
      <c r="D27" s="1" t="s">
        <v>50</v>
      </c>
      <c r="E27" s="1">
        <v>17</v>
      </c>
      <c r="F27" s="1">
        <v>323</v>
      </c>
      <c r="G27" s="1">
        <v>10</v>
      </c>
      <c r="H27" s="2">
        <v>46039</v>
      </c>
      <c r="I27" s="2">
        <v>46040</v>
      </c>
      <c r="J27" s="1" t="s">
        <v>29</v>
      </c>
      <c r="K27" s="1">
        <v>1026</v>
      </c>
      <c r="L27" s="1" t="str">
        <f t="shared" si="0"/>
        <v>ELIGIBLE</v>
      </c>
    </row>
    <row r="28" spans="1:12" x14ac:dyDescent="0.3">
      <c r="A28" s="1" t="s">
        <v>29</v>
      </c>
      <c r="B28" s="1" t="s">
        <v>43</v>
      </c>
      <c r="C28" s="1" t="s">
        <v>13</v>
      </c>
      <c r="D28" s="1" t="s">
        <v>50</v>
      </c>
      <c r="E28" s="1">
        <v>4</v>
      </c>
      <c r="F28" s="1">
        <v>264</v>
      </c>
      <c r="G28" s="1">
        <v>0</v>
      </c>
      <c r="H28" s="2">
        <v>46155</v>
      </c>
      <c r="I28" s="2">
        <v>46161</v>
      </c>
      <c r="J28" s="1" t="s">
        <v>51</v>
      </c>
      <c r="K28" s="1">
        <v>1027</v>
      </c>
      <c r="L28" s="1" t="str">
        <f t="shared" si="0"/>
        <v>ELIGIBLE</v>
      </c>
    </row>
    <row r="29" spans="1:12" x14ac:dyDescent="0.3">
      <c r="A29" s="1" t="s">
        <v>47</v>
      </c>
      <c r="B29" s="1" t="s">
        <v>22</v>
      </c>
      <c r="C29" s="1" t="s">
        <v>13</v>
      </c>
      <c r="D29" s="1" t="s">
        <v>36</v>
      </c>
      <c r="E29" s="1">
        <v>13</v>
      </c>
      <c r="F29" s="1">
        <v>433</v>
      </c>
      <c r="G29" s="1">
        <v>2</v>
      </c>
      <c r="H29" s="2">
        <v>46116</v>
      </c>
      <c r="I29" s="2">
        <v>46121</v>
      </c>
      <c r="J29" s="1" t="s">
        <v>24</v>
      </c>
      <c r="K29" s="1">
        <v>1028</v>
      </c>
      <c r="L29" s="1" t="str">
        <f t="shared" si="0"/>
        <v>ELIGIBLE</v>
      </c>
    </row>
    <row r="30" spans="1:12" x14ac:dyDescent="0.3">
      <c r="A30" s="1" t="s">
        <v>30</v>
      </c>
      <c r="B30" s="1" t="s">
        <v>25</v>
      </c>
      <c r="C30" s="1" t="s">
        <v>13</v>
      </c>
      <c r="D30" s="1" t="s">
        <v>36</v>
      </c>
      <c r="E30" s="1">
        <v>18</v>
      </c>
      <c r="F30" s="1">
        <v>443</v>
      </c>
      <c r="G30" s="1">
        <v>5</v>
      </c>
      <c r="H30" s="2">
        <v>46046</v>
      </c>
      <c r="I30" s="2">
        <v>46054</v>
      </c>
      <c r="J30" s="1" t="s">
        <v>24</v>
      </c>
      <c r="K30" s="1">
        <v>1029</v>
      </c>
      <c r="L30" s="1" t="str">
        <f t="shared" si="0"/>
        <v>ELIGIBLE</v>
      </c>
    </row>
    <row r="31" spans="1:12" x14ac:dyDescent="0.3">
      <c r="A31" s="1" t="s">
        <v>52</v>
      </c>
      <c r="B31" s="1" t="s">
        <v>12</v>
      </c>
      <c r="C31" s="1" t="s">
        <v>13</v>
      </c>
      <c r="D31" s="1" t="s">
        <v>53</v>
      </c>
      <c r="E31" s="1">
        <v>13</v>
      </c>
      <c r="F31" s="1">
        <v>336</v>
      </c>
      <c r="G31" s="1">
        <v>10</v>
      </c>
      <c r="H31" s="2">
        <v>46098</v>
      </c>
      <c r="I31" s="2">
        <v>46108</v>
      </c>
      <c r="J31" s="1" t="s">
        <v>15</v>
      </c>
      <c r="K31" s="1">
        <v>1030</v>
      </c>
      <c r="L31" s="1" t="str">
        <f t="shared" si="0"/>
        <v>ELIGIBLE</v>
      </c>
    </row>
    <row r="32" spans="1:12" x14ac:dyDescent="0.3">
      <c r="A32" s="1" t="s">
        <v>54</v>
      </c>
      <c r="B32" s="1" t="s">
        <v>31</v>
      </c>
      <c r="C32" s="1" t="s">
        <v>13</v>
      </c>
      <c r="D32" s="1" t="s">
        <v>53</v>
      </c>
      <c r="E32" s="1">
        <v>2</v>
      </c>
      <c r="F32" s="1">
        <v>184</v>
      </c>
      <c r="G32" s="1">
        <v>5</v>
      </c>
      <c r="H32" s="2">
        <v>46089</v>
      </c>
      <c r="I32" s="2">
        <v>46093</v>
      </c>
      <c r="J32" s="1" t="s">
        <v>20</v>
      </c>
      <c r="K32" s="1">
        <v>1031</v>
      </c>
      <c r="L32" s="1" t="str">
        <f t="shared" si="0"/>
        <v>ELIGIBLE</v>
      </c>
    </row>
    <row r="33" spans="1:12" x14ac:dyDescent="0.3">
      <c r="A33" s="1" t="s">
        <v>54</v>
      </c>
      <c r="B33" s="1" t="s">
        <v>43</v>
      </c>
      <c r="C33" s="1" t="s">
        <v>34</v>
      </c>
      <c r="D33" s="1" t="s">
        <v>39</v>
      </c>
      <c r="E33" s="1">
        <v>20</v>
      </c>
      <c r="F33" s="1">
        <v>11305</v>
      </c>
      <c r="G33" s="1">
        <v>2</v>
      </c>
      <c r="H33" s="2">
        <v>46163</v>
      </c>
      <c r="I33" s="2">
        <v>46165</v>
      </c>
      <c r="J33" s="1" t="s">
        <v>29</v>
      </c>
      <c r="K33" s="1">
        <v>1032</v>
      </c>
      <c r="L33" s="1" t="str">
        <f t="shared" si="0"/>
        <v>ELIGIBLE</v>
      </c>
    </row>
    <row r="34" spans="1:12" x14ac:dyDescent="0.3">
      <c r="A34" s="1" t="s">
        <v>11</v>
      </c>
      <c r="B34" s="1" t="s">
        <v>43</v>
      </c>
      <c r="C34" s="1" t="s">
        <v>18</v>
      </c>
      <c r="D34" s="1" t="s">
        <v>19</v>
      </c>
      <c r="E34" s="1">
        <v>9</v>
      </c>
      <c r="F34" s="1">
        <v>4895</v>
      </c>
      <c r="G34" s="1">
        <v>2</v>
      </c>
      <c r="H34" s="2">
        <v>46082</v>
      </c>
      <c r="I34" s="2">
        <v>46084</v>
      </c>
      <c r="J34" s="1" t="s">
        <v>29</v>
      </c>
      <c r="K34" s="1">
        <v>1033</v>
      </c>
      <c r="L34" s="1" t="str">
        <f t="shared" si="0"/>
        <v>ELIGIBLE</v>
      </c>
    </row>
    <row r="35" spans="1:12" x14ac:dyDescent="0.3">
      <c r="A35" s="1" t="s">
        <v>55</v>
      </c>
      <c r="B35" s="1" t="s">
        <v>33</v>
      </c>
      <c r="C35" s="1" t="s">
        <v>18</v>
      </c>
      <c r="D35" s="1" t="s">
        <v>28</v>
      </c>
      <c r="E35" s="1">
        <v>17</v>
      </c>
      <c r="F35" s="1">
        <v>5104</v>
      </c>
      <c r="G35" s="1">
        <v>12</v>
      </c>
      <c r="H35" s="2">
        <v>46052</v>
      </c>
      <c r="I35" s="2">
        <v>46061</v>
      </c>
      <c r="J35" s="1" t="s">
        <v>51</v>
      </c>
      <c r="K35" s="1">
        <v>1034</v>
      </c>
      <c r="L35" s="1" t="str">
        <f t="shared" si="0"/>
        <v>ELIGIBLE</v>
      </c>
    </row>
    <row r="36" spans="1:12" x14ac:dyDescent="0.3">
      <c r="A36" s="1" t="s">
        <v>49</v>
      </c>
      <c r="B36" s="1" t="s">
        <v>43</v>
      </c>
      <c r="C36" s="1" t="s">
        <v>18</v>
      </c>
      <c r="D36" s="1" t="s">
        <v>56</v>
      </c>
      <c r="E36" s="1">
        <v>3</v>
      </c>
      <c r="F36" s="1">
        <v>9149</v>
      </c>
      <c r="G36" s="1">
        <v>0</v>
      </c>
      <c r="H36" s="2">
        <v>46031</v>
      </c>
      <c r="I36" s="2">
        <v>46034</v>
      </c>
      <c r="J36" s="1" t="s">
        <v>24</v>
      </c>
      <c r="K36" s="1">
        <v>1035</v>
      </c>
      <c r="L36" s="1" t="str">
        <f t="shared" si="0"/>
        <v>ELIGIBLE</v>
      </c>
    </row>
    <row r="37" spans="1:12" x14ac:dyDescent="0.3">
      <c r="A37" s="1" t="s">
        <v>11</v>
      </c>
      <c r="B37" s="1" t="s">
        <v>25</v>
      </c>
      <c r="C37" s="1" t="s">
        <v>13</v>
      </c>
      <c r="D37" s="1" t="s">
        <v>36</v>
      </c>
      <c r="E37" s="1">
        <v>20</v>
      </c>
      <c r="F37" s="1">
        <v>161</v>
      </c>
      <c r="G37" s="1">
        <v>7</v>
      </c>
      <c r="H37" s="2">
        <v>46071</v>
      </c>
      <c r="I37" s="2">
        <v>46077</v>
      </c>
      <c r="J37" s="1" t="s">
        <v>24</v>
      </c>
      <c r="K37" s="1">
        <v>1036</v>
      </c>
      <c r="L37" s="1" t="str">
        <f t="shared" si="0"/>
        <v>ELIGIBLE</v>
      </c>
    </row>
    <row r="38" spans="1:12" x14ac:dyDescent="0.3">
      <c r="A38" s="1" t="s">
        <v>46</v>
      </c>
      <c r="B38" s="1" t="s">
        <v>43</v>
      </c>
      <c r="C38" s="1" t="s">
        <v>18</v>
      </c>
      <c r="D38" s="1" t="s">
        <v>56</v>
      </c>
      <c r="E38" s="1">
        <v>6</v>
      </c>
      <c r="F38" s="1">
        <v>14385</v>
      </c>
      <c r="G38" s="1">
        <v>12</v>
      </c>
      <c r="H38" s="2">
        <v>46033</v>
      </c>
      <c r="I38" s="2">
        <v>46043</v>
      </c>
      <c r="J38" s="1" t="s">
        <v>24</v>
      </c>
      <c r="K38" s="1">
        <v>1037</v>
      </c>
      <c r="L38" s="1" t="str">
        <f t="shared" si="0"/>
        <v>ELIGIBLE</v>
      </c>
    </row>
    <row r="39" spans="1:12" x14ac:dyDescent="0.3">
      <c r="A39" s="1" t="s">
        <v>55</v>
      </c>
      <c r="B39" s="1" t="s">
        <v>17</v>
      </c>
      <c r="C39" s="1" t="s">
        <v>13</v>
      </c>
      <c r="D39" s="1" t="s">
        <v>36</v>
      </c>
      <c r="E39" s="1">
        <v>17</v>
      </c>
      <c r="F39" s="1">
        <v>223</v>
      </c>
      <c r="G39" s="1">
        <v>7</v>
      </c>
      <c r="H39" s="2">
        <v>46030</v>
      </c>
      <c r="I39" s="2">
        <v>46031</v>
      </c>
      <c r="J39" s="1" t="s">
        <v>51</v>
      </c>
      <c r="K39" s="1">
        <v>1038</v>
      </c>
      <c r="L39" s="1" t="str">
        <f t="shared" si="0"/>
        <v>ELIGIBLE</v>
      </c>
    </row>
    <row r="40" spans="1:12" x14ac:dyDescent="0.3">
      <c r="A40" s="1" t="s">
        <v>48</v>
      </c>
      <c r="B40" s="1" t="s">
        <v>38</v>
      </c>
      <c r="C40" s="1" t="s">
        <v>34</v>
      </c>
      <c r="D40" s="1" t="s">
        <v>45</v>
      </c>
      <c r="E40" s="1">
        <v>5</v>
      </c>
      <c r="F40" s="1">
        <v>60236</v>
      </c>
      <c r="G40" s="1">
        <v>10</v>
      </c>
      <c r="H40" s="2">
        <v>46107</v>
      </c>
      <c r="I40" s="2">
        <v>46110</v>
      </c>
      <c r="J40" s="1" t="s">
        <v>20</v>
      </c>
      <c r="K40" s="1">
        <v>1039</v>
      </c>
      <c r="L40" s="1" t="str">
        <f t="shared" si="0"/>
        <v>NOT ELIGIBLE</v>
      </c>
    </row>
    <row r="41" spans="1:12" x14ac:dyDescent="0.3">
      <c r="A41" s="1" t="s">
        <v>49</v>
      </c>
      <c r="B41" s="1" t="s">
        <v>38</v>
      </c>
      <c r="C41" s="1" t="s">
        <v>18</v>
      </c>
      <c r="D41" s="1" t="s">
        <v>28</v>
      </c>
      <c r="E41" s="1">
        <v>10</v>
      </c>
      <c r="F41" s="1">
        <v>7531</v>
      </c>
      <c r="G41" s="1">
        <v>2</v>
      </c>
      <c r="H41" s="2">
        <v>46171</v>
      </c>
      <c r="I41" s="2">
        <v>46178</v>
      </c>
      <c r="J41" s="1" t="s">
        <v>24</v>
      </c>
      <c r="K41" s="1">
        <v>1040</v>
      </c>
      <c r="L41" s="1" t="str">
        <f t="shared" si="0"/>
        <v>ELIGIBLE</v>
      </c>
    </row>
    <row r="42" spans="1:12" x14ac:dyDescent="0.3">
      <c r="A42" s="1" t="s">
        <v>54</v>
      </c>
      <c r="B42" s="1" t="s">
        <v>38</v>
      </c>
      <c r="C42" s="1" t="s">
        <v>13</v>
      </c>
      <c r="D42" s="1" t="s">
        <v>50</v>
      </c>
      <c r="E42" s="1">
        <v>9</v>
      </c>
      <c r="F42" s="1">
        <v>71</v>
      </c>
      <c r="G42" s="1">
        <v>7</v>
      </c>
      <c r="H42" s="2">
        <v>46185</v>
      </c>
      <c r="I42" s="2">
        <v>46188</v>
      </c>
      <c r="J42" s="1" t="s">
        <v>15</v>
      </c>
      <c r="K42" s="1">
        <v>1041</v>
      </c>
      <c r="L42" s="1" t="str">
        <f t="shared" si="0"/>
        <v>ELIGIBLE</v>
      </c>
    </row>
    <row r="43" spans="1:12" x14ac:dyDescent="0.3">
      <c r="A43" s="1" t="s">
        <v>46</v>
      </c>
      <c r="B43" s="1" t="s">
        <v>33</v>
      </c>
      <c r="C43" s="1" t="s">
        <v>13</v>
      </c>
      <c r="D43" s="1" t="s">
        <v>53</v>
      </c>
      <c r="E43" s="1">
        <v>16</v>
      </c>
      <c r="F43" s="1">
        <v>232</v>
      </c>
      <c r="G43" s="1">
        <v>0</v>
      </c>
      <c r="H43" s="2">
        <v>46081</v>
      </c>
      <c r="I43" s="2">
        <v>46088</v>
      </c>
      <c r="J43" s="1" t="s">
        <v>29</v>
      </c>
      <c r="K43" s="1">
        <v>1042</v>
      </c>
      <c r="L43" s="1" t="str">
        <f t="shared" si="0"/>
        <v>ELIGIBLE</v>
      </c>
    </row>
    <row r="44" spans="1:12" x14ac:dyDescent="0.3">
      <c r="A44" s="1" t="s">
        <v>49</v>
      </c>
      <c r="B44" s="1" t="s">
        <v>38</v>
      </c>
      <c r="C44" s="1" t="s">
        <v>34</v>
      </c>
      <c r="D44" s="1" t="s">
        <v>35</v>
      </c>
      <c r="E44" s="1">
        <v>20</v>
      </c>
      <c r="F44" s="1">
        <v>46093</v>
      </c>
      <c r="G44" s="1">
        <v>5</v>
      </c>
      <c r="H44" s="2">
        <v>46091</v>
      </c>
      <c r="I44" s="2">
        <v>46098</v>
      </c>
      <c r="J44" s="1" t="s">
        <v>29</v>
      </c>
      <c r="K44" s="1">
        <v>1043</v>
      </c>
      <c r="L44" s="1" t="str">
        <f t="shared" si="0"/>
        <v>ELIGIBLE</v>
      </c>
    </row>
    <row r="45" spans="1:12" x14ac:dyDescent="0.3">
      <c r="A45" s="1" t="s">
        <v>48</v>
      </c>
      <c r="B45" s="1" t="s">
        <v>38</v>
      </c>
      <c r="C45" s="1" t="s">
        <v>18</v>
      </c>
      <c r="D45" s="1" t="s">
        <v>19</v>
      </c>
      <c r="E45" s="1">
        <v>4</v>
      </c>
      <c r="F45" s="1">
        <v>14731</v>
      </c>
      <c r="G45" s="1">
        <v>2</v>
      </c>
      <c r="H45" s="2">
        <v>46173</v>
      </c>
      <c r="I45" s="2">
        <v>46176</v>
      </c>
      <c r="J45" s="1" t="s">
        <v>20</v>
      </c>
      <c r="K45" s="1">
        <v>1044</v>
      </c>
      <c r="L45" s="1" t="str">
        <f t="shared" si="0"/>
        <v>ELIGIBLE</v>
      </c>
    </row>
    <row r="46" spans="1:12" x14ac:dyDescent="0.3">
      <c r="A46" s="1" t="s">
        <v>32</v>
      </c>
      <c r="B46" s="1" t="s">
        <v>38</v>
      </c>
      <c r="C46" s="1" t="s">
        <v>34</v>
      </c>
      <c r="D46" s="1" t="s">
        <v>35</v>
      </c>
      <c r="E46" s="1">
        <v>3</v>
      </c>
      <c r="F46" s="1">
        <v>62762</v>
      </c>
      <c r="G46" s="1">
        <v>7</v>
      </c>
      <c r="H46" s="2">
        <v>46038</v>
      </c>
      <c r="I46" s="2">
        <v>46039</v>
      </c>
      <c r="J46" s="1" t="s">
        <v>29</v>
      </c>
      <c r="K46" s="1">
        <v>1045</v>
      </c>
      <c r="L46" s="1" t="str">
        <f t="shared" si="0"/>
        <v>ELIGIBLE</v>
      </c>
    </row>
    <row r="47" spans="1:12" x14ac:dyDescent="0.3">
      <c r="A47" s="1" t="s">
        <v>57</v>
      </c>
      <c r="B47" s="1" t="s">
        <v>38</v>
      </c>
      <c r="C47" s="1" t="s">
        <v>34</v>
      </c>
      <c r="D47" s="1" t="s">
        <v>45</v>
      </c>
      <c r="E47" s="1">
        <v>3</v>
      </c>
      <c r="F47" s="1">
        <v>19443</v>
      </c>
      <c r="G47" s="1">
        <v>10</v>
      </c>
      <c r="H47" s="2">
        <v>46153</v>
      </c>
      <c r="I47" s="2">
        <v>46158</v>
      </c>
      <c r="J47" s="1" t="s">
        <v>29</v>
      </c>
      <c r="K47" s="1">
        <v>1046</v>
      </c>
      <c r="L47" s="1" t="str">
        <f t="shared" si="0"/>
        <v>NOT ELIGIBLE</v>
      </c>
    </row>
    <row r="48" spans="1:12" x14ac:dyDescent="0.3">
      <c r="A48" s="1" t="s">
        <v>58</v>
      </c>
      <c r="B48" s="1" t="s">
        <v>38</v>
      </c>
      <c r="C48" s="1" t="s">
        <v>18</v>
      </c>
      <c r="D48" s="1" t="s">
        <v>56</v>
      </c>
      <c r="E48" s="1">
        <v>11</v>
      </c>
      <c r="F48" s="1">
        <v>9976</v>
      </c>
      <c r="G48" s="1">
        <v>12</v>
      </c>
      <c r="H48" s="2">
        <v>46200</v>
      </c>
      <c r="I48" s="2">
        <v>46209</v>
      </c>
      <c r="J48" s="1" t="s">
        <v>15</v>
      </c>
      <c r="K48" s="1">
        <v>1047</v>
      </c>
      <c r="L48" s="1" t="str">
        <f t="shared" si="0"/>
        <v>ELIGIBLE</v>
      </c>
    </row>
    <row r="49" spans="1:12" x14ac:dyDescent="0.3">
      <c r="A49" s="1" t="s">
        <v>59</v>
      </c>
      <c r="B49" s="1" t="s">
        <v>25</v>
      </c>
      <c r="C49" s="1" t="s">
        <v>34</v>
      </c>
      <c r="D49" s="1" t="s">
        <v>60</v>
      </c>
      <c r="E49" s="1">
        <v>14</v>
      </c>
      <c r="F49" s="1">
        <v>11762</v>
      </c>
      <c r="G49" s="1">
        <v>7</v>
      </c>
      <c r="H49" s="2">
        <v>46180</v>
      </c>
      <c r="I49" s="2">
        <v>46186</v>
      </c>
      <c r="J49" s="1" t="s">
        <v>24</v>
      </c>
      <c r="K49" s="1">
        <v>1048</v>
      </c>
      <c r="L49" s="1" t="str">
        <f t="shared" si="0"/>
        <v>ELIGIBLE</v>
      </c>
    </row>
    <row r="50" spans="1:12" x14ac:dyDescent="0.3">
      <c r="A50" s="1" t="s">
        <v>52</v>
      </c>
      <c r="B50" s="1" t="s">
        <v>25</v>
      </c>
      <c r="C50" s="1" t="s">
        <v>34</v>
      </c>
      <c r="D50" s="1" t="s">
        <v>45</v>
      </c>
      <c r="E50" s="1">
        <v>2</v>
      </c>
      <c r="F50" s="1">
        <v>40789</v>
      </c>
      <c r="G50" s="1">
        <v>0</v>
      </c>
      <c r="H50" s="2">
        <v>46102</v>
      </c>
      <c r="I50" s="2">
        <v>46108</v>
      </c>
      <c r="J50" s="1" t="s">
        <v>24</v>
      </c>
      <c r="K50" s="1">
        <v>1049</v>
      </c>
      <c r="L50" s="1" t="str">
        <f t="shared" si="0"/>
        <v>ELIGIBLE</v>
      </c>
    </row>
    <row r="51" spans="1:12" x14ac:dyDescent="0.3">
      <c r="A51" s="1" t="s">
        <v>32</v>
      </c>
      <c r="B51" s="1" t="s">
        <v>25</v>
      </c>
      <c r="C51" s="1" t="s">
        <v>13</v>
      </c>
      <c r="D51" s="1" t="s">
        <v>53</v>
      </c>
      <c r="E51" s="1">
        <v>12</v>
      </c>
      <c r="F51" s="1">
        <v>360</v>
      </c>
      <c r="G51" s="1">
        <v>5</v>
      </c>
      <c r="H51" s="2">
        <v>46127</v>
      </c>
      <c r="I51" s="2">
        <v>46137</v>
      </c>
      <c r="J51" s="1" t="s">
        <v>29</v>
      </c>
      <c r="K51" s="1">
        <v>1050</v>
      </c>
      <c r="L51" s="1" t="str">
        <f t="shared" si="0"/>
        <v>ELIGIBLE</v>
      </c>
    </row>
    <row r="52" spans="1:12" x14ac:dyDescent="0.3">
      <c r="A52" s="1" t="s">
        <v>58</v>
      </c>
      <c r="B52" s="1" t="s">
        <v>17</v>
      </c>
      <c r="C52" s="1" t="s">
        <v>13</v>
      </c>
      <c r="D52" s="1" t="s">
        <v>36</v>
      </c>
      <c r="E52" s="1">
        <v>12</v>
      </c>
      <c r="F52" s="1">
        <v>47</v>
      </c>
      <c r="G52" s="1">
        <v>2</v>
      </c>
      <c r="H52" s="2">
        <v>46037</v>
      </c>
      <c r="I52" s="2">
        <v>46045</v>
      </c>
      <c r="J52" s="1" t="s">
        <v>15</v>
      </c>
      <c r="K52" s="1">
        <v>1051</v>
      </c>
      <c r="L52" s="1" t="str">
        <f t="shared" si="0"/>
        <v>ELIGIBLE</v>
      </c>
    </row>
    <row r="53" spans="1:12" x14ac:dyDescent="0.3">
      <c r="A53" s="1" t="s">
        <v>55</v>
      </c>
      <c r="B53" s="1" t="s">
        <v>12</v>
      </c>
      <c r="C53" s="1" t="s">
        <v>13</v>
      </c>
      <c r="D53" s="1" t="s">
        <v>14</v>
      </c>
      <c r="E53" s="1">
        <v>17</v>
      </c>
      <c r="F53" s="1">
        <v>172</v>
      </c>
      <c r="G53" s="1">
        <v>10</v>
      </c>
      <c r="H53" s="2">
        <v>46159</v>
      </c>
      <c r="I53" s="2">
        <v>46165</v>
      </c>
      <c r="J53" s="1" t="s">
        <v>20</v>
      </c>
      <c r="K53" s="1">
        <v>1052</v>
      </c>
      <c r="L53" s="1" t="str">
        <f t="shared" si="0"/>
        <v>ELIGIBLE</v>
      </c>
    </row>
    <row r="54" spans="1:12" x14ac:dyDescent="0.3">
      <c r="A54" s="1" t="s">
        <v>16</v>
      </c>
      <c r="B54" s="1" t="s">
        <v>33</v>
      </c>
      <c r="C54" s="1" t="s">
        <v>18</v>
      </c>
      <c r="D54" s="1" t="s">
        <v>28</v>
      </c>
      <c r="E54" s="1">
        <v>1</v>
      </c>
      <c r="F54" s="1">
        <v>9749</v>
      </c>
      <c r="G54" s="1">
        <v>15</v>
      </c>
      <c r="H54" s="2">
        <v>46064</v>
      </c>
      <c r="I54" s="2">
        <v>46070</v>
      </c>
      <c r="J54" s="1" t="s">
        <v>24</v>
      </c>
      <c r="K54" s="1">
        <v>1053</v>
      </c>
      <c r="L54" s="1" t="str">
        <f t="shared" si="0"/>
        <v>ELIGIBLE</v>
      </c>
    </row>
    <row r="55" spans="1:12" x14ac:dyDescent="0.3">
      <c r="A55" s="1" t="s">
        <v>26</v>
      </c>
      <c r="B55" s="1" t="s">
        <v>25</v>
      </c>
      <c r="C55" s="1" t="s">
        <v>18</v>
      </c>
      <c r="D55" s="1" t="s">
        <v>23</v>
      </c>
      <c r="E55" s="1">
        <v>8</v>
      </c>
      <c r="F55" s="1">
        <v>9798</v>
      </c>
      <c r="G55" s="1">
        <v>12</v>
      </c>
      <c r="H55" s="2">
        <v>46200</v>
      </c>
      <c r="I55" s="2">
        <v>46201</v>
      </c>
      <c r="J55" s="1" t="s">
        <v>51</v>
      </c>
      <c r="K55" s="1">
        <v>1054</v>
      </c>
      <c r="L55" s="1" t="str">
        <f t="shared" si="0"/>
        <v>ELIGIBLE</v>
      </c>
    </row>
    <row r="56" spans="1:12" x14ac:dyDescent="0.3">
      <c r="A56" s="1" t="s">
        <v>48</v>
      </c>
      <c r="B56" s="1" t="s">
        <v>12</v>
      </c>
      <c r="C56" s="1" t="s">
        <v>13</v>
      </c>
      <c r="D56" s="1" t="s">
        <v>37</v>
      </c>
      <c r="E56" s="1">
        <v>18</v>
      </c>
      <c r="F56" s="1">
        <v>185</v>
      </c>
      <c r="G56" s="1">
        <v>15</v>
      </c>
      <c r="H56" s="2">
        <v>46077</v>
      </c>
      <c r="I56" s="2">
        <v>46078</v>
      </c>
      <c r="J56" s="1" t="s">
        <v>15</v>
      </c>
      <c r="K56" s="1">
        <v>1055</v>
      </c>
      <c r="L56" s="1" t="str">
        <f t="shared" si="0"/>
        <v>ELIGIBLE</v>
      </c>
    </row>
    <row r="57" spans="1:12" x14ac:dyDescent="0.3">
      <c r="A57" s="1" t="s">
        <v>11</v>
      </c>
      <c r="B57" s="1" t="s">
        <v>22</v>
      </c>
      <c r="C57" s="1" t="s">
        <v>18</v>
      </c>
      <c r="D57" s="1" t="s">
        <v>19</v>
      </c>
      <c r="E57" s="1">
        <v>3</v>
      </c>
      <c r="F57" s="1">
        <v>9771</v>
      </c>
      <c r="G57" s="1">
        <v>5</v>
      </c>
      <c r="H57" s="2">
        <v>46133</v>
      </c>
      <c r="I57" s="2">
        <v>46139</v>
      </c>
      <c r="J57" s="1" t="s">
        <v>24</v>
      </c>
      <c r="K57" s="1">
        <v>1056</v>
      </c>
      <c r="L57" s="1" t="str">
        <f t="shared" si="0"/>
        <v>ELIGIBLE</v>
      </c>
    </row>
    <row r="58" spans="1:12" x14ac:dyDescent="0.3">
      <c r="A58" s="1" t="s">
        <v>59</v>
      </c>
      <c r="B58" s="1" t="s">
        <v>22</v>
      </c>
      <c r="C58" s="1" t="s">
        <v>18</v>
      </c>
      <c r="D58" s="1" t="s">
        <v>28</v>
      </c>
      <c r="E58" s="1">
        <v>2</v>
      </c>
      <c r="F58" s="1">
        <v>9531</v>
      </c>
      <c r="G58" s="1">
        <v>15</v>
      </c>
      <c r="H58" s="2">
        <v>46067</v>
      </c>
      <c r="I58" s="2">
        <v>46076</v>
      </c>
      <c r="J58" s="1" t="s">
        <v>51</v>
      </c>
      <c r="K58" s="1">
        <v>1057</v>
      </c>
      <c r="L58" s="1" t="str">
        <f t="shared" si="0"/>
        <v>ELIGIBLE</v>
      </c>
    </row>
    <row r="59" spans="1:12" x14ac:dyDescent="0.3">
      <c r="A59" s="1" t="s">
        <v>52</v>
      </c>
      <c r="B59" s="1" t="s">
        <v>38</v>
      </c>
      <c r="C59" s="1" t="s">
        <v>18</v>
      </c>
      <c r="D59" s="1" t="s">
        <v>28</v>
      </c>
      <c r="E59" s="1">
        <v>10</v>
      </c>
      <c r="F59" s="1">
        <v>5532</v>
      </c>
      <c r="G59" s="1">
        <v>7</v>
      </c>
      <c r="H59" s="2">
        <v>46074</v>
      </c>
      <c r="I59" s="2">
        <v>46084</v>
      </c>
      <c r="J59" s="1" t="s">
        <v>24</v>
      </c>
      <c r="K59" s="1">
        <v>1058</v>
      </c>
      <c r="L59" s="1" t="str">
        <f t="shared" si="0"/>
        <v>ELIGIBLE</v>
      </c>
    </row>
    <row r="60" spans="1:12" x14ac:dyDescent="0.3">
      <c r="A60" s="1" t="s">
        <v>54</v>
      </c>
      <c r="B60" s="1" t="s">
        <v>25</v>
      </c>
      <c r="C60" s="1" t="s">
        <v>13</v>
      </c>
      <c r="D60" s="1" t="s">
        <v>50</v>
      </c>
      <c r="E60" s="1">
        <v>20</v>
      </c>
      <c r="F60" s="1">
        <v>112</v>
      </c>
      <c r="G60" s="1">
        <v>10</v>
      </c>
      <c r="H60" s="2">
        <v>46113</v>
      </c>
      <c r="I60" s="2">
        <v>46122</v>
      </c>
      <c r="J60" s="1" t="s">
        <v>51</v>
      </c>
      <c r="K60" s="1">
        <v>1059</v>
      </c>
      <c r="L60" s="1" t="str">
        <f t="shared" si="0"/>
        <v>ELIGIBLE</v>
      </c>
    </row>
    <row r="61" spans="1:12" x14ac:dyDescent="0.3">
      <c r="A61" s="1" t="s">
        <v>49</v>
      </c>
      <c r="B61" s="1" t="s">
        <v>12</v>
      </c>
      <c r="C61" s="1" t="s">
        <v>18</v>
      </c>
      <c r="D61" s="1" t="s">
        <v>44</v>
      </c>
      <c r="E61" s="1">
        <v>9</v>
      </c>
      <c r="F61" s="1">
        <v>9727</v>
      </c>
      <c r="G61" s="1">
        <v>2</v>
      </c>
      <c r="H61" s="2">
        <v>46024</v>
      </c>
      <c r="I61" s="2">
        <v>46030</v>
      </c>
      <c r="J61" s="1" t="s">
        <v>20</v>
      </c>
      <c r="K61" s="1">
        <v>1060</v>
      </c>
      <c r="L61" s="1" t="str">
        <f t="shared" si="0"/>
        <v>ELIGIBLE</v>
      </c>
    </row>
    <row r="62" spans="1:12" x14ac:dyDescent="0.3">
      <c r="A62" s="1" t="s">
        <v>57</v>
      </c>
      <c r="B62" s="1" t="s">
        <v>12</v>
      </c>
      <c r="C62" s="1" t="s">
        <v>34</v>
      </c>
      <c r="D62" s="1" t="s">
        <v>41</v>
      </c>
      <c r="E62" s="1">
        <v>16</v>
      </c>
      <c r="F62" s="1">
        <v>59084</v>
      </c>
      <c r="G62" s="1">
        <v>0</v>
      </c>
      <c r="H62" s="2">
        <v>46060</v>
      </c>
      <c r="I62" s="2">
        <v>46069</v>
      </c>
      <c r="J62" s="1" t="s">
        <v>20</v>
      </c>
      <c r="K62" s="1">
        <v>1061</v>
      </c>
      <c r="L62" s="1" t="str">
        <f t="shared" si="0"/>
        <v>ELIGIBLE</v>
      </c>
    </row>
    <row r="63" spans="1:12" x14ac:dyDescent="0.3">
      <c r="A63" s="1" t="s">
        <v>40</v>
      </c>
      <c r="B63" s="1" t="s">
        <v>43</v>
      </c>
      <c r="C63" s="1" t="s">
        <v>18</v>
      </c>
      <c r="D63" s="1" t="s">
        <v>23</v>
      </c>
      <c r="E63" s="1">
        <v>8</v>
      </c>
      <c r="F63" s="1">
        <v>8360</v>
      </c>
      <c r="G63" s="1">
        <v>2</v>
      </c>
      <c r="H63" s="2">
        <v>46190</v>
      </c>
      <c r="I63" s="2">
        <v>46200</v>
      </c>
      <c r="J63" s="1" t="s">
        <v>51</v>
      </c>
      <c r="K63" s="1">
        <v>1062</v>
      </c>
      <c r="L63" s="1" t="str">
        <f t="shared" si="0"/>
        <v>ELIGIBLE</v>
      </c>
    </row>
    <row r="64" spans="1:12" x14ac:dyDescent="0.3">
      <c r="A64" s="1" t="s">
        <v>54</v>
      </c>
      <c r="B64" s="1" t="s">
        <v>22</v>
      </c>
      <c r="C64" s="1" t="s">
        <v>34</v>
      </c>
      <c r="D64" s="1" t="s">
        <v>45</v>
      </c>
      <c r="E64" s="1">
        <v>7</v>
      </c>
      <c r="F64" s="1">
        <v>66744</v>
      </c>
      <c r="G64" s="1">
        <v>7</v>
      </c>
      <c r="H64" s="2">
        <v>46148</v>
      </c>
      <c r="I64" s="2">
        <v>46155</v>
      </c>
      <c r="J64" s="1" t="s">
        <v>15</v>
      </c>
      <c r="K64" s="1">
        <v>1063</v>
      </c>
      <c r="L64" s="1" t="str">
        <f t="shared" si="0"/>
        <v>ELIGIBLE</v>
      </c>
    </row>
    <row r="65" spans="1:12" x14ac:dyDescent="0.3">
      <c r="A65" s="1" t="s">
        <v>26</v>
      </c>
      <c r="B65" s="1" t="s">
        <v>17</v>
      </c>
      <c r="C65" s="1" t="s">
        <v>13</v>
      </c>
      <c r="D65" s="1" t="s">
        <v>50</v>
      </c>
      <c r="E65" s="1">
        <v>20</v>
      </c>
      <c r="F65" s="1">
        <v>191</v>
      </c>
      <c r="G65" s="1">
        <v>7</v>
      </c>
      <c r="H65" s="2">
        <v>46185</v>
      </c>
      <c r="I65" s="2">
        <v>46195</v>
      </c>
      <c r="J65" s="1" t="s">
        <v>29</v>
      </c>
      <c r="K65" s="1">
        <v>1064</v>
      </c>
      <c r="L65" s="1" t="str">
        <f t="shared" si="0"/>
        <v>ELIGIBLE</v>
      </c>
    </row>
    <row r="66" spans="1:12" x14ac:dyDescent="0.3">
      <c r="A66" s="1" t="s">
        <v>42</v>
      </c>
      <c r="B66" s="1" t="s">
        <v>43</v>
      </c>
      <c r="C66" s="1" t="s">
        <v>18</v>
      </c>
      <c r="D66" s="1" t="s">
        <v>44</v>
      </c>
      <c r="E66" s="1">
        <v>1</v>
      </c>
      <c r="F66" s="1">
        <v>7730</v>
      </c>
      <c r="G66" s="1">
        <v>5</v>
      </c>
      <c r="H66" s="2">
        <v>46192</v>
      </c>
      <c r="I66" s="2">
        <v>46195</v>
      </c>
      <c r="J66" s="1" t="s">
        <v>51</v>
      </c>
      <c r="K66" s="1">
        <v>1065</v>
      </c>
      <c r="L66" s="1" t="str">
        <f t="shared" si="0"/>
        <v>ELIGIBLE</v>
      </c>
    </row>
    <row r="67" spans="1:12" x14ac:dyDescent="0.3">
      <c r="A67" s="1" t="s">
        <v>47</v>
      </c>
      <c r="B67" s="1" t="s">
        <v>25</v>
      </c>
      <c r="C67" s="1" t="s">
        <v>18</v>
      </c>
      <c r="D67" s="1" t="s">
        <v>44</v>
      </c>
      <c r="E67" s="1">
        <v>15</v>
      </c>
      <c r="F67" s="1">
        <v>11987</v>
      </c>
      <c r="G67" s="1">
        <v>5</v>
      </c>
      <c r="H67" s="2">
        <v>46082</v>
      </c>
      <c r="I67" s="2">
        <v>46083</v>
      </c>
      <c r="J67" s="1" t="s">
        <v>15</v>
      </c>
      <c r="K67" s="1">
        <v>1066</v>
      </c>
      <c r="L67" s="1" t="str">
        <f t="shared" si="0"/>
        <v>ELIGIBLE</v>
      </c>
    </row>
    <row r="68" spans="1:12" x14ac:dyDescent="0.3">
      <c r="A68" s="1" t="s">
        <v>32</v>
      </c>
      <c r="B68" s="1" t="s">
        <v>43</v>
      </c>
      <c r="C68" s="1" t="s">
        <v>18</v>
      </c>
      <c r="D68" s="1" t="s">
        <v>56</v>
      </c>
      <c r="E68" s="1">
        <v>14</v>
      </c>
      <c r="F68" s="1">
        <v>10869</v>
      </c>
      <c r="G68" s="1">
        <v>0</v>
      </c>
      <c r="H68" s="2">
        <v>46058</v>
      </c>
      <c r="I68" s="2">
        <v>46062</v>
      </c>
      <c r="J68" s="1" t="s">
        <v>29</v>
      </c>
      <c r="K68" s="1">
        <v>1067</v>
      </c>
      <c r="L68" s="1" t="str">
        <f t="shared" si="0"/>
        <v>ELIGIBLE</v>
      </c>
    </row>
    <row r="69" spans="1:12" x14ac:dyDescent="0.3">
      <c r="A69" s="1" t="s">
        <v>52</v>
      </c>
      <c r="B69" s="1" t="s">
        <v>43</v>
      </c>
      <c r="C69" s="1" t="s">
        <v>34</v>
      </c>
      <c r="D69" s="1" t="s">
        <v>60</v>
      </c>
      <c r="E69" s="1">
        <v>15</v>
      </c>
      <c r="F69" s="1">
        <v>14534</v>
      </c>
      <c r="G69" s="1">
        <v>5</v>
      </c>
      <c r="H69" s="2">
        <v>46196</v>
      </c>
      <c r="I69" s="2">
        <v>46199</v>
      </c>
      <c r="J69" s="1" t="s">
        <v>29</v>
      </c>
      <c r="K69" s="1">
        <v>1068</v>
      </c>
      <c r="L69" s="1" t="str">
        <f t="shared" si="0"/>
        <v>ELIGIBLE</v>
      </c>
    </row>
    <row r="70" spans="1:12" x14ac:dyDescent="0.3">
      <c r="A70" s="1" t="s">
        <v>52</v>
      </c>
      <c r="B70" s="1" t="s">
        <v>31</v>
      </c>
      <c r="C70" s="1" t="s">
        <v>18</v>
      </c>
      <c r="D70" s="1" t="s">
        <v>28</v>
      </c>
      <c r="E70" s="1">
        <v>9</v>
      </c>
      <c r="F70" s="1">
        <v>4415</v>
      </c>
      <c r="G70" s="1">
        <v>5</v>
      </c>
      <c r="H70" s="2">
        <v>46039</v>
      </c>
      <c r="I70" s="2">
        <v>46046</v>
      </c>
      <c r="J70" s="1" t="s">
        <v>15</v>
      </c>
      <c r="K70" s="1">
        <v>1069</v>
      </c>
      <c r="L70" s="1" t="str">
        <f t="shared" si="0"/>
        <v>ELIGIBLE</v>
      </c>
    </row>
    <row r="71" spans="1:12" x14ac:dyDescent="0.3">
      <c r="A71" s="1" t="s">
        <v>52</v>
      </c>
      <c r="B71" s="1" t="s">
        <v>43</v>
      </c>
      <c r="C71" s="1" t="s">
        <v>13</v>
      </c>
      <c r="D71" s="1" t="s">
        <v>36</v>
      </c>
      <c r="E71" s="1">
        <v>10</v>
      </c>
      <c r="F71" s="1">
        <v>233</v>
      </c>
      <c r="G71" s="1">
        <v>7</v>
      </c>
      <c r="H71" s="2">
        <v>46076</v>
      </c>
      <c r="I71" s="2">
        <v>46077</v>
      </c>
      <c r="J71" s="1" t="s">
        <v>29</v>
      </c>
      <c r="K71" s="1">
        <v>1070</v>
      </c>
      <c r="L71" s="1" t="str">
        <f t="shared" si="0"/>
        <v>ELIGIBLE</v>
      </c>
    </row>
    <row r="72" spans="1:12" x14ac:dyDescent="0.3">
      <c r="A72" s="1" t="s">
        <v>59</v>
      </c>
      <c r="B72" s="1" t="s">
        <v>22</v>
      </c>
      <c r="C72" s="1" t="s">
        <v>34</v>
      </c>
      <c r="D72" s="1" t="s">
        <v>61</v>
      </c>
      <c r="E72" s="1">
        <v>18</v>
      </c>
      <c r="F72" s="1">
        <v>32197</v>
      </c>
      <c r="G72" s="1">
        <v>5</v>
      </c>
      <c r="H72" s="2">
        <v>46129</v>
      </c>
      <c r="I72" s="2">
        <v>46137</v>
      </c>
      <c r="J72" s="1" t="s">
        <v>20</v>
      </c>
      <c r="K72" s="1">
        <v>1071</v>
      </c>
      <c r="L72" s="1" t="str">
        <f t="shared" si="0"/>
        <v>ELIGIBLE</v>
      </c>
    </row>
    <row r="73" spans="1:12" x14ac:dyDescent="0.3">
      <c r="A73" s="1" t="s">
        <v>16</v>
      </c>
      <c r="B73" s="1" t="s">
        <v>25</v>
      </c>
      <c r="C73" s="1" t="s">
        <v>34</v>
      </c>
      <c r="D73" s="1" t="s">
        <v>61</v>
      </c>
      <c r="E73" s="1">
        <v>20</v>
      </c>
      <c r="F73" s="1">
        <v>58779</v>
      </c>
      <c r="G73" s="1">
        <v>0</v>
      </c>
      <c r="H73" s="2">
        <v>46035</v>
      </c>
      <c r="I73" s="2">
        <v>46036</v>
      </c>
      <c r="J73" s="1" t="s">
        <v>24</v>
      </c>
      <c r="K73" s="1">
        <v>1072</v>
      </c>
      <c r="L73" s="1" t="str">
        <f t="shared" si="0"/>
        <v>ELIGIBLE</v>
      </c>
    </row>
    <row r="74" spans="1:12" x14ac:dyDescent="0.3">
      <c r="A74" s="1" t="s">
        <v>58</v>
      </c>
      <c r="B74" s="1" t="s">
        <v>17</v>
      </c>
      <c r="C74" s="1" t="s">
        <v>18</v>
      </c>
      <c r="D74" s="1" t="s">
        <v>56</v>
      </c>
      <c r="E74" s="1">
        <v>4</v>
      </c>
      <c r="F74" s="1">
        <v>2453</v>
      </c>
      <c r="G74" s="1">
        <v>7</v>
      </c>
      <c r="H74" s="2">
        <v>46126</v>
      </c>
      <c r="I74" s="2">
        <v>46129</v>
      </c>
      <c r="J74" s="1" t="s">
        <v>51</v>
      </c>
      <c r="K74" s="1">
        <v>1073</v>
      </c>
      <c r="L74" s="1" t="str">
        <f t="shared" si="0"/>
        <v>ELIGIBLE</v>
      </c>
    </row>
    <row r="75" spans="1:12" x14ac:dyDescent="0.3">
      <c r="A75" s="1" t="s">
        <v>26</v>
      </c>
      <c r="B75" s="1" t="s">
        <v>31</v>
      </c>
      <c r="C75" s="1" t="s">
        <v>13</v>
      </c>
      <c r="D75" s="1" t="s">
        <v>50</v>
      </c>
      <c r="E75" s="1">
        <v>11</v>
      </c>
      <c r="F75" s="1">
        <v>390</v>
      </c>
      <c r="G75" s="1">
        <v>15</v>
      </c>
      <c r="H75" s="2">
        <v>46114</v>
      </c>
      <c r="I75" s="2">
        <v>46123</v>
      </c>
      <c r="J75" s="1" t="s">
        <v>29</v>
      </c>
      <c r="K75" s="1">
        <v>1074</v>
      </c>
      <c r="L75" s="1" t="str">
        <f t="shared" si="0"/>
        <v>ELIGIBLE</v>
      </c>
    </row>
    <row r="76" spans="1:12" x14ac:dyDescent="0.3">
      <c r="A76" s="1" t="s">
        <v>42</v>
      </c>
      <c r="B76" s="1" t="s">
        <v>43</v>
      </c>
      <c r="C76" s="1" t="s">
        <v>34</v>
      </c>
      <c r="D76" s="1" t="s">
        <v>61</v>
      </c>
      <c r="E76" s="1">
        <v>4</v>
      </c>
      <c r="F76" s="1">
        <v>64773</v>
      </c>
      <c r="G76" s="1">
        <v>10</v>
      </c>
      <c r="H76" s="2">
        <v>46185</v>
      </c>
      <c r="I76" s="2">
        <v>46186</v>
      </c>
      <c r="J76" s="1" t="s">
        <v>51</v>
      </c>
      <c r="K76" s="1">
        <v>1075</v>
      </c>
      <c r="L76" s="1" t="str">
        <f t="shared" si="0"/>
        <v>NOT ELIGIBLE</v>
      </c>
    </row>
    <row r="77" spans="1:12" x14ac:dyDescent="0.3">
      <c r="A77" s="1" t="s">
        <v>29</v>
      </c>
      <c r="B77" s="1" t="s">
        <v>17</v>
      </c>
      <c r="C77" s="1" t="s">
        <v>34</v>
      </c>
      <c r="D77" s="1" t="s">
        <v>35</v>
      </c>
      <c r="E77" s="1">
        <v>19</v>
      </c>
      <c r="F77" s="1">
        <v>26714</v>
      </c>
      <c r="G77" s="1">
        <v>5</v>
      </c>
      <c r="H77" s="2">
        <v>46045</v>
      </c>
      <c r="I77" s="2">
        <v>46055</v>
      </c>
      <c r="J77" s="1" t="s">
        <v>29</v>
      </c>
      <c r="K77" s="1">
        <v>1076</v>
      </c>
      <c r="L77" s="1" t="str">
        <f t="shared" si="0"/>
        <v>ELIGIBLE</v>
      </c>
    </row>
    <row r="78" spans="1:12" x14ac:dyDescent="0.3">
      <c r="A78" s="1" t="s">
        <v>55</v>
      </c>
      <c r="B78" s="1" t="s">
        <v>25</v>
      </c>
      <c r="C78" s="1" t="s">
        <v>13</v>
      </c>
      <c r="D78" s="1" t="s">
        <v>14</v>
      </c>
      <c r="E78" s="1">
        <v>1</v>
      </c>
      <c r="F78" s="1">
        <v>123</v>
      </c>
      <c r="G78" s="1">
        <v>10</v>
      </c>
      <c r="H78" s="2">
        <v>46113</v>
      </c>
      <c r="I78" s="2">
        <v>46121</v>
      </c>
      <c r="J78" s="1" t="s">
        <v>51</v>
      </c>
      <c r="K78" s="1">
        <v>1077</v>
      </c>
      <c r="L78" s="1" t="str">
        <f t="shared" si="0"/>
        <v>ELIGIBLE</v>
      </c>
    </row>
    <row r="79" spans="1:12" x14ac:dyDescent="0.3">
      <c r="A79" s="1" t="s">
        <v>52</v>
      </c>
      <c r="B79" s="1" t="s">
        <v>17</v>
      </c>
      <c r="C79" s="1" t="s">
        <v>34</v>
      </c>
      <c r="D79" s="1" t="s">
        <v>39</v>
      </c>
      <c r="E79" s="1">
        <v>11</v>
      </c>
      <c r="F79" s="1">
        <v>24278</v>
      </c>
      <c r="G79" s="1">
        <v>12</v>
      </c>
      <c r="H79" s="2">
        <v>46084</v>
      </c>
      <c r="I79" s="2">
        <v>46090</v>
      </c>
      <c r="J79" s="1" t="s">
        <v>29</v>
      </c>
      <c r="K79" s="1">
        <v>1078</v>
      </c>
      <c r="L79" s="1" t="str">
        <f t="shared" si="0"/>
        <v>NOT ELIGIBLE</v>
      </c>
    </row>
    <row r="80" spans="1:12" x14ac:dyDescent="0.3">
      <c r="A80" s="1" t="s">
        <v>26</v>
      </c>
      <c r="B80" s="1" t="s">
        <v>38</v>
      </c>
      <c r="C80" s="1" t="s">
        <v>34</v>
      </c>
      <c r="D80" s="1" t="s">
        <v>41</v>
      </c>
      <c r="E80" s="1">
        <v>19</v>
      </c>
      <c r="F80" s="1">
        <v>48956</v>
      </c>
      <c r="G80" s="1">
        <v>12</v>
      </c>
      <c r="H80" s="2">
        <v>46170</v>
      </c>
      <c r="I80" s="2">
        <v>46177</v>
      </c>
      <c r="J80" s="1" t="s">
        <v>51</v>
      </c>
      <c r="K80" s="1">
        <v>1079</v>
      </c>
      <c r="L80" s="1" t="str">
        <f t="shared" si="0"/>
        <v>NOT ELIGIBLE</v>
      </c>
    </row>
    <row r="81" spans="1:12" x14ac:dyDescent="0.3">
      <c r="A81" s="1" t="s">
        <v>21</v>
      </c>
      <c r="B81" s="1" t="s">
        <v>22</v>
      </c>
      <c r="C81" s="1" t="s">
        <v>34</v>
      </c>
      <c r="D81" s="1" t="s">
        <v>41</v>
      </c>
      <c r="E81" s="1">
        <v>12</v>
      </c>
      <c r="F81" s="1">
        <v>54161</v>
      </c>
      <c r="G81" s="1">
        <v>15</v>
      </c>
      <c r="H81" s="2">
        <v>46133</v>
      </c>
      <c r="I81" s="2">
        <v>46143</v>
      </c>
      <c r="J81" s="1" t="s">
        <v>24</v>
      </c>
      <c r="K81" s="1">
        <v>1080</v>
      </c>
      <c r="L81" s="1" t="str">
        <f t="shared" si="0"/>
        <v>NOT ELIGIBLE</v>
      </c>
    </row>
    <row r="82" spans="1:12" x14ac:dyDescent="0.3">
      <c r="A82" s="1" t="s">
        <v>47</v>
      </c>
      <c r="B82" s="1" t="s">
        <v>12</v>
      </c>
      <c r="C82" s="1" t="s">
        <v>34</v>
      </c>
      <c r="D82" s="1" t="s">
        <v>35</v>
      </c>
      <c r="E82" s="1">
        <v>15</v>
      </c>
      <c r="F82" s="1">
        <v>59912</v>
      </c>
      <c r="G82" s="1">
        <v>7</v>
      </c>
      <c r="H82" s="2">
        <v>46058</v>
      </c>
      <c r="I82" s="2">
        <v>46060</v>
      </c>
      <c r="J82" s="1" t="s">
        <v>51</v>
      </c>
      <c r="K82" s="1">
        <v>1081</v>
      </c>
      <c r="L82" s="1" t="str">
        <f t="shared" si="0"/>
        <v>ELIGIBLE</v>
      </c>
    </row>
    <row r="83" spans="1:12" x14ac:dyDescent="0.3">
      <c r="A83" s="1" t="s">
        <v>21</v>
      </c>
      <c r="B83" s="1" t="s">
        <v>12</v>
      </c>
      <c r="C83" s="1" t="s">
        <v>13</v>
      </c>
      <c r="D83" s="1" t="s">
        <v>14</v>
      </c>
      <c r="E83" s="1">
        <v>7</v>
      </c>
      <c r="F83" s="1">
        <v>133</v>
      </c>
      <c r="G83" s="1">
        <v>10</v>
      </c>
      <c r="H83" s="2">
        <v>46075</v>
      </c>
      <c r="I83" s="2">
        <v>46085</v>
      </c>
      <c r="J83" s="1" t="s">
        <v>51</v>
      </c>
      <c r="K83" s="1">
        <v>1082</v>
      </c>
      <c r="L83" s="1" t="str">
        <f t="shared" si="0"/>
        <v>ELIGIBLE</v>
      </c>
    </row>
    <row r="84" spans="1:12" x14ac:dyDescent="0.3">
      <c r="A84" s="1" t="s">
        <v>55</v>
      </c>
      <c r="B84" s="1" t="s">
        <v>33</v>
      </c>
      <c r="C84" s="1" t="s">
        <v>13</v>
      </c>
      <c r="D84" s="1" t="s">
        <v>53</v>
      </c>
      <c r="E84" s="1">
        <v>4</v>
      </c>
      <c r="F84" s="1">
        <v>397</v>
      </c>
      <c r="G84" s="1">
        <v>7</v>
      </c>
      <c r="H84" s="2">
        <v>46185</v>
      </c>
      <c r="I84" s="2">
        <v>46193</v>
      </c>
      <c r="J84" s="1" t="s">
        <v>15</v>
      </c>
      <c r="K84" s="1">
        <v>1083</v>
      </c>
      <c r="L84" s="1" t="str">
        <f t="shared" si="0"/>
        <v>ELIGIBLE</v>
      </c>
    </row>
    <row r="85" spans="1:12" x14ac:dyDescent="0.3">
      <c r="A85" s="1" t="s">
        <v>49</v>
      </c>
      <c r="B85" s="1" t="s">
        <v>31</v>
      </c>
      <c r="C85" s="1" t="s">
        <v>18</v>
      </c>
      <c r="D85" s="1" t="s">
        <v>28</v>
      </c>
      <c r="E85" s="1">
        <v>4</v>
      </c>
      <c r="F85" s="1">
        <v>6901</v>
      </c>
      <c r="G85" s="1">
        <v>10</v>
      </c>
      <c r="H85" s="2">
        <v>46047</v>
      </c>
      <c r="I85" s="2">
        <v>46057</v>
      </c>
      <c r="J85" s="1" t="s">
        <v>20</v>
      </c>
      <c r="K85" s="1">
        <v>1084</v>
      </c>
      <c r="L85" s="1" t="str">
        <f t="shared" si="0"/>
        <v>ELIGIBLE</v>
      </c>
    </row>
    <row r="86" spans="1:12" x14ac:dyDescent="0.3">
      <c r="A86" s="1" t="s">
        <v>32</v>
      </c>
      <c r="B86" s="1" t="s">
        <v>38</v>
      </c>
      <c r="C86" s="1" t="s">
        <v>34</v>
      </c>
      <c r="D86" s="1" t="s">
        <v>60</v>
      </c>
      <c r="E86" s="1">
        <v>19</v>
      </c>
      <c r="F86" s="1">
        <v>45307</v>
      </c>
      <c r="G86" s="1">
        <v>12</v>
      </c>
      <c r="H86" s="2">
        <v>46146</v>
      </c>
      <c r="I86" s="2">
        <v>46150</v>
      </c>
      <c r="J86" s="1" t="s">
        <v>24</v>
      </c>
      <c r="K86" s="1">
        <v>1085</v>
      </c>
      <c r="L86" s="1" t="str">
        <f t="shared" si="0"/>
        <v>NOT ELIGIBLE</v>
      </c>
    </row>
    <row r="87" spans="1:12" x14ac:dyDescent="0.3">
      <c r="A87" s="1" t="s">
        <v>32</v>
      </c>
      <c r="B87" s="1" t="s">
        <v>12</v>
      </c>
      <c r="C87" s="1" t="s">
        <v>13</v>
      </c>
      <c r="D87" s="1" t="s">
        <v>53</v>
      </c>
      <c r="E87" s="1">
        <v>15</v>
      </c>
      <c r="F87" s="1">
        <v>40</v>
      </c>
      <c r="G87" s="1">
        <v>10</v>
      </c>
      <c r="H87" s="2">
        <v>46045</v>
      </c>
      <c r="I87" s="2">
        <v>46049</v>
      </c>
      <c r="J87" s="1" t="s">
        <v>24</v>
      </c>
      <c r="K87" s="1">
        <v>1086</v>
      </c>
      <c r="L87" s="1" t="str">
        <f t="shared" si="0"/>
        <v>ELIGIBLE</v>
      </c>
    </row>
    <row r="88" spans="1:12" x14ac:dyDescent="0.3">
      <c r="A88" s="1" t="s">
        <v>11</v>
      </c>
      <c r="B88" s="1" t="s">
        <v>31</v>
      </c>
      <c r="C88" s="1" t="s">
        <v>13</v>
      </c>
      <c r="D88" s="1" t="s">
        <v>37</v>
      </c>
      <c r="E88" s="1">
        <v>13</v>
      </c>
      <c r="F88" s="1">
        <v>387</v>
      </c>
      <c r="G88" s="1">
        <v>7</v>
      </c>
      <c r="H88" s="2">
        <v>46171</v>
      </c>
      <c r="I88" s="2">
        <v>46176</v>
      </c>
      <c r="J88" s="1" t="s">
        <v>24</v>
      </c>
      <c r="K88" s="1">
        <v>1087</v>
      </c>
      <c r="L88" s="1" t="str">
        <f t="shared" si="0"/>
        <v>ELIGIBLE</v>
      </c>
    </row>
    <row r="89" spans="1:12" x14ac:dyDescent="0.3">
      <c r="A89" s="1" t="s">
        <v>40</v>
      </c>
      <c r="B89" s="1" t="s">
        <v>33</v>
      </c>
      <c r="C89" s="1" t="s">
        <v>34</v>
      </c>
      <c r="D89" s="1" t="s">
        <v>41</v>
      </c>
      <c r="E89" s="1">
        <v>20</v>
      </c>
      <c r="F89" s="1">
        <v>41165</v>
      </c>
      <c r="G89" s="1">
        <v>0</v>
      </c>
      <c r="H89" s="2">
        <v>46068</v>
      </c>
      <c r="I89" s="2">
        <v>46069</v>
      </c>
      <c r="J89" s="1" t="s">
        <v>20</v>
      </c>
      <c r="K89" s="1">
        <v>1088</v>
      </c>
      <c r="L89" s="1" t="str">
        <f t="shared" si="0"/>
        <v>ELIGIBLE</v>
      </c>
    </row>
    <row r="90" spans="1:12" x14ac:dyDescent="0.3">
      <c r="A90" s="1" t="s">
        <v>46</v>
      </c>
      <c r="B90" s="1" t="s">
        <v>12</v>
      </c>
      <c r="C90" s="1" t="s">
        <v>34</v>
      </c>
      <c r="D90" s="1" t="s">
        <v>35</v>
      </c>
      <c r="E90" s="1">
        <v>10</v>
      </c>
      <c r="F90" s="1">
        <v>17041</v>
      </c>
      <c r="G90" s="1">
        <v>2</v>
      </c>
      <c r="H90" s="2">
        <v>46066</v>
      </c>
      <c r="I90" s="2">
        <v>46071</v>
      </c>
      <c r="J90" s="1" t="s">
        <v>24</v>
      </c>
      <c r="K90" s="1">
        <v>1089</v>
      </c>
      <c r="L90" s="1" t="str">
        <f t="shared" si="0"/>
        <v>ELIGIBLE</v>
      </c>
    </row>
    <row r="91" spans="1:12" x14ac:dyDescent="0.3">
      <c r="A91" s="1" t="s">
        <v>49</v>
      </c>
      <c r="B91" s="1" t="s">
        <v>31</v>
      </c>
      <c r="C91" s="1" t="s">
        <v>34</v>
      </c>
      <c r="D91" s="1" t="s">
        <v>45</v>
      </c>
      <c r="E91" s="1">
        <v>19</v>
      </c>
      <c r="F91" s="1">
        <v>66139</v>
      </c>
      <c r="G91" s="1">
        <v>5</v>
      </c>
      <c r="H91" s="2">
        <v>46088</v>
      </c>
      <c r="I91" s="2">
        <v>46095</v>
      </c>
      <c r="J91" s="1" t="s">
        <v>24</v>
      </c>
      <c r="K91" s="1">
        <v>1090</v>
      </c>
      <c r="L91" s="1" t="str">
        <f t="shared" si="0"/>
        <v>ELIGIBLE</v>
      </c>
    </row>
    <row r="92" spans="1:12" x14ac:dyDescent="0.3">
      <c r="A92" s="1" t="s">
        <v>55</v>
      </c>
      <c r="B92" s="1" t="s">
        <v>17</v>
      </c>
      <c r="C92" s="1" t="s">
        <v>13</v>
      </c>
      <c r="D92" s="1" t="s">
        <v>53</v>
      </c>
      <c r="E92" s="1">
        <v>2</v>
      </c>
      <c r="F92" s="1">
        <v>305</v>
      </c>
      <c r="G92" s="1">
        <v>0</v>
      </c>
      <c r="H92" s="2">
        <v>46136</v>
      </c>
      <c r="I92" s="2">
        <v>46144</v>
      </c>
      <c r="J92" s="1" t="s">
        <v>15</v>
      </c>
      <c r="K92" s="1">
        <v>1091</v>
      </c>
      <c r="L92" s="1" t="str">
        <f t="shared" si="0"/>
        <v>ELIGIBLE</v>
      </c>
    </row>
    <row r="93" spans="1:12" x14ac:dyDescent="0.3">
      <c r="A93" s="1" t="s">
        <v>21</v>
      </c>
      <c r="B93" s="1" t="s">
        <v>22</v>
      </c>
      <c r="C93" s="1" t="s">
        <v>34</v>
      </c>
      <c r="D93" s="1" t="s">
        <v>41</v>
      </c>
      <c r="E93" s="1">
        <v>9</v>
      </c>
      <c r="F93" s="1">
        <v>23438</v>
      </c>
      <c r="G93" s="1">
        <v>2</v>
      </c>
      <c r="H93" s="2">
        <v>46049</v>
      </c>
      <c r="I93" s="2">
        <v>46055</v>
      </c>
      <c r="J93" s="1" t="s">
        <v>29</v>
      </c>
      <c r="K93" s="1">
        <v>1092</v>
      </c>
      <c r="L93" s="1" t="str">
        <f t="shared" si="0"/>
        <v>ELIGIBLE</v>
      </c>
    </row>
    <row r="94" spans="1:12" x14ac:dyDescent="0.3">
      <c r="A94" s="1" t="s">
        <v>47</v>
      </c>
      <c r="B94" s="1" t="s">
        <v>25</v>
      </c>
      <c r="C94" s="1" t="s">
        <v>18</v>
      </c>
      <c r="D94" s="1" t="s">
        <v>23</v>
      </c>
      <c r="E94" s="1">
        <v>6</v>
      </c>
      <c r="F94" s="1">
        <v>8224</v>
      </c>
      <c r="G94" s="1">
        <v>15</v>
      </c>
      <c r="H94" s="2">
        <v>46175</v>
      </c>
      <c r="I94" s="2">
        <v>46185</v>
      </c>
      <c r="J94" s="1" t="s">
        <v>51</v>
      </c>
      <c r="K94" s="1">
        <v>1093</v>
      </c>
      <c r="L94" s="1" t="str">
        <f t="shared" si="0"/>
        <v>ELIGIBLE</v>
      </c>
    </row>
    <row r="95" spans="1:12" x14ac:dyDescent="0.3">
      <c r="A95" s="1" t="s">
        <v>47</v>
      </c>
      <c r="B95" s="1" t="s">
        <v>43</v>
      </c>
      <c r="C95" s="1" t="s">
        <v>34</v>
      </c>
      <c r="D95" s="1" t="s">
        <v>61</v>
      </c>
      <c r="E95" s="1">
        <v>4</v>
      </c>
      <c r="F95" s="1">
        <v>7073</v>
      </c>
      <c r="G95" s="1">
        <v>0</v>
      </c>
      <c r="H95" s="2">
        <v>46101</v>
      </c>
      <c r="I95" s="2">
        <v>46105</v>
      </c>
      <c r="J95" s="1" t="s">
        <v>29</v>
      </c>
      <c r="K95" s="1">
        <v>1094</v>
      </c>
      <c r="L95" s="1" t="str">
        <f t="shared" si="0"/>
        <v>ELIGIBLE</v>
      </c>
    </row>
    <row r="96" spans="1:12" x14ac:dyDescent="0.3">
      <c r="A96" s="1" t="s">
        <v>47</v>
      </c>
      <c r="B96" s="1" t="s">
        <v>25</v>
      </c>
      <c r="C96" s="1" t="s">
        <v>34</v>
      </c>
      <c r="D96" s="1" t="s">
        <v>41</v>
      </c>
      <c r="E96" s="1">
        <v>18</v>
      </c>
      <c r="F96" s="1">
        <v>587</v>
      </c>
      <c r="G96" s="1">
        <v>2</v>
      </c>
      <c r="H96" s="2">
        <v>46167</v>
      </c>
      <c r="I96" s="2">
        <v>46171</v>
      </c>
      <c r="J96" s="1" t="s">
        <v>20</v>
      </c>
      <c r="K96" s="1">
        <v>1095</v>
      </c>
      <c r="L96" s="1" t="str">
        <f t="shared" si="0"/>
        <v>ELIGIBLE</v>
      </c>
    </row>
    <row r="97" spans="1:12" x14ac:dyDescent="0.3">
      <c r="A97" s="1" t="s">
        <v>49</v>
      </c>
      <c r="B97" s="1" t="s">
        <v>17</v>
      </c>
      <c r="C97" s="1" t="s">
        <v>18</v>
      </c>
      <c r="D97" s="1" t="s">
        <v>23</v>
      </c>
      <c r="E97" s="1">
        <v>15</v>
      </c>
      <c r="F97" s="1">
        <v>14724</v>
      </c>
      <c r="G97" s="1">
        <v>15</v>
      </c>
      <c r="H97" s="2">
        <v>46054</v>
      </c>
      <c r="I97" s="2">
        <v>46061</v>
      </c>
      <c r="J97" s="1" t="s">
        <v>20</v>
      </c>
      <c r="K97" s="1">
        <v>1096</v>
      </c>
      <c r="L97" s="1" t="str">
        <f t="shared" si="0"/>
        <v>ELIGIBLE</v>
      </c>
    </row>
    <row r="98" spans="1:12" x14ac:dyDescent="0.3">
      <c r="A98" s="1" t="s">
        <v>52</v>
      </c>
      <c r="B98" s="1" t="s">
        <v>22</v>
      </c>
      <c r="C98" s="1" t="s">
        <v>34</v>
      </c>
      <c r="D98" s="1" t="s">
        <v>61</v>
      </c>
      <c r="E98" s="1">
        <v>10</v>
      </c>
      <c r="F98" s="1">
        <v>28980</v>
      </c>
      <c r="G98" s="1">
        <v>10</v>
      </c>
      <c r="H98" s="2">
        <v>46089</v>
      </c>
      <c r="I98" s="2">
        <v>46094</v>
      </c>
      <c r="J98" s="1" t="s">
        <v>24</v>
      </c>
      <c r="K98" s="1">
        <v>1097</v>
      </c>
      <c r="L98" s="1" t="str">
        <f t="shared" si="0"/>
        <v>NOT ELIGIBLE</v>
      </c>
    </row>
    <row r="99" spans="1:12" x14ac:dyDescent="0.3">
      <c r="A99" s="1" t="s">
        <v>26</v>
      </c>
      <c r="B99" s="1" t="s">
        <v>25</v>
      </c>
      <c r="C99" s="1" t="s">
        <v>13</v>
      </c>
      <c r="D99" s="1" t="s">
        <v>53</v>
      </c>
      <c r="E99" s="1">
        <v>17</v>
      </c>
      <c r="F99" s="1">
        <v>345</v>
      </c>
      <c r="G99" s="1">
        <v>2</v>
      </c>
      <c r="H99" s="2">
        <v>46126</v>
      </c>
      <c r="I99" s="2">
        <v>46127</v>
      </c>
      <c r="J99" s="1" t="s">
        <v>51</v>
      </c>
      <c r="K99" s="1">
        <v>1098</v>
      </c>
      <c r="L99" s="1" t="str">
        <f t="shared" si="0"/>
        <v>ELIGIBLE</v>
      </c>
    </row>
    <row r="100" spans="1:12" x14ac:dyDescent="0.3">
      <c r="A100" s="1" t="s">
        <v>26</v>
      </c>
      <c r="B100" s="1" t="s">
        <v>31</v>
      </c>
      <c r="C100" s="1" t="s">
        <v>18</v>
      </c>
      <c r="D100" s="1" t="s">
        <v>19</v>
      </c>
      <c r="E100" s="1">
        <v>1</v>
      </c>
      <c r="F100" s="1">
        <v>5165</v>
      </c>
      <c r="G100" s="1">
        <v>2</v>
      </c>
      <c r="H100" s="2">
        <v>46058</v>
      </c>
      <c r="I100" s="2">
        <v>46060</v>
      </c>
      <c r="J100" s="1" t="s">
        <v>15</v>
      </c>
      <c r="K100" s="1">
        <v>1099</v>
      </c>
      <c r="L100" s="1" t="str">
        <f t="shared" si="0"/>
        <v>ELIGIBLE</v>
      </c>
    </row>
    <row r="101" spans="1:12" x14ac:dyDescent="0.3">
      <c r="A101" s="1" t="s">
        <v>11</v>
      </c>
      <c r="B101" s="1" t="s">
        <v>31</v>
      </c>
      <c r="C101" s="1" t="s">
        <v>13</v>
      </c>
      <c r="D101" s="1" t="s">
        <v>14</v>
      </c>
      <c r="E101" s="1">
        <v>11</v>
      </c>
      <c r="F101" s="1">
        <v>296</v>
      </c>
      <c r="G101" s="1">
        <v>10</v>
      </c>
      <c r="H101" s="2">
        <v>46027</v>
      </c>
      <c r="I101" s="2">
        <v>46031</v>
      </c>
      <c r="J101" s="1" t="s">
        <v>51</v>
      </c>
      <c r="K101" s="1">
        <v>1100</v>
      </c>
      <c r="L101" s="1" t="str">
        <f t="shared" si="0"/>
        <v>ELIGIBLE</v>
      </c>
    </row>
    <row r="102" spans="1:12" x14ac:dyDescent="0.3">
      <c r="A102" s="1" t="s">
        <v>27</v>
      </c>
      <c r="B102" s="1" t="s">
        <v>22</v>
      </c>
      <c r="C102" s="1" t="s">
        <v>34</v>
      </c>
      <c r="D102" s="1" t="s">
        <v>61</v>
      </c>
      <c r="E102" s="1">
        <v>9</v>
      </c>
      <c r="F102" s="1">
        <v>37361</v>
      </c>
      <c r="G102" s="1">
        <v>10</v>
      </c>
      <c r="H102" s="2">
        <v>46141</v>
      </c>
      <c r="I102" s="2">
        <v>46142</v>
      </c>
      <c r="J102" s="1" t="s">
        <v>24</v>
      </c>
      <c r="K102" s="1">
        <v>1101</v>
      </c>
      <c r="L102" s="1" t="str">
        <f t="shared" si="0"/>
        <v>NOT ELIGIBLE</v>
      </c>
    </row>
    <row r="103" spans="1:12" x14ac:dyDescent="0.3">
      <c r="A103" s="1" t="s">
        <v>54</v>
      </c>
      <c r="B103" s="1" t="s">
        <v>25</v>
      </c>
      <c r="C103" s="1" t="s">
        <v>34</v>
      </c>
      <c r="D103" s="1" t="s">
        <v>45</v>
      </c>
      <c r="E103" s="1">
        <v>12</v>
      </c>
      <c r="F103" s="1">
        <v>63402</v>
      </c>
      <c r="G103" s="1">
        <v>7</v>
      </c>
      <c r="H103" s="2">
        <v>46106</v>
      </c>
      <c r="I103" s="2">
        <v>46113</v>
      </c>
      <c r="J103" s="1" t="s">
        <v>51</v>
      </c>
      <c r="K103" s="1">
        <v>1102</v>
      </c>
      <c r="L103" s="1" t="str">
        <f t="shared" si="0"/>
        <v>ELIGIBLE</v>
      </c>
    </row>
    <row r="104" spans="1:12" x14ac:dyDescent="0.3">
      <c r="A104" s="1" t="s">
        <v>16</v>
      </c>
      <c r="B104" s="1" t="s">
        <v>12</v>
      </c>
      <c r="C104" s="1" t="s">
        <v>18</v>
      </c>
      <c r="D104" s="1" t="s">
        <v>23</v>
      </c>
      <c r="E104" s="1">
        <v>7</v>
      </c>
      <c r="F104" s="1">
        <v>11925</v>
      </c>
      <c r="G104" s="1">
        <v>5</v>
      </c>
      <c r="H104" s="2">
        <v>46040</v>
      </c>
      <c r="I104" s="2">
        <v>46041</v>
      </c>
      <c r="J104" s="1" t="s">
        <v>29</v>
      </c>
      <c r="K104" s="1">
        <v>1103</v>
      </c>
      <c r="L104" s="1" t="str">
        <f t="shared" si="0"/>
        <v>ELIGIBLE</v>
      </c>
    </row>
    <row r="105" spans="1:12" x14ac:dyDescent="0.3">
      <c r="A105" s="1" t="s">
        <v>16</v>
      </c>
      <c r="B105" s="1" t="s">
        <v>43</v>
      </c>
      <c r="C105" s="1" t="s">
        <v>18</v>
      </c>
      <c r="D105" s="1" t="s">
        <v>19</v>
      </c>
      <c r="E105" s="1">
        <v>10</v>
      </c>
      <c r="F105" s="1">
        <v>12848</v>
      </c>
      <c r="G105" s="1">
        <v>15</v>
      </c>
      <c r="H105" s="2">
        <v>46060</v>
      </c>
      <c r="I105" s="2">
        <v>46064</v>
      </c>
      <c r="J105" s="1" t="s">
        <v>29</v>
      </c>
      <c r="K105" s="1">
        <v>1104</v>
      </c>
      <c r="L105" s="1" t="str">
        <f t="shared" si="0"/>
        <v>ELIGIBLE</v>
      </c>
    </row>
    <row r="106" spans="1:12" x14ac:dyDescent="0.3">
      <c r="A106" s="1" t="s">
        <v>59</v>
      </c>
      <c r="B106" s="1" t="s">
        <v>25</v>
      </c>
      <c r="C106" s="1" t="s">
        <v>13</v>
      </c>
      <c r="D106" s="1" t="s">
        <v>50</v>
      </c>
      <c r="E106" s="1">
        <v>2</v>
      </c>
      <c r="F106" s="1">
        <v>493</v>
      </c>
      <c r="G106" s="1">
        <v>12</v>
      </c>
      <c r="H106" s="2">
        <v>46057</v>
      </c>
      <c r="I106" s="2">
        <v>46066</v>
      </c>
      <c r="J106" s="1" t="s">
        <v>51</v>
      </c>
      <c r="K106" s="1">
        <v>1105</v>
      </c>
      <c r="L106" s="1" t="str">
        <f t="shared" si="0"/>
        <v>ELIGIBLE</v>
      </c>
    </row>
    <row r="107" spans="1:12" x14ac:dyDescent="0.3">
      <c r="A107" s="1" t="s">
        <v>27</v>
      </c>
      <c r="B107" s="1" t="s">
        <v>43</v>
      </c>
      <c r="C107" s="1" t="s">
        <v>18</v>
      </c>
      <c r="D107" s="1" t="s">
        <v>23</v>
      </c>
      <c r="E107" s="1">
        <v>20</v>
      </c>
      <c r="F107" s="1">
        <v>2141</v>
      </c>
      <c r="G107" s="1">
        <v>2</v>
      </c>
      <c r="H107" s="2">
        <v>46091</v>
      </c>
      <c r="I107" s="2">
        <v>46097</v>
      </c>
      <c r="J107" s="1" t="s">
        <v>29</v>
      </c>
      <c r="K107" s="1">
        <v>1106</v>
      </c>
      <c r="L107" s="1" t="str">
        <f t="shared" si="0"/>
        <v>ELIGIBLE</v>
      </c>
    </row>
    <row r="108" spans="1:12" x14ac:dyDescent="0.3">
      <c r="A108" s="1" t="s">
        <v>52</v>
      </c>
      <c r="B108" s="1" t="s">
        <v>17</v>
      </c>
      <c r="C108" s="1" t="s">
        <v>34</v>
      </c>
      <c r="D108" s="1" t="s">
        <v>60</v>
      </c>
      <c r="E108" s="1">
        <v>4</v>
      </c>
      <c r="F108" s="1">
        <v>14291</v>
      </c>
      <c r="G108" s="1">
        <v>2</v>
      </c>
      <c r="H108" s="2">
        <v>46076</v>
      </c>
      <c r="I108" s="2">
        <v>46078</v>
      </c>
      <c r="J108" s="1" t="s">
        <v>15</v>
      </c>
      <c r="K108" s="1">
        <v>1107</v>
      </c>
      <c r="L108" s="1" t="str">
        <f t="shared" si="0"/>
        <v>ELIGIBLE</v>
      </c>
    </row>
    <row r="109" spans="1:12" x14ac:dyDescent="0.3">
      <c r="A109" s="1" t="s">
        <v>42</v>
      </c>
      <c r="B109" s="1" t="s">
        <v>33</v>
      </c>
      <c r="C109" s="1" t="s">
        <v>18</v>
      </c>
      <c r="D109" s="1" t="s">
        <v>28</v>
      </c>
      <c r="E109" s="1">
        <v>15</v>
      </c>
      <c r="F109" s="1">
        <v>13843</v>
      </c>
      <c r="G109" s="1">
        <v>7</v>
      </c>
      <c r="H109" s="2">
        <v>46119</v>
      </c>
      <c r="I109" s="2">
        <v>46127</v>
      </c>
      <c r="J109" s="1" t="s">
        <v>20</v>
      </c>
      <c r="K109" s="1">
        <v>1108</v>
      </c>
      <c r="L109" s="1" t="str">
        <f t="shared" si="0"/>
        <v>ELIGIBLE</v>
      </c>
    </row>
    <row r="110" spans="1:12" x14ac:dyDescent="0.3">
      <c r="A110" s="1" t="s">
        <v>21</v>
      </c>
      <c r="B110" s="1" t="s">
        <v>31</v>
      </c>
      <c r="C110" s="1" t="s">
        <v>18</v>
      </c>
      <c r="D110" s="1" t="s">
        <v>44</v>
      </c>
      <c r="E110" s="1">
        <v>19</v>
      </c>
      <c r="F110" s="1">
        <v>6512</v>
      </c>
      <c r="G110" s="1">
        <v>10</v>
      </c>
      <c r="H110" s="2">
        <v>46033</v>
      </c>
      <c r="I110" s="2">
        <v>46037</v>
      </c>
      <c r="J110" s="1" t="s">
        <v>20</v>
      </c>
      <c r="K110" s="1">
        <v>1109</v>
      </c>
      <c r="L110" s="1" t="str">
        <f t="shared" si="0"/>
        <v>ELIGIBLE</v>
      </c>
    </row>
    <row r="111" spans="1:12" x14ac:dyDescent="0.3">
      <c r="A111" s="1" t="s">
        <v>49</v>
      </c>
      <c r="B111" s="1" t="s">
        <v>38</v>
      </c>
      <c r="C111" s="1" t="s">
        <v>18</v>
      </c>
      <c r="D111" s="1" t="s">
        <v>23</v>
      </c>
      <c r="E111" s="1">
        <v>14</v>
      </c>
      <c r="F111" s="1">
        <v>6793</v>
      </c>
      <c r="G111" s="1">
        <v>7</v>
      </c>
      <c r="H111" s="2">
        <v>46077</v>
      </c>
      <c r="I111" s="2">
        <v>46082</v>
      </c>
      <c r="J111" s="1" t="s">
        <v>29</v>
      </c>
      <c r="K111" s="1">
        <v>1110</v>
      </c>
      <c r="L111" s="1" t="str">
        <f t="shared" si="0"/>
        <v>ELIGIBLE</v>
      </c>
    </row>
    <row r="112" spans="1:12" x14ac:dyDescent="0.3">
      <c r="A112" s="1" t="s">
        <v>47</v>
      </c>
      <c r="B112" s="1" t="s">
        <v>17</v>
      </c>
      <c r="C112" s="1" t="s">
        <v>34</v>
      </c>
      <c r="D112" s="1" t="s">
        <v>35</v>
      </c>
      <c r="E112" s="1">
        <v>5</v>
      </c>
      <c r="F112" s="1">
        <v>49945</v>
      </c>
      <c r="G112" s="1">
        <v>12</v>
      </c>
      <c r="H112" s="2">
        <v>46133</v>
      </c>
      <c r="I112" s="2">
        <v>46141</v>
      </c>
      <c r="J112" s="1" t="s">
        <v>29</v>
      </c>
      <c r="K112" s="1">
        <v>1111</v>
      </c>
      <c r="L112" s="1" t="str">
        <f t="shared" si="0"/>
        <v>NOT ELIGIBLE</v>
      </c>
    </row>
    <row r="113" spans="1:12" x14ac:dyDescent="0.3">
      <c r="A113" s="1" t="s">
        <v>21</v>
      </c>
      <c r="B113" s="1" t="s">
        <v>43</v>
      </c>
      <c r="C113" s="1" t="s">
        <v>18</v>
      </c>
      <c r="D113" s="1" t="s">
        <v>44</v>
      </c>
      <c r="E113" s="1">
        <v>7</v>
      </c>
      <c r="F113" s="1">
        <v>1959</v>
      </c>
      <c r="G113" s="1">
        <v>15</v>
      </c>
      <c r="H113" s="2">
        <v>46090</v>
      </c>
      <c r="I113" s="2">
        <v>46100</v>
      </c>
      <c r="J113" s="1" t="s">
        <v>15</v>
      </c>
      <c r="K113" s="1">
        <v>1112</v>
      </c>
      <c r="L113" s="1" t="str">
        <f t="shared" si="0"/>
        <v>ELIGIBLE</v>
      </c>
    </row>
    <row r="114" spans="1:12" x14ac:dyDescent="0.3">
      <c r="A114" s="1" t="s">
        <v>26</v>
      </c>
      <c r="B114" s="1" t="s">
        <v>43</v>
      </c>
      <c r="C114" s="1" t="s">
        <v>18</v>
      </c>
      <c r="D114" s="1" t="s">
        <v>56</v>
      </c>
      <c r="E114" s="1">
        <v>13</v>
      </c>
      <c r="F114" s="1">
        <v>6719</v>
      </c>
      <c r="G114" s="1">
        <v>15</v>
      </c>
      <c r="H114" s="2">
        <v>46076</v>
      </c>
      <c r="I114" s="2">
        <v>46081</v>
      </c>
      <c r="J114" s="1" t="s">
        <v>24</v>
      </c>
      <c r="K114" s="1">
        <v>1113</v>
      </c>
      <c r="L114" s="1" t="str">
        <f t="shared" si="0"/>
        <v>ELIGIBLE</v>
      </c>
    </row>
    <row r="115" spans="1:12" x14ac:dyDescent="0.3">
      <c r="A115" s="1" t="s">
        <v>16</v>
      </c>
      <c r="B115" s="1" t="s">
        <v>25</v>
      </c>
      <c r="C115" s="1" t="s">
        <v>13</v>
      </c>
      <c r="D115" s="1" t="s">
        <v>50</v>
      </c>
      <c r="E115" s="1">
        <v>13</v>
      </c>
      <c r="F115" s="1">
        <v>32</v>
      </c>
      <c r="G115" s="1">
        <v>15</v>
      </c>
      <c r="H115" s="2">
        <v>46066</v>
      </c>
      <c r="I115" s="2">
        <v>46069</v>
      </c>
      <c r="J115" s="1" t="s">
        <v>15</v>
      </c>
      <c r="K115" s="1">
        <v>1114</v>
      </c>
      <c r="L115" s="1" t="str">
        <f t="shared" si="0"/>
        <v>ELIGIBLE</v>
      </c>
    </row>
    <row r="116" spans="1:12" x14ac:dyDescent="0.3">
      <c r="A116" s="1" t="s">
        <v>59</v>
      </c>
      <c r="B116" s="1" t="s">
        <v>43</v>
      </c>
      <c r="C116" s="1" t="s">
        <v>13</v>
      </c>
      <c r="D116" s="1" t="s">
        <v>50</v>
      </c>
      <c r="E116" s="1">
        <v>9</v>
      </c>
      <c r="F116" s="1">
        <v>303</v>
      </c>
      <c r="G116" s="1">
        <v>10</v>
      </c>
      <c r="H116" s="2">
        <v>46149</v>
      </c>
      <c r="I116" s="2">
        <v>46157</v>
      </c>
      <c r="J116" s="1" t="s">
        <v>29</v>
      </c>
      <c r="K116" s="1">
        <v>1115</v>
      </c>
      <c r="L116" s="1" t="str">
        <f t="shared" si="0"/>
        <v>ELIGIBLE</v>
      </c>
    </row>
    <row r="117" spans="1:12" x14ac:dyDescent="0.3">
      <c r="A117" s="1" t="s">
        <v>16</v>
      </c>
      <c r="B117" s="1" t="s">
        <v>25</v>
      </c>
      <c r="C117" s="1" t="s">
        <v>18</v>
      </c>
      <c r="D117" s="1" t="s">
        <v>56</v>
      </c>
      <c r="E117" s="1">
        <v>2</v>
      </c>
      <c r="F117" s="1">
        <v>12692</v>
      </c>
      <c r="G117" s="1">
        <v>15</v>
      </c>
      <c r="H117" s="2">
        <v>46049</v>
      </c>
      <c r="I117" s="2">
        <v>46051</v>
      </c>
      <c r="J117" s="1" t="s">
        <v>15</v>
      </c>
      <c r="K117" s="1">
        <v>1116</v>
      </c>
      <c r="L117" s="1" t="str">
        <f t="shared" si="0"/>
        <v>ELIGIBLE</v>
      </c>
    </row>
    <row r="118" spans="1:12" x14ac:dyDescent="0.3">
      <c r="A118" s="1" t="s">
        <v>55</v>
      </c>
      <c r="B118" s="1" t="s">
        <v>43</v>
      </c>
      <c r="C118" s="1" t="s">
        <v>34</v>
      </c>
      <c r="D118" s="1" t="s">
        <v>39</v>
      </c>
      <c r="E118" s="1">
        <v>16</v>
      </c>
      <c r="F118" s="1">
        <v>33162</v>
      </c>
      <c r="G118" s="1">
        <v>7</v>
      </c>
      <c r="H118" s="2">
        <v>46147</v>
      </c>
      <c r="I118" s="2">
        <v>46155</v>
      </c>
      <c r="J118" s="1" t="s">
        <v>29</v>
      </c>
      <c r="K118" s="1">
        <v>1117</v>
      </c>
      <c r="L118" s="1" t="str">
        <f t="shared" si="0"/>
        <v>ELIGIBLE</v>
      </c>
    </row>
    <row r="119" spans="1:12" x14ac:dyDescent="0.3">
      <c r="A119" s="1" t="s">
        <v>21</v>
      </c>
      <c r="B119" s="1" t="s">
        <v>22</v>
      </c>
      <c r="C119" s="1" t="s">
        <v>18</v>
      </c>
      <c r="D119" s="1" t="s">
        <v>23</v>
      </c>
      <c r="E119" s="1">
        <v>18</v>
      </c>
      <c r="F119" s="1">
        <v>9118</v>
      </c>
      <c r="G119" s="1">
        <v>5</v>
      </c>
      <c r="H119" s="2">
        <v>46178</v>
      </c>
      <c r="I119" s="2">
        <v>46187</v>
      </c>
      <c r="J119" s="1" t="s">
        <v>29</v>
      </c>
      <c r="K119" s="1">
        <v>1118</v>
      </c>
      <c r="L119" s="1" t="str">
        <f t="shared" si="0"/>
        <v>ELIGIBLE</v>
      </c>
    </row>
    <row r="120" spans="1:12" x14ac:dyDescent="0.3">
      <c r="A120" s="1" t="s">
        <v>30</v>
      </c>
      <c r="B120" s="1" t="s">
        <v>43</v>
      </c>
      <c r="C120" s="1" t="s">
        <v>18</v>
      </c>
      <c r="D120" s="1" t="s">
        <v>28</v>
      </c>
      <c r="E120" s="1">
        <v>2</v>
      </c>
      <c r="F120" s="1">
        <v>3706</v>
      </c>
      <c r="G120" s="1">
        <v>5</v>
      </c>
      <c r="H120" s="2">
        <v>46184</v>
      </c>
      <c r="I120" s="2">
        <v>46192</v>
      </c>
      <c r="J120" s="1" t="s">
        <v>51</v>
      </c>
      <c r="K120" s="1">
        <v>1119</v>
      </c>
      <c r="L120" s="1" t="str">
        <f t="shared" si="0"/>
        <v>ELIGIBLE</v>
      </c>
    </row>
    <row r="121" spans="1:12" x14ac:dyDescent="0.3">
      <c r="A121" s="1" t="s">
        <v>32</v>
      </c>
      <c r="B121" s="1" t="s">
        <v>38</v>
      </c>
      <c r="C121" s="1" t="s">
        <v>13</v>
      </c>
      <c r="D121" s="1" t="s">
        <v>36</v>
      </c>
      <c r="E121" s="1">
        <v>10</v>
      </c>
      <c r="F121" s="1">
        <v>438</v>
      </c>
      <c r="G121" s="1">
        <v>10</v>
      </c>
      <c r="H121" s="2">
        <v>46061</v>
      </c>
      <c r="I121" s="2">
        <v>46065</v>
      </c>
      <c r="J121" s="1" t="s">
        <v>51</v>
      </c>
      <c r="K121" s="1">
        <v>1120</v>
      </c>
      <c r="L121" s="1" t="str">
        <f t="shared" si="0"/>
        <v>ELIGIBLE</v>
      </c>
    </row>
    <row r="122" spans="1:12" x14ac:dyDescent="0.3">
      <c r="A122" s="1" t="s">
        <v>29</v>
      </c>
      <c r="B122" s="1" t="s">
        <v>12</v>
      </c>
      <c r="C122" s="1" t="s">
        <v>34</v>
      </c>
      <c r="D122" s="1" t="s">
        <v>39</v>
      </c>
      <c r="E122" s="1">
        <v>4</v>
      </c>
      <c r="F122" s="1">
        <v>55809</v>
      </c>
      <c r="G122" s="1">
        <v>2</v>
      </c>
      <c r="H122" s="2">
        <v>46103</v>
      </c>
      <c r="I122" s="2">
        <v>46108</v>
      </c>
      <c r="J122" s="1" t="s">
        <v>29</v>
      </c>
      <c r="K122" s="1">
        <v>1121</v>
      </c>
      <c r="L122" s="1" t="str">
        <f t="shared" si="0"/>
        <v>ELIGIBLE</v>
      </c>
    </row>
    <row r="123" spans="1:12" x14ac:dyDescent="0.3">
      <c r="A123" s="1" t="s">
        <v>40</v>
      </c>
      <c r="B123" s="1" t="s">
        <v>22</v>
      </c>
      <c r="C123" s="1" t="s">
        <v>34</v>
      </c>
      <c r="D123" s="1" t="s">
        <v>39</v>
      </c>
      <c r="E123" s="1">
        <v>14</v>
      </c>
      <c r="F123" s="1">
        <v>49990</v>
      </c>
      <c r="G123" s="1">
        <v>10</v>
      </c>
      <c r="H123" s="2">
        <v>46132</v>
      </c>
      <c r="I123" s="2">
        <v>46135</v>
      </c>
      <c r="J123" s="1" t="s">
        <v>29</v>
      </c>
      <c r="K123" s="1">
        <v>1122</v>
      </c>
      <c r="L123" s="1" t="str">
        <f t="shared" si="0"/>
        <v>NOT ELIGIBLE</v>
      </c>
    </row>
    <row r="124" spans="1:12" x14ac:dyDescent="0.3">
      <c r="A124" s="1" t="s">
        <v>32</v>
      </c>
      <c r="B124" s="1" t="s">
        <v>31</v>
      </c>
      <c r="C124" s="1" t="s">
        <v>34</v>
      </c>
      <c r="D124" s="1" t="s">
        <v>45</v>
      </c>
      <c r="E124" s="1">
        <v>16</v>
      </c>
      <c r="F124" s="1">
        <v>1332</v>
      </c>
      <c r="G124" s="1">
        <v>7</v>
      </c>
      <c r="H124" s="2">
        <v>46107</v>
      </c>
      <c r="I124" s="2">
        <v>46109</v>
      </c>
      <c r="J124" s="1" t="s">
        <v>29</v>
      </c>
      <c r="K124" s="1">
        <v>1123</v>
      </c>
      <c r="L124" s="1" t="str">
        <f t="shared" si="0"/>
        <v>ELIGIBLE</v>
      </c>
    </row>
    <row r="125" spans="1:12" x14ac:dyDescent="0.3">
      <c r="A125" s="1" t="s">
        <v>27</v>
      </c>
      <c r="B125" s="1" t="s">
        <v>38</v>
      </c>
      <c r="C125" s="1" t="s">
        <v>18</v>
      </c>
      <c r="D125" s="1" t="s">
        <v>56</v>
      </c>
      <c r="E125" s="1">
        <v>4</v>
      </c>
      <c r="F125" s="1">
        <v>14195</v>
      </c>
      <c r="G125" s="1">
        <v>15</v>
      </c>
      <c r="H125" s="2">
        <v>46182</v>
      </c>
      <c r="I125" s="2">
        <v>46189</v>
      </c>
      <c r="J125" s="1" t="s">
        <v>51</v>
      </c>
      <c r="K125" s="1">
        <v>1124</v>
      </c>
      <c r="L125" s="1" t="str">
        <f t="shared" si="0"/>
        <v>ELIGIBLE</v>
      </c>
    </row>
    <row r="126" spans="1:12" x14ac:dyDescent="0.3">
      <c r="A126" s="1" t="s">
        <v>49</v>
      </c>
      <c r="B126" s="1" t="s">
        <v>33</v>
      </c>
      <c r="C126" s="1" t="s">
        <v>13</v>
      </c>
      <c r="D126" s="1" t="s">
        <v>14</v>
      </c>
      <c r="E126" s="1">
        <v>6</v>
      </c>
      <c r="F126" s="1">
        <v>30</v>
      </c>
      <c r="G126" s="1">
        <v>2</v>
      </c>
      <c r="H126" s="2">
        <v>46133</v>
      </c>
      <c r="I126" s="2">
        <v>46138</v>
      </c>
      <c r="J126" s="1" t="s">
        <v>24</v>
      </c>
      <c r="K126" s="1">
        <v>1125</v>
      </c>
      <c r="L126" s="1" t="str">
        <f t="shared" si="0"/>
        <v>ELIGIBLE</v>
      </c>
    </row>
    <row r="127" spans="1:12" x14ac:dyDescent="0.3">
      <c r="A127" s="1" t="s">
        <v>46</v>
      </c>
      <c r="B127" s="1" t="s">
        <v>22</v>
      </c>
      <c r="C127" s="1" t="s">
        <v>34</v>
      </c>
      <c r="D127" s="1" t="s">
        <v>39</v>
      </c>
      <c r="E127" s="1">
        <v>17</v>
      </c>
      <c r="F127" s="1">
        <v>19390</v>
      </c>
      <c r="G127" s="1">
        <v>12</v>
      </c>
      <c r="H127" s="2">
        <v>46201</v>
      </c>
      <c r="I127" s="2">
        <v>46206</v>
      </c>
      <c r="J127" s="1" t="s">
        <v>29</v>
      </c>
      <c r="K127" s="1">
        <v>1126</v>
      </c>
      <c r="L127" s="1" t="str">
        <f t="shared" si="0"/>
        <v>NOT ELIGIBLE</v>
      </c>
    </row>
    <row r="128" spans="1:12" x14ac:dyDescent="0.3">
      <c r="A128" s="1" t="s">
        <v>26</v>
      </c>
      <c r="B128" s="1" t="s">
        <v>33</v>
      </c>
      <c r="C128" s="1" t="s">
        <v>18</v>
      </c>
      <c r="D128" s="1" t="s">
        <v>28</v>
      </c>
      <c r="E128" s="1">
        <v>15</v>
      </c>
      <c r="F128" s="1">
        <v>11694</v>
      </c>
      <c r="G128" s="1">
        <v>12</v>
      </c>
      <c r="H128" s="2">
        <v>46170</v>
      </c>
      <c r="I128" s="2">
        <v>46179</v>
      </c>
      <c r="J128" s="1" t="s">
        <v>29</v>
      </c>
      <c r="K128" s="1">
        <v>1127</v>
      </c>
      <c r="L128" s="1" t="str">
        <f t="shared" si="0"/>
        <v>ELIGIBLE</v>
      </c>
    </row>
    <row r="129" spans="1:12" x14ac:dyDescent="0.3">
      <c r="A129" s="1" t="s">
        <v>30</v>
      </c>
      <c r="B129" s="1" t="s">
        <v>22</v>
      </c>
      <c r="C129" s="1" t="s">
        <v>34</v>
      </c>
      <c r="D129" s="1" t="s">
        <v>61</v>
      </c>
      <c r="E129" s="1">
        <v>6</v>
      </c>
      <c r="F129" s="1">
        <v>5001</v>
      </c>
      <c r="G129" s="1">
        <v>7</v>
      </c>
      <c r="H129" s="2">
        <v>46044</v>
      </c>
      <c r="I129" s="2">
        <v>46050</v>
      </c>
      <c r="J129" s="1" t="s">
        <v>29</v>
      </c>
      <c r="K129" s="1">
        <v>1128</v>
      </c>
      <c r="L129" s="1" t="str">
        <f t="shared" si="0"/>
        <v>ELIGIBLE</v>
      </c>
    </row>
    <row r="130" spans="1:12" x14ac:dyDescent="0.3">
      <c r="A130" s="1" t="s">
        <v>58</v>
      </c>
      <c r="B130" s="1" t="s">
        <v>17</v>
      </c>
      <c r="C130" s="1" t="s">
        <v>13</v>
      </c>
      <c r="D130" s="1" t="s">
        <v>50</v>
      </c>
      <c r="E130" s="1">
        <v>15</v>
      </c>
      <c r="F130" s="1">
        <v>75</v>
      </c>
      <c r="G130" s="1">
        <v>7</v>
      </c>
      <c r="H130" s="2">
        <v>46160</v>
      </c>
      <c r="I130" s="2">
        <v>46164</v>
      </c>
      <c r="J130" s="1" t="s">
        <v>29</v>
      </c>
      <c r="K130" s="1">
        <v>1129</v>
      </c>
      <c r="L130" s="1" t="str">
        <f t="shared" si="0"/>
        <v>ELIGIBLE</v>
      </c>
    </row>
    <row r="131" spans="1:12" x14ac:dyDescent="0.3">
      <c r="A131" s="1" t="s">
        <v>48</v>
      </c>
      <c r="B131" s="1" t="s">
        <v>33</v>
      </c>
      <c r="C131" s="1" t="s">
        <v>13</v>
      </c>
      <c r="D131" s="1" t="s">
        <v>14</v>
      </c>
      <c r="E131" s="1">
        <v>12</v>
      </c>
      <c r="F131" s="1">
        <v>50</v>
      </c>
      <c r="G131" s="1">
        <v>2</v>
      </c>
      <c r="H131" s="2">
        <v>46125</v>
      </c>
      <c r="I131" s="2">
        <v>46131</v>
      </c>
      <c r="J131" s="1" t="s">
        <v>24</v>
      </c>
      <c r="K131" s="1">
        <v>1130</v>
      </c>
      <c r="L131" s="1" t="str">
        <f t="shared" si="0"/>
        <v>ELIGIBLE</v>
      </c>
    </row>
    <row r="132" spans="1:12" x14ac:dyDescent="0.3">
      <c r="A132" s="1" t="s">
        <v>21</v>
      </c>
      <c r="B132" s="1" t="s">
        <v>31</v>
      </c>
      <c r="C132" s="1" t="s">
        <v>18</v>
      </c>
      <c r="D132" s="1" t="s">
        <v>23</v>
      </c>
      <c r="E132" s="1">
        <v>13</v>
      </c>
      <c r="F132" s="1">
        <v>3083</v>
      </c>
      <c r="G132" s="1">
        <v>7</v>
      </c>
      <c r="H132" s="2">
        <v>46168</v>
      </c>
      <c r="I132" s="2">
        <v>46173</v>
      </c>
      <c r="J132" s="1" t="s">
        <v>51</v>
      </c>
      <c r="K132" s="1">
        <v>1131</v>
      </c>
      <c r="L132" s="1" t="str">
        <f t="shared" si="0"/>
        <v>ELIGIBLE</v>
      </c>
    </row>
    <row r="133" spans="1:12" x14ac:dyDescent="0.3">
      <c r="A133" s="1" t="s">
        <v>11</v>
      </c>
      <c r="B133" s="1" t="s">
        <v>31</v>
      </c>
      <c r="C133" s="1" t="s">
        <v>13</v>
      </c>
      <c r="D133" s="1" t="s">
        <v>50</v>
      </c>
      <c r="E133" s="1">
        <v>10</v>
      </c>
      <c r="F133" s="1">
        <v>270</v>
      </c>
      <c r="G133" s="1">
        <v>7</v>
      </c>
      <c r="H133" s="2">
        <v>46024</v>
      </c>
      <c r="I133" s="2">
        <v>46034</v>
      </c>
      <c r="J133" s="1" t="s">
        <v>24</v>
      </c>
      <c r="K133" s="1">
        <v>1132</v>
      </c>
      <c r="L133" s="1" t="str">
        <f t="shared" si="0"/>
        <v>ELIGIBLE</v>
      </c>
    </row>
    <row r="134" spans="1:12" x14ac:dyDescent="0.3">
      <c r="A134" s="1" t="s">
        <v>11</v>
      </c>
      <c r="B134" s="1" t="s">
        <v>12</v>
      </c>
      <c r="C134" s="1" t="s">
        <v>18</v>
      </c>
      <c r="D134" s="1" t="s">
        <v>56</v>
      </c>
      <c r="E134" s="1">
        <v>6</v>
      </c>
      <c r="F134" s="1">
        <v>9037</v>
      </c>
      <c r="G134" s="1">
        <v>2</v>
      </c>
      <c r="H134" s="2">
        <v>46112</v>
      </c>
      <c r="I134" s="2">
        <v>46121</v>
      </c>
      <c r="J134" s="1" t="s">
        <v>51</v>
      </c>
      <c r="K134" s="1">
        <v>1133</v>
      </c>
      <c r="L134" s="1" t="str">
        <f t="shared" si="0"/>
        <v>ELIGIBLE</v>
      </c>
    </row>
    <row r="135" spans="1:12" x14ac:dyDescent="0.3">
      <c r="A135" s="1" t="s">
        <v>57</v>
      </c>
      <c r="B135" s="1" t="s">
        <v>31</v>
      </c>
      <c r="C135" s="1" t="s">
        <v>34</v>
      </c>
      <c r="D135" s="1" t="s">
        <v>61</v>
      </c>
      <c r="E135" s="1">
        <v>10</v>
      </c>
      <c r="F135" s="1">
        <v>29217</v>
      </c>
      <c r="G135" s="1">
        <v>15</v>
      </c>
      <c r="H135" s="2">
        <v>46148</v>
      </c>
      <c r="I135" s="2">
        <v>46150</v>
      </c>
      <c r="J135" s="1" t="s">
        <v>24</v>
      </c>
      <c r="K135" s="1">
        <v>1134</v>
      </c>
      <c r="L135" s="1" t="str">
        <f t="shared" si="0"/>
        <v>NOT ELIGIBLE</v>
      </c>
    </row>
    <row r="136" spans="1:12" x14ac:dyDescent="0.3">
      <c r="A136" s="1" t="s">
        <v>49</v>
      </c>
      <c r="B136" s="1" t="s">
        <v>43</v>
      </c>
      <c r="C136" s="1" t="s">
        <v>34</v>
      </c>
      <c r="D136" s="1" t="s">
        <v>39</v>
      </c>
      <c r="E136" s="1">
        <v>14</v>
      </c>
      <c r="F136" s="1">
        <v>68534</v>
      </c>
      <c r="G136" s="1">
        <v>0</v>
      </c>
      <c r="H136" s="2">
        <v>46041</v>
      </c>
      <c r="I136" s="2">
        <v>46042</v>
      </c>
      <c r="J136" s="1" t="s">
        <v>15</v>
      </c>
      <c r="K136" s="1">
        <v>1135</v>
      </c>
      <c r="L136" s="1" t="str">
        <f t="shared" si="0"/>
        <v>ELIGIBLE</v>
      </c>
    </row>
    <row r="137" spans="1:12" x14ac:dyDescent="0.3">
      <c r="A137" s="1" t="s">
        <v>27</v>
      </c>
      <c r="B137" s="1" t="s">
        <v>43</v>
      </c>
      <c r="C137" s="1" t="s">
        <v>18</v>
      </c>
      <c r="D137" s="1" t="s">
        <v>56</v>
      </c>
      <c r="E137" s="1">
        <v>19</v>
      </c>
      <c r="F137" s="1">
        <v>14528</v>
      </c>
      <c r="G137" s="1">
        <v>12</v>
      </c>
      <c r="H137" s="2">
        <v>46056</v>
      </c>
      <c r="I137" s="2">
        <v>46062</v>
      </c>
      <c r="J137" s="1" t="s">
        <v>24</v>
      </c>
      <c r="K137" s="1">
        <v>1136</v>
      </c>
      <c r="L137" s="1" t="str">
        <f t="shared" si="0"/>
        <v>ELIGIBLE</v>
      </c>
    </row>
    <row r="138" spans="1:12" x14ac:dyDescent="0.3">
      <c r="A138" s="1" t="s">
        <v>52</v>
      </c>
      <c r="B138" s="1" t="s">
        <v>12</v>
      </c>
      <c r="C138" s="1" t="s">
        <v>13</v>
      </c>
      <c r="D138" s="1" t="s">
        <v>37</v>
      </c>
      <c r="E138" s="1">
        <v>16</v>
      </c>
      <c r="F138" s="1">
        <v>270</v>
      </c>
      <c r="G138" s="1">
        <v>10</v>
      </c>
      <c r="H138" s="2">
        <v>46184</v>
      </c>
      <c r="I138" s="2">
        <v>46190</v>
      </c>
      <c r="J138" s="1" t="s">
        <v>29</v>
      </c>
      <c r="K138" s="1">
        <v>1137</v>
      </c>
      <c r="L138" s="1" t="str">
        <f t="shared" si="0"/>
        <v>ELIGIBLE</v>
      </c>
    </row>
    <row r="139" spans="1:12" x14ac:dyDescent="0.3">
      <c r="A139" s="1" t="s">
        <v>55</v>
      </c>
      <c r="B139" s="1" t="s">
        <v>43</v>
      </c>
      <c r="C139" s="1" t="s">
        <v>18</v>
      </c>
      <c r="D139" s="1" t="s">
        <v>19</v>
      </c>
      <c r="E139" s="1">
        <v>5</v>
      </c>
      <c r="F139" s="1">
        <v>14466</v>
      </c>
      <c r="G139" s="1">
        <v>2</v>
      </c>
      <c r="H139" s="2">
        <v>46084</v>
      </c>
      <c r="I139" s="2">
        <v>46092</v>
      </c>
      <c r="J139" s="1" t="s">
        <v>51</v>
      </c>
      <c r="K139" s="1">
        <v>1138</v>
      </c>
      <c r="L139" s="1" t="str">
        <f t="shared" si="0"/>
        <v>ELIGIBLE</v>
      </c>
    </row>
    <row r="140" spans="1:12" x14ac:dyDescent="0.3">
      <c r="A140" s="1" t="s">
        <v>55</v>
      </c>
      <c r="B140" s="1" t="s">
        <v>33</v>
      </c>
      <c r="C140" s="1" t="s">
        <v>34</v>
      </c>
      <c r="D140" s="1" t="s">
        <v>61</v>
      </c>
      <c r="E140" s="1">
        <v>17</v>
      </c>
      <c r="F140" s="1">
        <v>28839</v>
      </c>
      <c r="G140" s="1">
        <v>10</v>
      </c>
      <c r="H140" s="2">
        <v>46093</v>
      </c>
      <c r="I140" s="2">
        <v>46099</v>
      </c>
      <c r="J140" s="1" t="s">
        <v>15</v>
      </c>
      <c r="K140" s="1">
        <v>1139</v>
      </c>
      <c r="L140" s="1" t="str">
        <f t="shared" si="0"/>
        <v>NOT ELIGIBLE</v>
      </c>
    </row>
    <row r="141" spans="1:12" x14ac:dyDescent="0.3">
      <c r="A141" s="1" t="s">
        <v>57</v>
      </c>
      <c r="B141" s="1" t="s">
        <v>38</v>
      </c>
      <c r="C141" s="1" t="s">
        <v>34</v>
      </c>
      <c r="D141" s="1" t="s">
        <v>41</v>
      </c>
      <c r="E141" s="1">
        <v>5</v>
      </c>
      <c r="F141" s="1">
        <v>68012</v>
      </c>
      <c r="G141" s="1">
        <v>5</v>
      </c>
      <c r="H141" s="2">
        <v>46061</v>
      </c>
      <c r="I141" s="2">
        <v>46065</v>
      </c>
      <c r="J141" s="1" t="s">
        <v>15</v>
      </c>
      <c r="K141" s="1">
        <v>1140</v>
      </c>
      <c r="L141" s="1" t="str">
        <f t="shared" si="0"/>
        <v>ELIGIBLE</v>
      </c>
    </row>
    <row r="142" spans="1:12" x14ac:dyDescent="0.3">
      <c r="A142" s="1" t="s">
        <v>11</v>
      </c>
      <c r="B142" s="1" t="s">
        <v>17</v>
      </c>
      <c r="C142" s="1" t="s">
        <v>18</v>
      </c>
      <c r="D142" s="1" t="s">
        <v>44</v>
      </c>
      <c r="E142" s="1">
        <v>20</v>
      </c>
      <c r="F142" s="1">
        <v>6835</v>
      </c>
      <c r="G142" s="1">
        <v>2</v>
      </c>
      <c r="H142" s="2">
        <v>46043</v>
      </c>
      <c r="I142" s="2">
        <v>46053</v>
      </c>
      <c r="J142" s="1" t="s">
        <v>15</v>
      </c>
      <c r="K142" s="1">
        <v>1141</v>
      </c>
      <c r="L142" s="1" t="str">
        <f t="shared" si="0"/>
        <v>ELIGIBLE</v>
      </c>
    </row>
    <row r="143" spans="1:12" x14ac:dyDescent="0.3">
      <c r="A143" s="1" t="s">
        <v>40</v>
      </c>
      <c r="B143" s="1" t="s">
        <v>25</v>
      </c>
      <c r="C143" s="1" t="s">
        <v>34</v>
      </c>
      <c r="D143" s="1" t="s">
        <v>60</v>
      </c>
      <c r="E143" s="1">
        <v>9</v>
      </c>
      <c r="F143" s="1">
        <v>59788</v>
      </c>
      <c r="G143" s="1">
        <v>7</v>
      </c>
      <c r="H143" s="2">
        <v>46064</v>
      </c>
      <c r="I143" s="2">
        <v>46071</v>
      </c>
      <c r="J143" s="1" t="s">
        <v>29</v>
      </c>
      <c r="K143" s="1">
        <v>1142</v>
      </c>
      <c r="L143" s="1" t="str">
        <f t="shared" si="0"/>
        <v>ELIGIBLE</v>
      </c>
    </row>
    <row r="144" spans="1:12" x14ac:dyDescent="0.3">
      <c r="A144" s="1" t="s">
        <v>29</v>
      </c>
      <c r="B144" s="1" t="s">
        <v>17</v>
      </c>
      <c r="C144" s="1" t="s">
        <v>13</v>
      </c>
      <c r="D144" s="1" t="s">
        <v>37</v>
      </c>
      <c r="E144" s="1">
        <v>13</v>
      </c>
      <c r="F144" s="1">
        <v>456</v>
      </c>
      <c r="G144" s="1">
        <v>2</v>
      </c>
      <c r="H144" s="2">
        <v>46160</v>
      </c>
      <c r="I144" s="2">
        <v>46167</v>
      </c>
      <c r="J144" s="1" t="s">
        <v>24</v>
      </c>
      <c r="K144" s="1">
        <v>1143</v>
      </c>
      <c r="L144" s="1" t="str">
        <f t="shared" si="0"/>
        <v>ELIGIBLE</v>
      </c>
    </row>
    <row r="145" spans="1:12" x14ac:dyDescent="0.3">
      <c r="A145" s="1" t="s">
        <v>42</v>
      </c>
      <c r="B145" s="1" t="s">
        <v>25</v>
      </c>
      <c r="C145" s="1" t="s">
        <v>13</v>
      </c>
      <c r="D145" s="1" t="s">
        <v>14</v>
      </c>
      <c r="E145" s="1">
        <v>16</v>
      </c>
      <c r="F145" s="1">
        <v>219</v>
      </c>
      <c r="G145" s="1">
        <v>7</v>
      </c>
      <c r="H145" s="2">
        <v>46138</v>
      </c>
      <c r="I145" s="2">
        <v>46140</v>
      </c>
      <c r="J145" s="1" t="s">
        <v>20</v>
      </c>
      <c r="K145" s="1">
        <v>1144</v>
      </c>
      <c r="L145" s="1" t="str">
        <f t="shared" si="0"/>
        <v>ELIGIBLE</v>
      </c>
    </row>
    <row r="146" spans="1:12" x14ac:dyDescent="0.3">
      <c r="A146" s="1" t="s">
        <v>42</v>
      </c>
      <c r="B146" s="1" t="s">
        <v>33</v>
      </c>
      <c r="C146" s="1" t="s">
        <v>34</v>
      </c>
      <c r="D146" s="1" t="s">
        <v>39</v>
      </c>
      <c r="E146" s="1">
        <v>2</v>
      </c>
      <c r="F146" s="1">
        <v>34429</v>
      </c>
      <c r="G146" s="1">
        <v>12</v>
      </c>
      <c r="H146" s="2">
        <v>46102</v>
      </c>
      <c r="I146" s="2">
        <v>46112</v>
      </c>
      <c r="J146" s="1" t="s">
        <v>24</v>
      </c>
      <c r="K146" s="1">
        <v>1145</v>
      </c>
      <c r="L146" s="1" t="str">
        <f t="shared" si="0"/>
        <v>NOT ELIGIBLE</v>
      </c>
    </row>
    <row r="147" spans="1:12" x14ac:dyDescent="0.3">
      <c r="A147" s="1" t="s">
        <v>16</v>
      </c>
      <c r="B147" s="1" t="s">
        <v>43</v>
      </c>
      <c r="C147" s="1" t="s">
        <v>34</v>
      </c>
      <c r="D147" s="1" t="s">
        <v>45</v>
      </c>
      <c r="E147" s="1">
        <v>7</v>
      </c>
      <c r="F147" s="1">
        <v>68217</v>
      </c>
      <c r="G147" s="1">
        <v>0</v>
      </c>
      <c r="H147" s="2">
        <v>46190</v>
      </c>
      <c r="I147" s="2">
        <v>46197</v>
      </c>
      <c r="J147" s="1" t="s">
        <v>29</v>
      </c>
      <c r="K147" s="1">
        <v>1146</v>
      </c>
      <c r="L147" s="1" t="str">
        <f t="shared" si="0"/>
        <v>ELIGIBLE</v>
      </c>
    </row>
    <row r="148" spans="1:12" x14ac:dyDescent="0.3">
      <c r="A148" s="1" t="s">
        <v>11</v>
      </c>
      <c r="B148" s="1" t="s">
        <v>22</v>
      </c>
      <c r="C148" s="1" t="s">
        <v>18</v>
      </c>
      <c r="D148" s="1" t="s">
        <v>28</v>
      </c>
      <c r="E148" s="1">
        <v>7</v>
      </c>
      <c r="F148" s="1">
        <v>9581</v>
      </c>
      <c r="G148" s="1">
        <v>5</v>
      </c>
      <c r="H148" s="2">
        <v>46154</v>
      </c>
      <c r="I148" s="2">
        <v>46155</v>
      </c>
      <c r="J148" s="1" t="s">
        <v>20</v>
      </c>
      <c r="K148" s="1">
        <v>1147</v>
      </c>
      <c r="L148" s="1" t="str">
        <f t="shared" si="0"/>
        <v>ELIGIBLE</v>
      </c>
    </row>
    <row r="149" spans="1:12" x14ac:dyDescent="0.3">
      <c r="A149" s="1" t="s">
        <v>59</v>
      </c>
      <c r="B149" s="1" t="s">
        <v>33</v>
      </c>
      <c r="C149" s="1" t="s">
        <v>18</v>
      </c>
      <c r="D149" s="1" t="s">
        <v>28</v>
      </c>
      <c r="E149" s="1">
        <v>11</v>
      </c>
      <c r="F149" s="1">
        <v>3023</v>
      </c>
      <c r="G149" s="1">
        <v>7</v>
      </c>
      <c r="H149" s="2">
        <v>46030</v>
      </c>
      <c r="I149" s="2">
        <v>46032</v>
      </c>
      <c r="J149" s="1" t="s">
        <v>24</v>
      </c>
      <c r="K149" s="1">
        <v>1148</v>
      </c>
      <c r="L149" s="1" t="str">
        <f t="shared" si="0"/>
        <v>ELIGIBLE</v>
      </c>
    </row>
    <row r="150" spans="1:12" x14ac:dyDescent="0.3">
      <c r="A150" s="1" t="s">
        <v>26</v>
      </c>
      <c r="B150" s="1" t="s">
        <v>38</v>
      </c>
      <c r="C150" s="1" t="s">
        <v>34</v>
      </c>
      <c r="D150" s="1" t="s">
        <v>35</v>
      </c>
      <c r="E150" s="1">
        <v>10</v>
      </c>
      <c r="F150" s="1">
        <v>22853</v>
      </c>
      <c r="G150" s="1">
        <v>7</v>
      </c>
      <c r="H150" s="2">
        <v>46053</v>
      </c>
      <c r="I150" s="2">
        <v>46054</v>
      </c>
      <c r="J150" s="1" t="s">
        <v>29</v>
      </c>
      <c r="K150" s="1">
        <v>1149</v>
      </c>
      <c r="L150" s="1" t="str">
        <f t="shared" si="0"/>
        <v>ELIGIBLE</v>
      </c>
    </row>
    <row r="151" spans="1:12" x14ac:dyDescent="0.3">
      <c r="A151" s="1" t="s">
        <v>42</v>
      </c>
      <c r="B151" s="1" t="s">
        <v>12</v>
      </c>
      <c r="C151" s="1" t="s">
        <v>18</v>
      </c>
      <c r="D151" s="1" t="s">
        <v>56</v>
      </c>
      <c r="E151" s="1">
        <v>10</v>
      </c>
      <c r="F151" s="1">
        <v>5323</v>
      </c>
      <c r="G151" s="1">
        <v>7</v>
      </c>
      <c r="H151" s="2">
        <v>46143</v>
      </c>
      <c r="I151" s="2">
        <v>46153</v>
      </c>
      <c r="J151" s="1" t="s">
        <v>24</v>
      </c>
      <c r="K151" s="1">
        <v>1150</v>
      </c>
      <c r="L151" s="1" t="str">
        <f t="shared" si="0"/>
        <v>ELIGIBLE</v>
      </c>
    </row>
    <row r="152" spans="1:12" x14ac:dyDescent="0.3">
      <c r="A152" s="1" t="s">
        <v>46</v>
      </c>
      <c r="B152" s="1" t="s">
        <v>43</v>
      </c>
      <c r="C152" s="1" t="s">
        <v>13</v>
      </c>
      <c r="D152" s="1" t="s">
        <v>50</v>
      </c>
      <c r="E152" s="1">
        <v>20</v>
      </c>
      <c r="F152" s="1">
        <v>272</v>
      </c>
      <c r="G152" s="1">
        <v>15</v>
      </c>
      <c r="H152" s="2">
        <v>46024</v>
      </c>
      <c r="I152" s="2">
        <v>46029</v>
      </c>
      <c r="J152" s="1" t="s">
        <v>51</v>
      </c>
      <c r="K152" s="1">
        <v>1151</v>
      </c>
      <c r="L152" s="1" t="str">
        <f t="shared" si="0"/>
        <v>ELIGIBLE</v>
      </c>
    </row>
    <row r="153" spans="1:12" x14ac:dyDescent="0.3">
      <c r="A153" s="1" t="s">
        <v>27</v>
      </c>
      <c r="B153" s="1" t="s">
        <v>31</v>
      </c>
      <c r="C153" s="1" t="s">
        <v>34</v>
      </c>
      <c r="D153" s="1" t="s">
        <v>61</v>
      </c>
      <c r="E153" s="1">
        <v>14</v>
      </c>
      <c r="F153" s="1">
        <v>8150</v>
      </c>
      <c r="G153" s="1">
        <v>10</v>
      </c>
      <c r="H153" s="2">
        <v>46062</v>
      </c>
      <c r="I153" s="2">
        <v>46070</v>
      </c>
      <c r="J153" s="1" t="s">
        <v>15</v>
      </c>
      <c r="K153" s="1">
        <v>1152</v>
      </c>
      <c r="L153" s="1" t="str">
        <f t="shared" si="0"/>
        <v>NOT ELIGIBLE</v>
      </c>
    </row>
    <row r="154" spans="1:12" x14ac:dyDescent="0.3">
      <c r="A154" s="1" t="s">
        <v>42</v>
      </c>
      <c r="B154" s="1" t="s">
        <v>25</v>
      </c>
      <c r="C154" s="1" t="s">
        <v>18</v>
      </c>
      <c r="D154" s="1" t="s">
        <v>23</v>
      </c>
      <c r="E154" s="1">
        <v>19</v>
      </c>
      <c r="F154" s="1">
        <v>10273</v>
      </c>
      <c r="G154" s="1">
        <v>12</v>
      </c>
      <c r="H154" s="2">
        <v>46069</v>
      </c>
      <c r="I154" s="2">
        <v>46072</v>
      </c>
      <c r="J154" s="1" t="s">
        <v>29</v>
      </c>
      <c r="K154" s="1">
        <v>1153</v>
      </c>
      <c r="L154" s="1" t="str">
        <f t="shared" si="0"/>
        <v>ELIGIBLE</v>
      </c>
    </row>
    <row r="155" spans="1:12" x14ac:dyDescent="0.3">
      <c r="A155" s="1" t="s">
        <v>32</v>
      </c>
      <c r="B155" s="1" t="s">
        <v>17</v>
      </c>
      <c r="C155" s="1" t="s">
        <v>18</v>
      </c>
      <c r="D155" s="1" t="s">
        <v>56</v>
      </c>
      <c r="E155" s="1">
        <v>15</v>
      </c>
      <c r="F155" s="1">
        <v>6101</v>
      </c>
      <c r="G155" s="1">
        <v>0</v>
      </c>
      <c r="H155" s="2">
        <v>46178</v>
      </c>
      <c r="I155" s="2">
        <v>46183</v>
      </c>
      <c r="J155" s="1" t="s">
        <v>51</v>
      </c>
      <c r="K155" s="1">
        <v>1154</v>
      </c>
      <c r="L155" s="1" t="str">
        <f t="shared" si="0"/>
        <v>ELIGIBLE</v>
      </c>
    </row>
    <row r="156" spans="1:12" x14ac:dyDescent="0.3">
      <c r="A156" s="1" t="s">
        <v>11</v>
      </c>
      <c r="B156" s="1" t="s">
        <v>31</v>
      </c>
      <c r="C156" s="1" t="s">
        <v>18</v>
      </c>
      <c r="D156" s="1" t="s">
        <v>28</v>
      </c>
      <c r="E156" s="1">
        <v>13</v>
      </c>
      <c r="F156" s="1">
        <v>4341</v>
      </c>
      <c r="G156" s="1">
        <v>15</v>
      </c>
      <c r="H156" s="2">
        <v>46093</v>
      </c>
      <c r="I156" s="2">
        <v>46096</v>
      </c>
      <c r="J156" s="1" t="s">
        <v>24</v>
      </c>
      <c r="K156" s="1">
        <v>1155</v>
      </c>
      <c r="L156" s="1" t="str">
        <f t="shared" si="0"/>
        <v>ELIGIBLE</v>
      </c>
    </row>
    <row r="157" spans="1:12" x14ac:dyDescent="0.3">
      <c r="A157" s="1" t="s">
        <v>54</v>
      </c>
      <c r="B157" s="1" t="s">
        <v>38</v>
      </c>
      <c r="C157" s="1" t="s">
        <v>13</v>
      </c>
      <c r="D157" s="1" t="s">
        <v>36</v>
      </c>
      <c r="E157" s="1">
        <v>5</v>
      </c>
      <c r="F157" s="1">
        <v>466</v>
      </c>
      <c r="G157" s="1">
        <v>15</v>
      </c>
      <c r="H157" s="2">
        <v>46025</v>
      </c>
      <c r="I157" s="2">
        <v>46029</v>
      </c>
      <c r="J157" s="1" t="s">
        <v>15</v>
      </c>
      <c r="K157" s="1">
        <v>1156</v>
      </c>
      <c r="L157" s="1" t="str">
        <f t="shared" si="0"/>
        <v>ELIGIBLE</v>
      </c>
    </row>
    <row r="158" spans="1:12" x14ac:dyDescent="0.3">
      <c r="A158" s="1" t="s">
        <v>52</v>
      </c>
      <c r="B158" s="1" t="s">
        <v>33</v>
      </c>
      <c r="C158" s="1" t="s">
        <v>13</v>
      </c>
      <c r="D158" s="1" t="s">
        <v>50</v>
      </c>
      <c r="E158" s="1">
        <v>3</v>
      </c>
      <c r="F158" s="1">
        <v>203</v>
      </c>
      <c r="G158" s="1">
        <v>15</v>
      </c>
      <c r="H158" s="2">
        <v>46076</v>
      </c>
      <c r="I158" s="2">
        <v>46080</v>
      </c>
      <c r="J158" s="1" t="s">
        <v>29</v>
      </c>
      <c r="K158" s="1">
        <v>1157</v>
      </c>
      <c r="L158" s="1" t="str">
        <f t="shared" si="0"/>
        <v>ELIGIBLE</v>
      </c>
    </row>
    <row r="159" spans="1:12" x14ac:dyDescent="0.3">
      <c r="A159" s="1" t="s">
        <v>26</v>
      </c>
      <c r="B159" s="1" t="s">
        <v>38</v>
      </c>
      <c r="C159" s="1" t="s">
        <v>34</v>
      </c>
      <c r="D159" s="1" t="s">
        <v>41</v>
      </c>
      <c r="E159" s="1">
        <v>13</v>
      </c>
      <c r="F159" s="1">
        <v>12518</v>
      </c>
      <c r="G159" s="1">
        <v>2</v>
      </c>
      <c r="H159" s="2">
        <v>46079</v>
      </c>
      <c r="I159" s="2">
        <v>46082</v>
      </c>
      <c r="J159" s="1" t="s">
        <v>51</v>
      </c>
      <c r="K159" s="1">
        <v>1158</v>
      </c>
      <c r="L159" s="1" t="str">
        <f t="shared" si="0"/>
        <v>ELIGIBLE</v>
      </c>
    </row>
    <row r="160" spans="1:12" x14ac:dyDescent="0.3">
      <c r="A160" s="1" t="s">
        <v>32</v>
      </c>
      <c r="B160" s="1" t="s">
        <v>43</v>
      </c>
      <c r="C160" s="1" t="s">
        <v>18</v>
      </c>
      <c r="D160" s="1" t="s">
        <v>28</v>
      </c>
      <c r="E160" s="1">
        <v>20</v>
      </c>
      <c r="F160" s="1">
        <v>14000</v>
      </c>
      <c r="G160" s="1">
        <v>15</v>
      </c>
      <c r="H160" s="2">
        <v>46184</v>
      </c>
      <c r="I160" s="2">
        <v>46187</v>
      </c>
      <c r="J160" s="1" t="s">
        <v>15</v>
      </c>
      <c r="K160" s="1">
        <v>1159</v>
      </c>
      <c r="L160" s="1" t="str">
        <f t="shared" si="0"/>
        <v>ELIGIBLE</v>
      </c>
    </row>
    <row r="161" spans="1:12" x14ac:dyDescent="0.3">
      <c r="A161" s="1" t="s">
        <v>59</v>
      </c>
      <c r="B161" s="1" t="s">
        <v>22</v>
      </c>
      <c r="C161" s="1" t="s">
        <v>34</v>
      </c>
      <c r="D161" s="1" t="s">
        <v>39</v>
      </c>
      <c r="E161" s="1">
        <v>7</v>
      </c>
      <c r="F161" s="1">
        <v>53986</v>
      </c>
      <c r="G161" s="1">
        <v>10</v>
      </c>
      <c r="H161" s="2">
        <v>46142</v>
      </c>
      <c r="I161" s="2">
        <v>46147</v>
      </c>
      <c r="J161" s="1" t="s">
        <v>51</v>
      </c>
      <c r="K161" s="1">
        <v>1160</v>
      </c>
      <c r="L161" s="1" t="str">
        <f t="shared" si="0"/>
        <v>NOT ELIGIBLE</v>
      </c>
    </row>
    <row r="162" spans="1:12" x14ac:dyDescent="0.3">
      <c r="A162" s="1" t="s">
        <v>27</v>
      </c>
      <c r="B162" s="1" t="s">
        <v>25</v>
      </c>
      <c r="C162" s="1" t="s">
        <v>34</v>
      </c>
      <c r="D162" s="1" t="s">
        <v>39</v>
      </c>
      <c r="E162" s="1">
        <v>4</v>
      </c>
      <c r="F162" s="1">
        <v>54659</v>
      </c>
      <c r="G162" s="1">
        <v>7</v>
      </c>
      <c r="H162" s="2">
        <v>46105</v>
      </c>
      <c r="I162" s="2">
        <v>46109</v>
      </c>
      <c r="J162" s="1" t="s">
        <v>20</v>
      </c>
      <c r="K162" s="1">
        <v>1161</v>
      </c>
      <c r="L162" s="1" t="str">
        <f t="shared" si="0"/>
        <v>ELIGIBLE</v>
      </c>
    </row>
    <row r="163" spans="1:12" x14ac:dyDescent="0.3">
      <c r="A163" s="1" t="s">
        <v>57</v>
      </c>
      <c r="B163" s="1" t="s">
        <v>31</v>
      </c>
      <c r="C163" s="1" t="s">
        <v>34</v>
      </c>
      <c r="D163" s="1" t="s">
        <v>45</v>
      </c>
      <c r="E163" s="1">
        <v>2</v>
      </c>
      <c r="F163" s="1">
        <v>28176</v>
      </c>
      <c r="G163" s="1">
        <v>10</v>
      </c>
      <c r="H163" s="2">
        <v>46100</v>
      </c>
      <c r="I163" s="2">
        <v>46101</v>
      </c>
      <c r="J163" s="1" t="s">
        <v>20</v>
      </c>
      <c r="K163" s="1">
        <v>1162</v>
      </c>
      <c r="L163" s="1" t="str">
        <f t="shared" si="0"/>
        <v>NOT ELIGIBLE</v>
      </c>
    </row>
    <row r="164" spans="1:12" x14ac:dyDescent="0.3">
      <c r="A164" s="1" t="s">
        <v>29</v>
      </c>
      <c r="B164" s="1" t="s">
        <v>38</v>
      </c>
      <c r="C164" s="1" t="s">
        <v>34</v>
      </c>
      <c r="D164" s="1" t="s">
        <v>39</v>
      </c>
      <c r="E164" s="1">
        <v>9</v>
      </c>
      <c r="F164" s="1">
        <v>62440</v>
      </c>
      <c r="G164" s="1">
        <v>2</v>
      </c>
      <c r="H164" s="2">
        <v>46081</v>
      </c>
      <c r="I164" s="2">
        <v>46086</v>
      </c>
      <c r="J164" s="1" t="s">
        <v>29</v>
      </c>
      <c r="K164" s="1">
        <v>1163</v>
      </c>
      <c r="L164" s="1" t="str">
        <f t="shared" si="0"/>
        <v>ELIGIBLE</v>
      </c>
    </row>
    <row r="165" spans="1:12" x14ac:dyDescent="0.3">
      <c r="A165" s="1" t="s">
        <v>40</v>
      </c>
      <c r="B165" s="1" t="s">
        <v>43</v>
      </c>
      <c r="C165" s="1" t="s">
        <v>34</v>
      </c>
      <c r="D165" s="1" t="s">
        <v>61</v>
      </c>
      <c r="E165" s="1">
        <v>7</v>
      </c>
      <c r="F165" s="1">
        <v>24615</v>
      </c>
      <c r="G165" s="1">
        <v>12</v>
      </c>
      <c r="H165" s="2">
        <v>46196</v>
      </c>
      <c r="I165" s="2">
        <v>46203</v>
      </c>
      <c r="J165" s="1" t="s">
        <v>51</v>
      </c>
      <c r="K165" s="1">
        <v>1164</v>
      </c>
      <c r="L165" s="1" t="str">
        <f t="shared" si="0"/>
        <v>NOT ELIGIBLE</v>
      </c>
    </row>
    <row r="166" spans="1:12" x14ac:dyDescent="0.3">
      <c r="A166" s="1" t="s">
        <v>48</v>
      </c>
      <c r="B166" s="1" t="s">
        <v>25</v>
      </c>
      <c r="C166" s="1" t="s">
        <v>13</v>
      </c>
      <c r="D166" s="1" t="s">
        <v>37</v>
      </c>
      <c r="E166" s="1">
        <v>1</v>
      </c>
      <c r="F166" s="1">
        <v>427</v>
      </c>
      <c r="G166" s="1">
        <v>0</v>
      </c>
      <c r="H166" s="2">
        <v>46042</v>
      </c>
      <c r="I166" s="2">
        <v>46050</v>
      </c>
      <c r="J166" s="1" t="s">
        <v>51</v>
      </c>
      <c r="K166" s="1">
        <v>1165</v>
      </c>
      <c r="L166" s="1" t="str">
        <f t="shared" si="0"/>
        <v>ELIGIBLE</v>
      </c>
    </row>
    <row r="167" spans="1:12" x14ac:dyDescent="0.3">
      <c r="A167" s="1" t="s">
        <v>32</v>
      </c>
      <c r="B167" s="1" t="s">
        <v>31</v>
      </c>
      <c r="C167" s="1" t="s">
        <v>13</v>
      </c>
      <c r="D167" s="1" t="s">
        <v>37</v>
      </c>
      <c r="E167" s="1">
        <v>1</v>
      </c>
      <c r="F167" s="1">
        <v>396</v>
      </c>
      <c r="G167" s="1">
        <v>5</v>
      </c>
      <c r="H167" s="2">
        <v>46092</v>
      </c>
      <c r="I167" s="2">
        <v>46093</v>
      </c>
      <c r="J167" s="1" t="s">
        <v>20</v>
      </c>
      <c r="K167" s="1">
        <v>1166</v>
      </c>
      <c r="L167" s="1" t="str">
        <f t="shared" si="0"/>
        <v>ELIGIBLE</v>
      </c>
    </row>
    <row r="168" spans="1:12" x14ac:dyDescent="0.3">
      <c r="A168" s="1" t="s">
        <v>48</v>
      </c>
      <c r="B168" s="1" t="s">
        <v>17</v>
      </c>
      <c r="C168" s="1" t="s">
        <v>13</v>
      </c>
      <c r="D168" s="1" t="s">
        <v>37</v>
      </c>
      <c r="E168" s="1">
        <v>20</v>
      </c>
      <c r="F168" s="1">
        <v>251</v>
      </c>
      <c r="G168" s="1">
        <v>5</v>
      </c>
      <c r="H168" s="2">
        <v>46160</v>
      </c>
      <c r="I168" s="2">
        <v>46170</v>
      </c>
      <c r="J168" s="1" t="s">
        <v>29</v>
      </c>
      <c r="K168" s="1">
        <v>1167</v>
      </c>
      <c r="L168" s="1" t="str">
        <f t="shared" si="0"/>
        <v>ELIGIBLE</v>
      </c>
    </row>
    <row r="169" spans="1:12" x14ac:dyDescent="0.3">
      <c r="A169" s="1" t="s">
        <v>54</v>
      </c>
      <c r="B169" s="1" t="s">
        <v>12</v>
      </c>
      <c r="C169" s="1" t="s">
        <v>13</v>
      </c>
      <c r="D169" s="1" t="s">
        <v>37</v>
      </c>
      <c r="E169" s="1">
        <v>18</v>
      </c>
      <c r="F169" s="1">
        <v>335</v>
      </c>
      <c r="G169" s="1">
        <v>15</v>
      </c>
      <c r="H169" s="2">
        <v>46130</v>
      </c>
      <c r="I169" s="2">
        <v>46140</v>
      </c>
      <c r="J169" s="1" t="s">
        <v>29</v>
      </c>
      <c r="K169" s="1">
        <v>1168</v>
      </c>
      <c r="L169" s="1" t="str">
        <f t="shared" si="0"/>
        <v>ELIGIBLE</v>
      </c>
    </row>
    <row r="170" spans="1:12" x14ac:dyDescent="0.3">
      <c r="A170" s="1" t="s">
        <v>47</v>
      </c>
      <c r="B170" s="1" t="s">
        <v>12</v>
      </c>
      <c r="C170" s="1" t="s">
        <v>18</v>
      </c>
      <c r="D170" s="1" t="s">
        <v>56</v>
      </c>
      <c r="E170" s="1">
        <v>12</v>
      </c>
      <c r="F170" s="1">
        <v>12104</v>
      </c>
      <c r="G170" s="1">
        <v>7</v>
      </c>
      <c r="H170" s="2">
        <v>46121</v>
      </c>
      <c r="I170" s="2">
        <v>46130</v>
      </c>
      <c r="J170" s="1" t="s">
        <v>24</v>
      </c>
      <c r="K170" s="1">
        <v>1169</v>
      </c>
      <c r="L170" s="1" t="str">
        <f t="shared" si="0"/>
        <v>ELIGIBLE</v>
      </c>
    </row>
    <row r="171" spans="1:12" x14ac:dyDescent="0.3">
      <c r="A171" s="1" t="s">
        <v>49</v>
      </c>
      <c r="B171" s="1" t="s">
        <v>38</v>
      </c>
      <c r="C171" s="1" t="s">
        <v>13</v>
      </c>
      <c r="D171" s="1" t="s">
        <v>14</v>
      </c>
      <c r="E171" s="1">
        <v>6</v>
      </c>
      <c r="F171" s="1">
        <v>339</v>
      </c>
      <c r="G171" s="1">
        <v>12</v>
      </c>
      <c r="H171" s="2">
        <v>46105</v>
      </c>
      <c r="I171" s="2">
        <v>46106</v>
      </c>
      <c r="J171" s="1" t="s">
        <v>24</v>
      </c>
      <c r="K171" s="1">
        <v>1170</v>
      </c>
      <c r="L171" s="1" t="str">
        <f t="shared" si="0"/>
        <v>ELIGIBLE</v>
      </c>
    </row>
    <row r="172" spans="1:12" x14ac:dyDescent="0.3">
      <c r="A172" s="1" t="s">
        <v>57</v>
      </c>
      <c r="B172" s="1" t="s">
        <v>25</v>
      </c>
      <c r="C172" s="1" t="s">
        <v>13</v>
      </c>
      <c r="D172" s="1" t="s">
        <v>50</v>
      </c>
      <c r="E172" s="1">
        <v>17</v>
      </c>
      <c r="F172" s="1">
        <v>147</v>
      </c>
      <c r="G172" s="1">
        <v>12</v>
      </c>
      <c r="H172" s="2">
        <v>46155</v>
      </c>
      <c r="I172" s="2">
        <v>46160</v>
      </c>
      <c r="J172" s="1" t="s">
        <v>20</v>
      </c>
      <c r="K172" s="1">
        <v>1171</v>
      </c>
      <c r="L172" s="1" t="str">
        <f t="shared" si="0"/>
        <v>ELIGIBLE</v>
      </c>
    </row>
    <row r="173" spans="1:12" x14ac:dyDescent="0.3">
      <c r="A173" s="1" t="s">
        <v>16</v>
      </c>
      <c r="B173" s="1" t="s">
        <v>12</v>
      </c>
      <c r="C173" s="1" t="s">
        <v>34</v>
      </c>
      <c r="D173" s="1" t="s">
        <v>45</v>
      </c>
      <c r="E173" s="1">
        <v>13</v>
      </c>
      <c r="F173" s="1">
        <v>43163</v>
      </c>
      <c r="G173" s="1">
        <v>12</v>
      </c>
      <c r="H173" s="2">
        <v>46120</v>
      </c>
      <c r="I173" s="2">
        <v>46129</v>
      </c>
      <c r="J173" s="1" t="s">
        <v>24</v>
      </c>
      <c r="K173" s="1">
        <v>1172</v>
      </c>
      <c r="L173" s="1" t="str">
        <f t="shared" si="0"/>
        <v>NOT ELIGIBLE</v>
      </c>
    </row>
    <row r="174" spans="1:12" x14ac:dyDescent="0.3">
      <c r="A174" s="1" t="s">
        <v>40</v>
      </c>
      <c r="B174" s="1" t="s">
        <v>17</v>
      </c>
      <c r="C174" s="1" t="s">
        <v>13</v>
      </c>
      <c r="D174" s="1" t="s">
        <v>37</v>
      </c>
      <c r="E174" s="1">
        <v>15</v>
      </c>
      <c r="F174" s="1">
        <v>214</v>
      </c>
      <c r="G174" s="1">
        <v>10</v>
      </c>
      <c r="H174" s="2">
        <v>46050</v>
      </c>
      <c r="I174" s="2">
        <v>46060</v>
      </c>
      <c r="J174" s="1" t="s">
        <v>51</v>
      </c>
      <c r="K174" s="1">
        <v>1173</v>
      </c>
      <c r="L174" s="1" t="str">
        <f t="shared" si="0"/>
        <v>ELIGIBLE</v>
      </c>
    </row>
    <row r="175" spans="1:12" x14ac:dyDescent="0.3">
      <c r="A175" s="1" t="s">
        <v>58</v>
      </c>
      <c r="B175" s="1" t="s">
        <v>38</v>
      </c>
      <c r="C175" s="1" t="s">
        <v>13</v>
      </c>
      <c r="D175" s="1" t="s">
        <v>14</v>
      </c>
      <c r="E175" s="1">
        <v>13</v>
      </c>
      <c r="F175" s="1">
        <v>155</v>
      </c>
      <c r="G175" s="1">
        <v>2</v>
      </c>
      <c r="H175" s="2">
        <v>46066</v>
      </c>
      <c r="I175" s="2">
        <v>46069</v>
      </c>
      <c r="J175" s="1" t="s">
        <v>24</v>
      </c>
      <c r="K175" s="1">
        <v>1174</v>
      </c>
      <c r="L175" s="1" t="str">
        <f t="shared" si="0"/>
        <v>ELIGIBLE</v>
      </c>
    </row>
    <row r="176" spans="1:12" x14ac:dyDescent="0.3">
      <c r="A176" s="1" t="s">
        <v>26</v>
      </c>
      <c r="B176" s="1" t="s">
        <v>17</v>
      </c>
      <c r="C176" s="1" t="s">
        <v>34</v>
      </c>
      <c r="D176" s="1" t="s">
        <v>41</v>
      </c>
      <c r="E176" s="1">
        <v>10</v>
      </c>
      <c r="F176" s="1">
        <v>20339</v>
      </c>
      <c r="G176" s="1">
        <v>2</v>
      </c>
      <c r="H176" s="2">
        <v>46088</v>
      </c>
      <c r="I176" s="2">
        <v>46094</v>
      </c>
      <c r="J176" s="1" t="s">
        <v>20</v>
      </c>
      <c r="K176" s="1">
        <v>1175</v>
      </c>
      <c r="L176" s="1" t="str">
        <f t="shared" si="0"/>
        <v>ELIGIBLE</v>
      </c>
    </row>
    <row r="177" spans="1:12" x14ac:dyDescent="0.3">
      <c r="A177" s="1" t="s">
        <v>58</v>
      </c>
      <c r="B177" s="1" t="s">
        <v>38</v>
      </c>
      <c r="C177" s="1" t="s">
        <v>34</v>
      </c>
      <c r="D177" s="1" t="s">
        <v>41</v>
      </c>
      <c r="E177" s="1">
        <v>17</v>
      </c>
      <c r="F177" s="1">
        <v>46937</v>
      </c>
      <c r="G177" s="1">
        <v>12</v>
      </c>
      <c r="H177" s="2">
        <v>46048</v>
      </c>
      <c r="I177" s="2">
        <v>46056</v>
      </c>
      <c r="J177" s="1" t="s">
        <v>29</v>
      </c>
      <c r="K177" s="1">
        <v>1176</v>
      </c>
      <c r="L177" s="1" t="str">
        <f t="shared" si="0"/>
        <v>NOT ELIGIBLE</v>
      </c>
    </row>
    <row r="178" spans="1:12" x14ac:dyDescent="0.3">
      <c r="A178" s="1" t="s">
        <v>29</v>
      </c>
      <c r="B178" s="1" t="s">
        <v>22</v>
      </c>
      <c r="C178" s="1" t="s">
        <v>18</v>
      </c>
      <c r="D178" s="1" t="s">
        <v>19</v>
      </c>
      <c r="E178" s="1">
        <v>14</v>
      </c>
      <c r="F178" s="1">
        <v>7501</v>
      </c>
      <c r="G178" s="1">
        <v>7</v>
      </c>
      <c r="H178" s="2">
        <v>46169</v>
      </c>
      <c r="I178" s="2">
        <v>46179</v>
      </c>
      <c r="J178" s="1" t="s">
        <v>20</v>
      </c>
      <c r="K178" s="1">
        <v>1177</v>
      </c>
      <c r="L178" s="1" t="str">
        <f t="shared" si="0"/>
        <v>ELIGIBLE</v>
      </c>
    </row>
    <row r="179" spans="1:12" x14ac:dyDescent="0.3">
      <c r="A179" s="1" t="s">
        <v>57</v>
      </c>
      <c r="B179" s="1" t="s">
        <v>17</v>
      </c>
      <c r="C179" s="1" t="s">
        <v>13</v>
      </c>
      <c r="D179" s="1" t="s">
        <v>50</v>
      </c>
      <c r="E179" s="1">
        <v>5</v>
      </c>
      <c r="F179" s="1">
        <v>50</v>
      </c>
      <c r="G179" s="1">
        <v>0</v>
      </c>
      <c r="H179" s="2">
        <v>46111</v>
      </c>
      <c r="I179" s="2">
        <v>46117</v>
      </c>
      <c r="J179" s="1" t="s">
        <v>20</v>
      </c>
      <c r="K179" s="1">
        <v>1178</v>
      </c>
      <c r="L179" s="1" t="str">
        <f t="shared" si="0"/>
        <v>ELIGIBLE</v>
      </c>
    </row>
    <row r="180" spans="1:12" x14ac:dyDescent="0.3">
      <c r="A180" s="1" t="s">
        <v>47</v>
      </c>
      <c r="B180" s="1" t="s">
        <v>17</v>
      </c>
      <c r="C180" s="1" t="s">
        <v>34</v>
      </c>
      <c r="D180" s="1" t="s">
        <v>39</v>
      </c>
      <c r="E180" s="1">
        <v>6</v>
      </c>
      <c r="F180" s="1">
        <v>10400</v>
      </c>
      <c r="G180" s="1">
        <v>2</v>
      </c>
      <c r="H180" s="2">
        <v>46155</v>
      </c>
      <c r="I180" s="2">
        <v>46158</v>
      </c>
      <c r="J180" s="1" t="s">
        <v>15</v>
      </c>
      <c r="K180" s="1">
        <v>1179</v>
      </c>
      <c r="L180" s="1" t="str">
        <f t="shared" si="0"/>
        <v>ELIGIBLE</v>
      </c>
    </row>
    <row r="181" spans="1:12" x14ac:dyDescent="0.3">
      <c r="A181" s="1" t="s">
        <v>40</v>
      </c>
      <c r="B181" s="1" t="s">
        <v>31</v>
      </c>
      <c r="C181" s="1" t="s">
        <v>18</v>
      </c>
      <c r="D181" s="1" t="s">
        <v>28</v>
      </c>
      <c r="E181" s="1">
        <v>2</v>
      </c>
      <c r="F181" s="1">
        <v>2076</v>
      </c>
      <c r="G181" s="1">
        <v>2</v>
      </c>
      <c r="H181" s="2">
        <v>46111</v>
      </c>
      <c r="I181" s="2">
        <v>46121</v>
      </c>
      <c r="J181" s="1" t="s">
        <v>29</v>
      </c>
      <c r="K181" s="1">
        <v>1180</v>
      </c>
      <c r="L181" s="1" t="str">
        <f t="shared" si="0"/>
        <v>ELIGIBLE</v>
      </c>
    </row>
    <row r="182" spans="1:12" x14ac:dyDescent="0.3">
      <c r="A182" s="1" t="s">
        <v>58</v>
      </c>
      <c r="B182" s="1" t="s">
        <v>33</v>
      </c>
      <c r="C182" s="1" t="s">
        <v>13</v>
      </c>
      <c r="D182" s="1" t="s">
        <v>36</v>
      </c>
      <c r="E182" s="1">
        <v>4</v>
      </c>
      <c r="F182" s="1">
        <v>357</v>
      </c>
      <c r="G182" s="1">
        <v>2</v>
      </c>
      <c r="H182" s="2">
        <v>46033</v>
      </c>
      <c r="I182" s="2">
        <v>46035</v>
      </c>
      <c r="J182" s="1" t="s">
        <v>15</v>
      </c>
      <c r="K182" s="1">
        <v>1181</v>
      </c>
      <c r="L182" s="1" t="str">
        <f t="shared" si="0"/>
        <v>ELIGIBLE</v>
      </c>
    </row>
    <row r="183" spans="1:12" x14ac:dyDescent="0.3">
      <c r="A183" s="1" t="s">
        <v>42</v>
      </c>
      <c r="B183" s="1" t="s">
        <v>12</v>
      </c>
      <c r="C183" s="1" t="s">
        <v>34</v>
      </c>
      <c r="D183" s="1" t="s">
        <v>39</v>
      </c>
      <c r="E183" s="1">
        <v>8</v>
      </c>
      <c r="F183" s="1">
        <v>66022</v>
      </c>
      <c r="G183" s="1">
        <v>12</v>
      </c>
      <c r="H183" s="2">
        <v>46108</v>
      </c>
      <c r="I183" s="2">
        <v>46114</v>
      </c>
      <c r="J183" s="1" t="s">
        <v>24</v>
      </c>
      <c r="K183" s="1">
        <v>1182</v>
      </c>
      <c r="L183" s="1" t="str">
        <f t="shared" si="0"/>
        <v>NOT ELIGIBLE</v>
      </c>
    </row>
    <row r="184" spans="1:12" x14ac:dyDescent="0.3">
      <c r="A184" s="1" t="s">
        <v>52</v>
      </c>
      <c r="B184" s="1" t="s">
        <v>43</v>
      </c>
      <c r="C184" s="1" t="s">
        <v>13</v>
      </c>
      <c r="D184" s="1" t="s">
        <v>14</v>
      </c>
      <c r="E184" s="1">
        <v>2</v>
      </c>
      <c r="F184" s="1">
        <v>309</v>
      </c>
      <c r="G184" s="1">
        <v>2</v>
      </c>
      <c r="H184" s="2">
        <v>46109</v>
      </c>
      <c r="I184" s="2">
        <v>46111</v>
      </c>
      <c r="J184" s="1" t="s">
        <v>20</v>
      </c>
      <c r="K184" s="1">
        <v>1183</v>
      </c>
      <c r="L184" s="1" t="str">
        <f t="shared" si="0"/>
        <v>ELIGIBLE</v>
      </c>
    </row>
    <row r="185" spans="1:12" x14ac:dyDescent="0.3">
      <c r="A185" s="1" t="s">
        <v>40</v>
      </c>
      <c r="B185" s="1" t="s">
        <v>31</v>
      </c>
      <c r="C185" s="1" t="s">
        <v>34</v>
      </c>
      <c r="D185" s="1" t="s">
        <v>39</v>
      </c>
      <c r="E185" s="1">
        <v>12</v>
      </c>
      <c r="F185" s="1">
        <v>50517</v>
      </c>
      <c r="G185" s="1">
        <v>15</v>
      </c>
      <c r="H185" s="2">
        <v>46145</v>
      </c>
      <c r="I185" s="2">
        <v>46153</v>
      </c>
      <c r="J185" s="1" t="s">
        <v>29</v>
      </c>
      <c r="K185" s="1">
        <v>1184</v>
      </c>
      <c r="L185" s="1" t="str">
        <f t="shared" si="0"/>
        <v>NOT ELIGIBLE</v>
      </c>
    </row>
    <row r="186" spans="1:12" x14ac:dyDescent="0.3">
      <c r="A186" s="1" t="s">
        <v>58</v>
      </c>
      <c r="B186" s="1" t="s">
        <v>22</v>
      </c>
      <c r="C186" s="1" t="s">
        <v>34</v>
      </c>
      <c r="D186" s="1" t="s">
        <v>60</v>
      </c>
      <c r="E186" s="1">
        <v>16</v>
      </c>
      <c r="F186" s="1">
        <v>15536</v>
      </c>
      <c r="G186" s="1">
        <v>2</v>
      </c>
      <c r="H186" s="2">
        <v>46153</v>
      </c>
      <c r="I186" s="2">
        <v>46156</v>
      </c>
      <c r="J186" s="1" t="s">
        <v>15</v>
      </c>
      <c r="K186" s="1">
        <v>1185</v>
      </c>
      <c r="L186" s="1" t="str">
        <f t="shared" si="0"/>
        <v>ELIGIBLE</v>
      </c>
    </row>
    <row r="187" spans="1:12" x14ac:dyDescent="0.3">
      <c r="A187" s="1" t="s">
        <v>16</v>
      </c>
      <c r="B187" s="1" t="s">
        <v>25</v>
      </c>
      <c r="C187" s="1" t="s">
        <v>18</v>
      </c>
      <c r="D187" s="1" t="s">
        <v>44</v>
      </c>
      <c r="E187" s="1">
        <v>10</v>
      </c>
      <c r="F187" s="1">
        <v>14951</v>
      </c>
      <c r="G187" s="1">
        <v>2</v>
      </c>
      <c r="H187" s="2">
        <v>46188</v>
      </c>
      <c r="I187" s="2">
        <v>46196</v>
      </c>
      <c r="J187" s="1" t="s">
        <v>24</v>
      </c>
      <c r="K187" s="1">
        <v>1186</v>
      </c>
      <c r="L187" s="1" t="str">
        <f t="shared" si="0"/>
        <v>ELIGIBLE</v>
      </c>
    </row>
    <row r="188" spans="1:12" x14ac:dyDescent="0.3">
      <c r="A188" s="1" t="s">
        <v>54</v>
      </c>
      <c r="B188" s="1" t="s">
        <v>22</v>
      </c>
      <c r="C188" s="1" t="s">
        <v>34</v>
      </c>
      <c r="D188" s="1" t="s">
        <v>45</v>
      </c>
      <c r="E188" s="1">
        <v>18</v>
      </c>
      <c r="F188" s="1">
        <v>68527</v>
      </c>
      <c r="G188" s="1">
        <v>12</v>
      </c>
      <c r="H188" s="2">
        <v>46178</v>
      </c>
      <c r="I188" s="2">
        <v>46184</v>
      </c>
      <c r="J188" s="1" t="s">
        <v>51</v>
      </c>
      <c r="K188" s="1">
        <v>1187</v>
      </c>
      <c r="L188" s="1" t="str">
        <f t="shared" si="0"/>
        <v>NOT ELIGIBLE</v>
      </c>
    </row>
    <row r="189" spans="1:12" x14ac:dyDescent="0.3">
      <c r="A189" s="1" t="s">
        <v>29</v>
      </c>
      <c r="B189" s="1" t="s">
        <v>22</v>
      </c>
      <c r="C189" s="1" t="s">
        <v>18</v>
      </c>
      <c r="D189" s="1" t="s">
        <v>56</v>
      </c>
      <c r="E189" s="1">
        <v>6</v>
      </c>
      <c r="F189" s="1">
        <v>10368</v>
      </c>
      <c r="G189" s="1">
        <v>7</v>
      </c>
      <c r="H189" s="2">
        <v>46137</v>
      </c>
      <c r="I189" s="2">
        <v>46142</v>
      </c>
      <c r="J189" s="1" t="s">
        <v>15</v>
      </c>
      <c r="K189" s="1">
        <v>1188</v>
      </c>
      <c r="L189" s="1" t="str">
        <f t="shared" si="0"/>
        <v>ELIGIBLE</v>
      </c>
    </row>
    <row r="190" spans="1:12" x14ac:dyDescent="0.3">
      <c r="A190" s="1" t="s">
        <v>49</v>
      </c>
      <c r="B190" s="1" t="s">
        <v>31</v>
      </c>
      <c r="C190" s="1" t="s">
        <v>18</v>
      </c>
      <c r="D190" s="1" t="s">
        <v>56</v>
      </c>
      <c r="E190" s="1">
        <v>12</v>
      </c>
      <c r="F190" s="1">
        <v>8327</v>
      </c>
      <c r="G190" s="1">
        <v>10</v>
      </c>
      <c r="H190" s="2">
        <v>46184</v>
      </c>
      <c r="I190" s="2">
        <v>46185</v>
      </c>
      <c r="J190" s="1" t="s">
        <v>29</v>
      </c>
      <c r="K190" s="1">
        <v>1189</v>
      </c>
      <c r="L190" s="1" t="str">
        <f t="shared" si="0"/>
        <v>ELIGIBLE</v>
      </c>
    </row>
    <row r="191" spans="1:12" x14ac:dyDescent="0.3">
      <c r="A191" s="1" t="s">
        <v>57</v>
      </c>
      <c r="B191" s="1" t="s">
        <v>17</v>
      </c>
      <c r="C191" s="1" t="s">
        <v>18</v>
      </c>
      <c r="D191" s="1" t="s">
        <v>28</v>
      </c>
      <c r="E191" s="1">
        <v>4</v>
      </c>
      <c r="F191" s="1">
        <v>10154</v>
      </c>
      <c r="G191" s="1">
        <v>7</v>
      </c>
      <c r="H191" s="2">
        <v>46052</v>
      </c>
      <c r="I191" s="2">
        <v>46062</v>
      </c>
      <c r="J191" s="1" t="s">
        <v>20</v>
      </c>
      <c r="K191" s="1">
        <v>1190</v>
      </c>
      <c r="L191" s="1" t="str">
        <f t="shared" si="0"/>
        <v>ELIGIBLE</v>
      </c>
    </row>
    <row r="192" spans="1:12" x14ac:dyDescent="0.3">
      <c r="A192" s="1" t="s">
        <v>52</v>
      </c>
      <c r="B192" s="1" t="s">
        <v>33</v>
      </c>
      <c r="C192" s="1" t="s">
        <v>18</v>
      </c>
      <c r="D192" s="1" t="s">
        <v>56</v>
      </c>
      <c r="E192" s="1">
        <v>9</v>
      </c>
      <c r="F192" s="1">
        <v>8631</v>
      </c>
      <c r="G192" s="1">
        <v>10</v>
      </c>
      <c r="H192" s="2">
        <v>46149</v>
      </c>
      <c r="I192" s="2">
        <v>46156</v>
      </c>
      <c r="J192" s="1" t="s">
        <v>20</v>
      </c>
      <c r="K192" s="1">
        <v>1191</v>
      </c>
      <c r="L192" s="1" t="str">
        <f t="shared" si="0"/>
        <v>ELIGIBLE</v>
      </c>
    </row>
    <row r="193" spans="1:12" x14ac:dyDescent="0.3">
      <c r="A193" s="1" t="s">
        <v>21</v>
      </c>
      <c r="B193" s="1" t="s">
        <v>33</v>
      </c>
      <c r="C193" s="1" t="s">
        <v>13</v>
      </c>
      <c r="D193" s="1" t="s">
        <v>53</v>
      </c>
      <c r="E193" s="1">
        <v>18</v>
      </c>
      <c r="F193" s="1">
        <v>49</v>
      </c>
      <c r="G193" s="1">
        <v>12</v>
      </c>
      <c r="H193" s="2">
        <v>46089</v>
      </c>
      <c r="I193" s="2">
        <v>46095</v>
      </c>
      <c r="J193" s="1" t="s">
        <v>24</v>
      </c>
      <c r="K193" s="1">
        <v>1192</v>
      </c>
      <c r="L193" s="1" t="str">
        <f t="shared" si="0"/>
        <v>ELIGIBLE</v>
      </c>
    </row>
    <row r="194" spans="1:12" x14ac:dyDescent="0.3">
      <c r="A194" s="1" t="s">
        <v>57</v>
      </c>
      <c r="B194" s="1" t="s">
        <v>12</v>
      </c>
      <c r="C194" s="1" t="s">
        <v>18</v>
      </c>
      <c r="D194" s="1" t="s">
        <v>23</v>
      </c>
      <c r="E194" s="1">
        <v>19</v>
      </c>
      <c r="F194" s="1">
        <v>2699</v>
      </c>
      <c r="G194" s="1">
        <v>7</v>
      </c>
      <c r="H194" s="2">
        <v>46110</v>
      </c>
      <c r="I194" s="2">
        <v>46112</v>
      </c>
      <c r="J194" s="1" t="s">
        <v>29</v>
      </c>
      <c r="K194" s="1">
        <v>1193</v>
      </c>
      <c r="L194" s="1" t="str">
        <f t="shared" si="0"/>
        <v>ELIGIBLE</v>
      </c>
    </row>
    <row r="195" spans="1:12" x14ac:dyDescent="0.3">
      <c r="A195" s="1" t="s">
        <v>57</v>
      </c>
      <c r="B195" s="1" t="s">
        <v>43</v>
      </c>
      <c r="C195" s="1" t="s">
        <v>18</v>
      </c>
      <c r="D195" s="1" t="s">
        <v>28</v>
      </c>
      <c r="E195" s="1">
        <v>13</v>
      </c>
      <c r="F195" s="1">
        <v>12856</v>
      </c>
      <c r="G195" s="1">
        <v>15</v>
      </c>
      <c r="H195" s="2">
        <v>46129</v>
      </c>
      <c r="I195" s="2">
        <v>46133</v>
      </c>
      <c r="J195" s="1" t="s">
        <v>51</v>
      </c>
      <c r="K195" s="1">
        <v>1194</v>
      </c>
      <c r="L195" s="1" t="str">
        <f t="shared" si="0"/>
        <v>ELIGIBLE</v>
      </c>
    </row>
    <row r="196" spans="1:12" x14ac:dyDescent="0.3">
      <c r="A196" s="1" t="s">
        <v>59</v>
      </c>
      <c r="B196" s="1" t="s">
        <v>17</v>
      </c>
      <c r="C196" s="1" t="s">
        <v>13</v>
      </c>
      <c r="D196" s="1" t="s">
        <v>50</v>
      </c>
      <c r="E196" s="1">
        <v>19</v>
      </c>
      <c r="F196" s="1">
        <v>313</v>
      </c>
      <c r="G196" s="1">
        <v>2</v>
      </c>
      <c r="H196" s="2">
        <v>46198</v>
      </c>
      <c r="I196" s="2">
        <v>46206</v>
      </c>
      <c r="J196" s="1" t="s">
        <v>51</v>
      </c>
      <c r="K196" s="1">
        <v>1195</v>
      </c>
      <c r="L196" s="1" t="str">
        <f t="shared" si="0"/>
        <v>ELIGIBLE</v>
      </c>
    </row>
    <row r="197" spans="1:12" x14ac:dyDescent="0.3">
      <c r="A197" s="1" t="s">
        <v>48</v>
      </c>
      <c r="B197" s="1" t="s">
        <v>22</v>
      </c>
      <c r="C197" s="1" t="s">
        <v>34</v>
      </c>
      <c r="D197" s="1" t="s">
        <v>35</v>
      </c>
      <c r="E197" s="1">
        <v>20</v>
      </c>
      <c r="F197" s="1">
        <v>3172</v>
      </c>
      <c r="G197" s="1">
        <v>5</v>
      </c>
      <c r="H197" s="2">
        <v>46155</v>
      </c>
      <c r="I197" s="2">
        <v>46159</v>
      </c>
      <c r="J197" s="1" t="s">
        <v>20</v>
      </c>
      <c r="K197" s="1">
        <v>1196</v>
      </c>
      <c r="L197" s="1" t="str">
        <f t="shared" si="0"/>
        <v>ELIGIBLE</v>
      </c>
    </row>
    <row r="198" spans="1:12" x14ac:dyDescent="0.3">
      <c r="A198" s="1" t="s">
        <v>52</v>
      </c>
      <c r="B198" s="1" t="s">
        <v>31</v>
      </c>
      <c r="C198" s="1" t="s">
        <v>34</v>
      </c>
      <c r="D198" s="1" t="s">
        <v>35</v>
      </c>
      <c r="E198" s="1">
        <v>5</v>
      </c>
      <c r="F198" s="1">
        <v>45352</v>
      </c>
      <c r="G198" s="1">
        <v>12</v>
      </c>
      <c r="H198" s="2">
        <v>46045</v>
      </c>
      <c r="I198" s="2">
        <v>46048</v>
      </c>
      <c r="J198" s="1" t="s">
        <v>15</v>
      </c>
      <c r="K198" s="1">
        <v>1197</v>
      </c>
      <c r="L198" s="1" t="str">
        <f t="shared" si="0"/>
        <v>NOT ELIGIBLE</v>
      </c>
    </row>
    <row r="199" spans="1:12" x14ac:dyDescent="0.3">
      <c r="A199" s="1" t="s">
        <v>58</v>
      </c>
      <c r="B199" s="1" t="s">
        <v>12</v>
      </c>
      <c r="C199" s="1" t="s">
        <v>13</v>
      </c>
      <c r="D199" s="1" t="s">
        <v>14</v>
      </c>
      <c r="E199" s="1">
        <v>12</v>
      </c>
      <c r="F199" s="1">
        <v>491</v>
      </c>
      <c r="G199" s="1">
        <v>2</v>
      </c>
      <c r="H199" s="2">
        <v>46106</v>
      </c>
      <c r="I199" s="2">
        <v>46109</v>
      </c>
      <c r="J199" s="1" t="s">
        <v>51</v>
      </c>
      <c r="K199" s="1">
        <v>1198</v>
      </c>
      <c r="L199" s="1" t="str">
        <f t="shared" si="0"/>
        <v>ELIGIBLE</v>
      </c>
    </row>
    <row r="200" spans="1:12" x14ac:dyDescent="0.3">
      <c r="A200" s="1" t="s">
        <v>11</v>
      </c>
      <c r="B200" s="1" t="s">
        <v>25</v>
      </c>
      <c r="C200" s="1" t="s">
        <v>34</v>
      </c>
      <c r="D200" s="1" t="s">
        <v>45</v>
      </c>
      <c r="E200" s="1">
        <v>2</v>
      </c>
      <c r="F200" s="1">
        <v>4375</v>
      </c>
      <c r="G200" s="1">
        <v>7</v>
      </c>
      <c r="H200" s="2">
        <v>46178</v>
      </c>
      <c r="I200" s="2">
        <v>46180</v>
      </c>
      <c r="J200" s="1" t="s">
        <v>24</v>
      </c>
      <c r="K200" s="1">
        <v>1199</v>
      </c>
      <c r="L200" s="1" t="str">
        <f t="shared" si="0"/>
        <v>ELIGIBLE</v>
      </c>
    </row>
    <row r="201" spans="1:12" x14ac:dyDescent="0.3">
      <c r="A201" s="1" t="s">
        <v>29</v>
      </c>
      <c r="B201" s="1" t="s">
        <v>31</v>
      </c>
      <c r="C201" s="1" t="s">
        <v>34</v>
      </c>
      <c r="D201" s="1" t="s">
        <v>45</v>
      </c>
      <c r="E201" s="1">
        <v>13</v>
      </c>
      <c r="F201" s="1">
        <v>69422</v>
      </c>
      <c r="G201" s="1">
        <v>0</v>
      </c>
      <c r="H201" s="2">
        <v>46134</v>
      </c>
      <c r="I201" s="2">
        <v>46143</v>
      </c>
      <c r="J201" s="1" t="s">
        <v>29</v>
      </c>
      <c r="K201" s="1">
        <v>1200</v>
      </c>
      <c r="L201" s="1" t="str">
        <f t="shared" si="0"/>
        <v>ELIGIBLE</v>
      </c>
    </row>
    <row r="202" spans="1:12" x14ac:dyDescent="0.3">
      <c r="A202" s="1" t="s">
        <v>54</v>
      </c>
      <c r="B202" s="1" t="s">
        <v>31</v>
      </c>
      <c r="C202" s="1" t="s">
        <v>13</v>
      </c>
      <c r="D202" s="1" t="s">
        <v>53</v>
      </c>
      <c r="E202" s="1">
        <v>18</v>
      </c>
      <c r="F202" s="1">
        <v>139</v>
      </c>
      <c r="G202" s="1">
        <v>12</v>
      </c>
      <c r="H202" s="2">
        <v>46075</v>
      </c>
      <c r="I202" s="2">
        <v>46076</v>
      </c>
      <c r="J202" s="1" t="s">
        <v>20</v>
      </c>
      <c r="K202" s="1">
        <v>1201</v>
      </c>
      <c r="L202" s="1" t="str">
        <f t="shared" si="0"/>
        <v>ELIGIBLE</v>
      </c>
    </row>
    <row r="203" spans="1:12" x14ac:dyDescent="0.3">
      <c r="A203" s="1" t="s">
        <v>57</v>
      </c>
      <c r="B203" s="1" t="s">
        <v>22</v>
      </c>
      <c r="C203" s="1" t="s">
        <v>34</v>
      </c>
      <c r="D203" s="1" t="s">
        <v>35</v>
      </c>
      <c r="E203" s="1">
        <v>2</v>
      </c>
      <c r="F203" s="1">
        <v>20312</v>
      </c>
      <c r="G203" s="1">
        <v>12</v>
      </c>
      <c r="H203" s="2">
        <v>46082</v>
      </c>
      <c r="I203" s="2">
        <v>46091</v>
      </c>
      <c r="J203" s="1" t="s">
        <v>15</v>
      </c>
      <c r="K203" s="1">
        <v>1202</v>
      </c>
      <c r="L203" s="1" t="str">
        <f t="shared" si="0"/>
        <v>NOT ELIGIBLE</v>
      </c>
    </row>
    <row r="204" spans="1:12" x14ac:dyDescent="0.3">
      <c r="A204" s="1" t="s">
        <v>40</v>
      </c>
      <c r="B204" s="1" t="s">
        <v>22</v>
      </c>
      <c r="C204" s="1" t="s">
        <v>18</v>
      </c>
      <c r="D204" s="1" t="s">
        <v>23</v>
      </c>
      <c r="E204" s="1">
        <v>17</v>
      </c>
      <c r="F204" s="1">
        <v>6695</v>
      </c>
      <c r="G204" s="1">
        <v>2</v>
      </c>
      <c r="H204" s="2">
        <v>46119</v>
      </c>
      <c r="I204" s="2">
        <v>46122</v>
      </c>
      <c r="J204" s="1" t="s">
        <v>51</v>
      </c>
      <c r="K204" s="1">
        <v>1203</v>
      </c>
      <c r="L204" s="1" t="str">
        <f t="shared" si="0"/>
        <v>ELIGIBLE</v>
      </c>
    </row>
    <row r="205" spans="1:12" x14ac:dyDescent="0.3">
      <c r="A205" s="1" t="s">
        <v>16</v>
      </c>
      <c r="B205" s="1" t="s">
        <v>31</v>
      </c>
      <c r="C205" s="1" t="s">
        <v>13</v>
      </c>
      <c r="D205" s="1" t="s">
        <v>37</v>
      </c>
      <c r="E205" s="1">
        <v>13</v>
      </c>
      <c r="F205" s="1">
        <v>416</v>
      </c>
      <c r="G205" s="1">
        <v>10</v>
      </c>
      <c r="H205" s="2">
        <v>46123</v>
      </c>
      <c r="I205" s="2">
        <v>46132</v>
      </c>
      <c r="J205" s="1" t="s">
        <v>20</v>
      </c>
      <c r="K205" s="1">
        <v>1204</v>
      </c>
      <c r="L205" s="1" t="str">
        <f t="shared" si="0"/>
        <v>ELIGIBLE</v>
      </c>
    </row>
    <row r="206" spans="1:12" x14ac:dyDescent="0.3">
      <c r="A206" s="1" t="s">
        <v>21</v>
      </c>
      <c r="B206" s="1" t="s">
        <v>38</v>
      </c>
      <c r="C206" s="1" t="s">
        <v>13</v>
      </c>
      <c r="D206" s="1" t="s">
        <v>36</v>
      </c>
      <c r="E206" s="1">
        <v>1</v>
      </c>
      <c r="F206" s="1">
        <v>112</v>
      </c>
      <c r="G206" s="1">
        <v>7</v>
      </c>
      <c r="H206" s="2">
        <v>46033</v>
      </c>
      <c r="I206" s="2">
        <v>46040</v>
      </c>
      <c r="J206" s="1" t="s">
        <v>51</v>
      </c>
      <c r="K206" s="1">
        <v>1205</v>
      </c>
      <c r="L206" s="1" t="str">
        <f t="shared" si="0"/>
        <v>ELIGIBLE</v>
      </c>
    </row>
    <row r="207" spans="1:12" x14ac:dyDescent="0.3">
      <c r="A207" s="1" t="s">
        <v>55</v>
      </c>
      <c r="B207" s="1" t="s">
        <v>33</v>
      </c>
      <c r="C207" s="1" t="s">
        <v>13</v>
      </c>
      <c r="D207" s="1" t="s">
        <v>14</v>
      </c>
      <c r="E207" s="1">
        <v>9</v>
      </c>
      <c r="F207" s="1">
        <v>60</v>
      </c>
      <c r="G207" s="1">
        <v>0</v>
      </c>
      <c r="H207" s="2">
        <v>46166</v>
      </c>
      <c r="I207" s="2">
        <v>46174</v>
      </c>
      <c r="J207" s="1" t="s">
        <v>15</v>
      </c>
      <c r="K207" s="1">
        <v>1206</v>
      </c>
      <c r="L207" s="1" t="str">
        <f t="shared" si="0"/>
        <v>ELIGIBLE</v>
      </c>
    </row>
    <row r="208" spans="1:12" x14ac:dyDescent="0.3">
      <c r="A208" s="1" t="s">
        <v>55</v>
      </c>
      <c r="B208" s="1" t="s">
        <v>25</v>
      </c>
      <c r="C208" s="1" t="s">
        <v>13</v>
      </c>
      <c r="D208" s="1" t="s">
        <v>53</v>
      </c>
      <c r="E208" s="1">
        <v>7</v>
      </c>
      <c r="F208" s="1">
        <v>244</v>
      </c>
      <c r="G208" s="1">
        <v>2</v>
      </c>
      <c r="H208" s="2">
        <v>46164</v>
      </c>
      <c r="I208" s="2">
        <v>46173</v>
      </c>
      <c r="J208" s="1" t="s">
        <v>24</v>
      </c>
      <c r="K208" s="1">
        <v>1207</v>
      </c>
      <c r="L208" s="1" t="str">
        <f t="shared" si="0"/>
        <v>ELIGIBLE</v>
      </c>
    </row>
    <row r="209" spans="1:12" x14ac:dyDescent="0.3">
      <c r="A209" s="1" t="s">
        <v>54</v>
      </c>
      <c r="B209" s="1" t="s">
        <v>43</v>
      </c>
      <c r="C209" s="1" t="s">
        <v>18</v>
      </c>
      <c r="D209" s="1" t="s">
        <v>44</v>
      </c>
      <c r="E209" s="1">
        <v>6</v>
      </c>
      <c r="F209" s="1">
        <v>7627</v>
      </c>
      <c r="G209" s="1">
        <v>10</v>
      </c>
      <c r="H209" s="2">
        <v>46042</v>
      </c>
      <c r="I209" s="2">
        <v>46047</v>
      </c>
      <c r="J209" s="1" t="s">
        <v>20</v>
      </c>
      <c r="K209" s="1">
        <v>1208</v>
      </c>
      <c r="L209" s="1" t="str">
        <f t="shared" si="0"/>
        <v>ELIGIBLE</v>
      </c>
    </row>
    <row r="210" spans="1:12" x14ac:dyDescent="0.3">
      <c r="A210" s="1" t="s">
        <v>48</v>
      </c>
      <c r="B210" s="1" t="s">
        <v>38</v>
      </c>
      <c r="C210" s="1" t="s">
        <v>34</v>
      </c>
      <c r="D210" s="1" t="s">
        <v>35</v>
      </c>
      <c r="E210" s="1">
        <v>19</v>
      </c>
      <c r="F210" s="1">
        <v>20284</v>
      </c>
      <c r="G210" s="1">
        <v>10</v>
      </c>
      <c r="H210" s="2">
        <v>46103</v>
      </c>
      <c r="I210" s="2">
        <v>46110</v>
      </c>
      <c r="J210" s="1" t="s">
        <v>20</v>
      </c>
      <c r="K210" s="1">
        <v>1209</v>
      </c>
      <c r="L210" s="1" t="str">
        <f t="shared" si="0"/>
        <v>NOT ELIGIBLE</v>
      </c>
    </row>
    <row r="211" spans="1:12" x14ac:dyDescent="0.3">
      <c r="A211" s="1" t="s">
        <v>30</v>
      </c>
      <c r="B211" s="1" t="s">
        <v>31</v>
      </c>
      <c r="C211" s="1" t="s">
        <v>13</v>
      </c>
      <c r="D211" s="1" t="s">
        <v>53</v>
      </c>
      <c r="E211" s="1">
        <v>10</v>
      </c>
      <c r="F211" s="1">
        <v>349</v>
      </c>
      <c r="G211" s="1">
        <v>0</v>
      </c>
      <c r="H211" s="2">
        <v>46052</v>
      </c>
      <c r="I211" s="2">
        <v>46060</v>
      </c>
      <c r="J211" s="1" t="s">
        <v>29</v>
      </c>
      <c r="K211" s="1">
        <v>1210</v>
      </c>
      <c r="L211" s="1" t="str">
        <f t="shared" si="0"/>
        <v>ELIGIBLE</v>
      </c>
    </row>
    <row r="212" spans="1:12" x14ac:dyDescent="0.3">
      <c r="A212" s="1" t="s">
        <v>48</v>
      </c>
      <c r="B212" s="1" t="s">
        <v>17</v>
      </c>
      <c r="C212" s="1" t="s">
        <v>34</v>
      </c>
      <c r="D212" s="1" t="s">
        <v>35</v>
      </c>
      <c r="E212" s="1">
        <v>3</v>
      </c>
      <c r="F212" s="1">
        <v>5962</v>
      </c>
      <c r="G212" s="1">
        <v>7</v>
      </c>
      <c r="H212" s="2">
        <v>46175</v>
      </c>
      <c r="I212" s="2">
        <v>46183</v>
      </c>
      <c r="J212" s="1" t="s">
        <v>15</v>
      </c>
      <c r="K212" s="1">
        <v>1211</v>
      </c>
      <c r="L212" s="1" t="str">
        <f t="shared" si="0"/>
        <v>ELIGIBLE</v>
      </c>
    </row>
    <row r="213" spans="1:12" x14ac:dyDescent="0.3">
      <c r="A213" s="1" t="s">
        <v>59</v>
      </c>
      <c r="B213" s="1" t="s">
        <v>25</v>
      </c>
      <c r="C213" s="1" t="s">
        <v>34</v>
      </c>
      <c r="D213" s="1" t="s">
        <v>60</v>
      </c>
      <c r="E213" s="1">
        <v>10</v>
      </c>
      <c r="F213" s="1">
        <v>34380</v>
      </c>
      <c r="G213" s="1">
        <v>7</v>
      </c>
      <c r="H213" s="2">
        <v>46194</v>
      </c>
      <c r="I213" s="2">
        <v>46195</v>
      </c>
      <c r="J213" s="1" t="s">
        <v>29</v>
      </c>
      <c r="K213" s="1">
        <v>1212</v>
      </c>
      <c r="L213" s="1" t="str">
        <f t="shared" si="0"/>
        <v>ELIGIBLE</v>
      </c>
    </row>
    <row r="214" spans="1:12" x14ac:dyDescent="0.3">
      <c r="A214" s="1" t="s">
        <v>32</v>
      </c>
      <c r="B214" s="1" t="s">
        <v>38</v>
      </c>
      <c r="C214" s="1" t="s">
        <v>34</v>
      </c>
      <c r="D214" s="1" t="s">
        <v>45</v>
      </c>
      <c r="E214" s="1">
        <v>16</v>
      </c>
      <c r="F214" s="1">
        <v>27741</v>
      </c>
      <c r="G214" s="1">
        <v>12</v>
      </c>
      <c r="H214" s="2">
        <v>46116</v>
      </c>
      <c r="I214" s="2">
        <v>46119</v>
      </c>
      <c r="J214" s="1" t="s">
        <v>15</v>
      </c>
      <c r="K214" s="1">
        <v>1213</v>
      </c>
      <c r="L214" s="1" t="str">
        <f t="shared" si="0"/>
        <v>NOT ELIGIBLE</v>
      </c>
    </row>
    <row r="215" spans="1:12" x14ac:dyDescent="0.3">
      <c r="A215" s="1" t="s">
        <v>42</v>
      </c>
      <c r="B215" s="1" t="s">
        <v>25</v>
      </c>
      <c r="C215" s="1" t="s">
        <v>18</v>
      </c>
      <c r="D215" s="1" t="s">
        <v>28</v>
      </c>
      <c r="E215" s="1">
        <v>19</v>
      </c>
      <c r="F215" s="1">
        <v>13832</v>
      </c>
      <c r="G215" s="1">
        <v>0</v>
      </c>
      <c r="H215" s="2">
        <v>46140</v>
      </c>
      <c r="I215" s="2">
        <v>46145</v>
      </c>
      <c r="J215" s="1" t="s">
        <v>51</v>
      </c>
      <c r="K215" s="1">
        <v>1214</v>
      </c>
      <c r="L215" s="1" t="str">
        <f t="shared" si="0"/>
        <v>ELIGIBLE</v>
      </c>
    </row>
    <row r="216" spans="1:12" x14ac:dyDescent="0.3">
      <c r="A216" s="1" t="s">
        <v>27</v>
      </c>
      <c r="B216" s="1" t="s">
        <v>12</v>
      </c>
      <c r="C216" s="1" t="s">
        <v>18</v>
      </c>
      <c r="D216" s="1" t="s">
        <v>28</v>
      </c>
      <c r="E216" s="1">
        <v>6</v>
      </c>
      <c r="F216" s="1">
        <v>1254</v>
      </c>
      <c r="G216" s="1">
        <v>0</v>
      </c>
      <c r="H216" s="2">
        <v>46131</v>
      </c>
      <c r="I216" s="2">
        <v>46136</v>
      </c>
      <c r="J216" s="1" t="s">
        <v>29</v>
      </c>
      <c r="K216" s="1">
        <v>1215</v>
      </c>
      <c r="L216" s="1" t="str">
        <f t="shared" si="0"/>
        <v>ELIGIBLE</v>
      </c>
    </row>
    <row r="217" spans="1:12" x14ac:dyDescent="0.3">
      <c r="A217" s="1" t="s">
        <v>40</v>
      </c>
      <c r="B217" s="1" t="s">
        <v>22</v>
      </c>
      <c r="C217" s="1" t="s">
        <v>34</v>
      </c>
      <c r="D217" s="1" t="s">
        <v>45</v>
      </c>
      <c r="E217" s="1">
        <v>10</v>
      </c>
      <c r="F217" s="1">
        <v>56709</v>
      </c>
      <c r="G217" s="1">
        <v>15</v>
      </c>
      <c r="H217" s="2">
        <v>46135</v>
      </c>
      <c r="I217" s="2">
        <v>46139</v>
      </c>
      <c r="J217" s="1" t="s">
        <v>29</v>
      </c>
      <c r="K217" s="1">
        <v>1216</v>
      </c>
      <c r="L217" s="1" t="str">
        <f t="shared" si="0"/>
        <v>NOT ELIGIBLE</v>
      </c>
    </row>
    <row r="218" spans="1:12" x14ac:dyDescent="0.3">
      <c r="A218" s="1" t="s">
        <v>30</v>
      </c>
      <c r="B218" s="1" t="s">
        <v>22</v>
      </c>
      <c r="C218" s="1" t="s">
        <v>13</v>
      </c>
      <c r="D218" s="1" t="s">
        <v>50</v>
      </c>
      <c r="E218" s="1">
        <v>18</v>
      </c>
      <c r="F218" s="1">
        <v>60</v>
      </c>
      <c r="G218" s="1">
        <v>0</v>
      </c>
      <c r="H218" s="2">
        <v>46171</v>
      </c>
      <c r="I218" s="2">
        <v>46172</v>
      </c>
      <c r="J218" s="1" t="s">
        <v>29</v>
      </c>
      <c r="K218" s="1">
        <v>1217</v>
      </c>
      <c r="L218" s="1" t="str">
        <f t="shared" si="0"/>
        <v>ELIGIBLE</v>
      </c>
    </row>
    <row r="219" spans="1:12" x14ac:dyDescent="0.3">
      <c r="A219" s="1" t="s">
        <v>55</v>
      </c>
      <c r="B219" s="1" t="s">
        <v>38</v>
      </c>
      <c r="C219" s="1" t="s">
        <v>13</v>
      </c>
      <c r="D219" s="1" t="s">
        <v>14</v>
      </c>
      <c r="E219" s="1">
        <v>1</v>
      </c>
      <c r="F219" s="1">
        <v>134</v>
      </c>
      <c r="G219" s="1">
        <v>10</v>
      </c>
      <c r="H219" s="2">
        <v>46143</v>
      </c>
      <c r="I219" s="2">
        <v>46151</v>
      </c>
      <c r="J219" s="1" t="s">
        <v>51</v>
      </c>
      <c r="K219" s="1">
        <v>1218</v>
      </c>
      <c r="L219" s="1" t="str">
        <f t="shared" si="0"/>
        <v>ELIGIBLE</v>
      </c>
    </row>
    <row r="220" spans="1:12" x14ac:dyDescent="0.3">
      <c r="A220" s="1" t="s">
        <v>46</v>
      </c>
      <c r="B220" s="1" t="s">
        <v>22</v>
      </c>
      <c r="C220" s="1" t="s">
        <v>13</v>
      </c>
      <c r="D220" s="1" t="s">
        <v>14</v>
      </c>
      <c r="E220" s="1">
        <v>4</v>
      </c>
      <c r="F220" s="1">
        <v>117</v>
      </c>
      <c r="G220" s="1">
        <v>15</v>
      </c>
      <c r="H220" s="2">
        <v>46202</v>
      </c>
      <c r="I220" s="2">
        <v>46206</v>
      </c>
      <c r="J220" s="1" t="s">
        <v>29</v>
      </c>
      <c r="K220" s="1">
        <v>1219</v>
      </c>
      <c r="L220" s="1" t="str">
        <f t="shared" si="0"/>
        <v>ELIGIBLE</v>
      </c>
    </row>
    <row r="221" spans="1:12" x14ac:dyDescent="0.3">
      <c r="A221" s="1" t="s">
        <v>11</v>
      </c>
      <c r="B221" s="1" t="s">
        <v>25</v>
      </c>
      <c r="C221" s="1" t="s">
        <v>18</v>
      </c>
      <c r="D221" s="1" t="s">
        <v>56</v>
      </c>
      <c r="E221" s="1">
        <v>2</v>
      </c>
      <c r="F221" s="1">
        <v>8861</v>
      </c>
      <c r="G221" s="1">
        <v>2</v>
      </c>
      <c r="H221" s="2">
        <v>46170</v>
      </c>
      <c r="I221" s="2">
        <v>46174</v>
      </c>
      <c r="J221" s="1" t="s">
        <v>24</v>
      </c>
      <c r="K221" s="1">
        <v>1220</v>
      </c>
      <c r="L221" s="1" t="str">
        <f t="shared" si="0"/>
        <v>ELIGIBLE</v>
      </c>
    </row>
    <row r="222" spans="1:12" x14ac:dyDescent="0.3">
      <c r="A222" s="1" t="s">
        <v>11</v>
      </c>
      <c r="B222" s="1" t="s">
        <v>31</v>
      </c>
      <c r="C222" s="1" t="s">
        <v>18</v>
      </c>
      <c r="D222" s="1" t="s">
        <v>56</v>
      </c>
      <c r="E222" s="1">
        <v>18</v>
      </c>
      <c r="F222" s="1">
        <v>2681</v>
      </c>
      <c r="G222" s="1">
        <v>10</v>
      </c>
      <c r="H222" s="2">
        <v>46122</v>
      </c>
      <c r="I222" s="2">
        <v>46125</v>
      </c>
      <c r="J222" s="1" t="s">
        <v>51</v>
      </c>
      <c r="K222" s="1">
        <v>1221</v>
      </c>
      <c r="L222" s="1" t="str">
        <f t="shared" si="0"/>
        <v>ELIGIBLE</v>
      </c>
    </row>
    <row r="223" spans="1:12" x14ac:dyDescent="0.3">
      <c r="A223" s="1" t="s">
        <v>30</v>
      </c>
      <c r="B223" s="1" t="s">
        <v>33</v>
      </c>
      <c r="C223" s="1" t="s">
        <v>18</v>
      </c>
      <c r="D223" s="1" t="s">
        <v>23</v>
      </c>
      <c r="E223" s="1">
        <v>9</v>
      </c>
      <c r="F223" s="1">
        <v>2712</v>
      </c>
      <c r="G223" s="1">
        <v>12</v>
      </c>
      <c r="H223" s="2">
        <v>46154</v>
      </c>
      <c r="I223" s="2">
        <v>46163</v>
      </c>
      <c r="J223" s="1" t="s">
        <v>15</v>
      </c>
      <c r="K223" s="1">
        <v>1222</v>
      </c>
      <c r="L223" s="1" t="str">
        <f t="shared" si="0"/>
        <v>ELIGIBLE</v>
      </c>
    </row>
    <row r="224" spans="1:12" x14ac:dyDescent="0.3">
      <c r="A224" s="1" t="s">
        <v>59</v>
      </c>
      <c r="B224" s="1" t="s">
        <v>17</v>
      </c>
      <c r="C224" s="1" t="s">
        <v>18</v>
      </c>
      <c r="D224" s="1" t="s">
        <v>23</v>
      </c>
      <c r="E224" s="1">
        <v>4</v>
      </c>
      <c r="F224" s="1">
        <v>2249</v>
      </c>
      <c r="G224" s="1">
        <v>7</v>
      </c>
      <c r="H224" s="2">
        <v>46077</v>
      </c>
      <c r="I224" s="2">
        <v>46084</v>
      </c>
      <c r="J224" s="1" t="s">
        <v>15</v>
      </c>
      <c r="K224" s="1">
        <v>1223</v>
      </c>
      <c r="L224" s="1" t="str">
        <f t="shared" si="0"/>
        <v>ELIGIBLE</v>
      </c>
    </row>
    <row r="225" spans="1:12" x14ac:dyDescent="0.3">
      <c r="A225" s="1" t="s">
        <v>30</v>
      </c>
      <c r="B225" s="1" t="s">
        <v>38</v>
      </c>
      <c r="C225" s="1" t="s">
        <v>34</v>
      </c>
      <c r="D225" s="1" t="s">
        <v>45</v>
      </c>
      <c r="E225" s="1">
        <v>16</v>
      </c>
      <c r="F225" s="1">
        <v>18378</v>
      </c>
      <c r="G225" s="1">
        <v>10</v>
      </c>
      <c r="H225" s="2">
        <v>46045</v>
      </c>
      <c r="I225" s="2">
        <v>46052</v>
      </c>
      <c r="J225" s="1" t="s">
        <v>24</v>
      </c>
      <c r="K225" s="1">
        <v>1224</v>
      </c>
      <c r="L225" s="1" t="str">
        <f t="shared" si="0"/>
        <v>NOT ELIGIBLE</v>
      </c>
    </row>
    <row r="226" spans="1:12" x14ac:dyDescent="0.3">
      <c r="A226" s="1" t="s">
        <v>42</v>
      </c>
      <c r="B226" s="1" t="s">
        <v>31</v>
      </c>
      <c r="C226" s="1" t="s">
        <v>34</v>
      </c>
      <c r="D226" s="1" t="s">
        <v>35</v>
      </c>
      <c r="E226" s="1">
        <v>16</v>
      </c>
      <c r="F226" s="1">
        <v>32262</v>
      </c>
      <c r="G226" s="1">
        <v>12</v>
      </c>
      <c r="H226" s="2">
        <v>46125</v>
      </c>
      <c r="I226" s="2">
        <v>46126</v>
      </c>
      <c r="J226" s="1" t="s">
        <v>20</v>
      </c>
      <c r="K226" s="1">
        <v>1225</v>
      </c>
      <c r="L226" s="1" t="str">
        <f t="shared" si="0"/>
        <v>NOT ELIGIBLE</v>
      </c>
    </row>
    <row r="227" spans="1:12" x14ac:dyDescent="0.3">
      <c r="A227" s="1" t="s">
        <v>29</v>
      </c>
      <c r="B227" s="1" t="s">
        <v>31</v>
      </c>
      <c r="C227" s="1" t="s">
        <v>34</v>
      </c>
      <c r="D227" s="1" t="s">
        <v>41</v>
      </c>
      <c r="E227" s="1">
        <v>13</v>
      </c>
      <c r="F227" s="1">
        <v>21332</v>
      </c>
      <c r="G227" s="1">
        <v>0</v>
      </c>
      <c r="H227" s="2">
        <v>46044</v>
      </c>
      <c r="I227" s="2">
        <v>46048</v>
      </c>
      <c r="J227" s="1" t="s">
        <v>29</v>
      </c>
      <c r="K227" s="1">
        <v>1226</v>
      </c>
      <c r="L227" s="1" t="str">
        <f t="shared" si="0"/>
        <v>ELIGIBLE</v>
      </c>
    </row>
    <row r="228" spans="1:12" x14ac:dyDescent="0.3">
      <c r="A228" s="1" t="s">
        <v>58</v>
      </c>
      <c r="B228" s="1" t="s">
        <v>22</v>
      </c>
      <c r="C228" s="1" t="s">
        <v>34</v>
      </c>
      <c r="D228" s="1" t="s">
        <v>45</v>
      </c>
      <c r="E228" s="1">
        <v>16</v>
      </c>
      <c r="F228" s="1">
        <v>1321</v>
      </c>
      <c r="G228" s="1">
        <v>12</v>
      </c>
      <c r="H228" s="2">
        <v>46113</v>
      </c>
      <c r="I228" s="2">
        <v>46116</v>
      </c>
      <c r="J228" s="1" t="s">
        <v>15</v>
      </c>
      <c r="K228" s="1">
        <v>1227</v>
      </c>
      <c r="L228" s="1" t="str">
        <f t="shared" si="0"/>
        <v>NOT ELIGIBLE</v>
      </c>
    </row>
    <row r="229" spans="1:12" x14ac:dyDescent="0.3">
      <c r="A229" s="1" t="s">
        <v>29</v>
      </c>
      <c r="B229" s="1" t="s">
        <v>25</v>
      </c>
      <c r="C229" s="1" t="s">
        <v>34</v>
      </c>
      <c r="D229" s="1" t="s">
        <v>45</v>
      </c>
      <c r="E229" s="1">
        <v>16</v>
      </c>
      <c r="F229" s="1">
        <v>17477</v>
      </c>
      <c r="G229" s="1">
        <v>10</v>
      </c>
      <c r="H229" s="2">
        <v>46041</v>
      </c>
      <c r="I229" s="2">
        <v>46043</v>
      </c>
      <c r="J229" s="1" t="s">
        <v>24</v>
      </c>
      <c r="K229" s="1">
        <v>1228</v>
      </c>
      <c r="L229" s="1" t="str">
        <f t="shared" si="0"/>
        <v>NOT ELIGIBLE</v>
      </c>
    </row>
    <row r="230" spans="1:12" x14ac:dyDescent="0.3">
      <c r="A230" s="1" t="s">
        <v>57</v>
      </c>
      <c r="B230" s="1" t="s">
        <v>12</v>
      </c>
      <c r="C230" s="1" t="s">
        <v>18</v>
      </c>
      <c r="D230" s="1" t="s">
        <v>56</v>
      </c>
      <c r="E230" s="1">
        <v>14</v>
      </c>
      <c r="F230" s="1">
        <v>5859</v>
      </c>
      <c r="G230" s="1">
        <v>12</v>
      </c>
      <c r="H230" s="2">
        <v>46027</v>
      </c>
      <c r="I230" s="2">
        <v>46036</v>
      </c>
      <c r="J230" s="1" t="s">
        <v>20</v>
      </c>
      <c r="K230" s="1">
        <v>1229</v>
      </c>
      <c r="L230" s="1" t="str">
        <f t="shared" si="0"/>
        <v>ELIGIBLE</v>
      </c>
    </row>
    <row r="231" spans="1:12" x14ac:dyDescent="0.3">
      <c r="A231" s="1" t="s">
        <v>59</v>
      </c>
      <c r="B231" s="1" t="s">
        <v>33</v>
      </c>
      <c r="C231" s="1" t="s">
        <v>34</v>
      </c>
      <c r="D231" s="1" t="s">
        <v>60</v>
      </c>
      <c r="E231" s="1">
        <v>7</v>
      </c>
      <c r="F231" s="1">
        <v>2932</v>
      </c>
      <c r="G231" s="1">
        <v>7</v>
      </c>
      <c r="H231" s="2">
        <v>46050</v>
      </c>
      <c r="I231" s="2">
        <v>46059</v>
      </c>
      <c r="J231" s="1" t="s">
        <v>24</v>
      </c>
      <c r="K231" s="1">
        <v>1230</v>
      </c>
      <c r="L231" s="1" t="str">
        <f t="shared" si="0"/>
        <v>ELIGIBLE</v>
      </c>
    </row>
    <row r="232" spans="1:12" x14ac:dyDescent="0.3">
      <c r="A232" s="1" t="s">
        <v>48</v>
      </c>
      <c r="B232" s="1" t="s">
        <v>38</v>
      </c>
      <c r="C232" s="1" t="s">
        <v>18</v>
      </c>
      <c r="D232" s="1" t="s">
        <v>19</v>
      </c>
      <c r="E232" s="1">
        <v>13</v>
      </c>
      <c r="F232" s="1">
        <v>10297</v>
      </c>
      <c r="G232" s="1">
        <v>12</v>
      </c>
      <c r="H232" s="2">
        <v>46178</v>
      </c>
      <c r="I232" s="2">
        <v>46186</v>
      </c>
      <c r="J232" s="1" t="s">
        <v>20</v>
      </c>
      <c r="K232" s="1">
        <v>1231</v>
      </c>
      <c r="L232" s="1" t="str">
        <f t="shared" si="0"/>
        <v>ELIGIBLE</v>
      </c>
    </row>
    <row r="233" spans="1:12" x14ac:dyDescent="0.3">
      <c r="A233" s="1" t="s">
        <v>21</v>
      </c>
      <c r="B233" s="1" t="s">
        <v>12</v>
      </c>
      <c r="C233" s="1" t="s">
        <v>34</v>
      </c>
      <c r="D233" s="1" t="s">
        <v>60</v>
      </c>
      <c r="E233" s="1">
        <v>3</v>
      </c>
      <c r="F233" s="1">
        <v>13272</v>
      </c>
      <c r="G233" s="1">
        <v>2</v>
      </c>
      <c r="H233" s="2">
        <v>46060</v>
      </c>
      <c r="I233" s="2">
        <v>46065</v>
      </c>
      <c r="J233" s="1" t="s">
        <v>15</v>
      </c>
      <c r="K233" s="1">
        <v>1232</v>
      </c>
      <c r="L233" s="1" t="str">
        <f t="shared" si="0"/>
        <v>ELIGIBLE</v>
      </c>
    </row>
    <row r="234" spans="1:12" x14ac:dyDescent="0.3">
      <c r="A234" s="1" t="s">
        <v>58</v>
      </c>
      <c r="B234" s="1" t="s">
        <v>22</v>
      </c>
      <c r="C234" s="1" t="s">
        <v>18</v>
      </c>
      <c r="D234" s="1" t="s">
        <v>19</v>
      </c>
      <c r="E234" s="1">
        <v>20</v>
      </c>
      <c r="F234" s="1">
        <v>13941</v>
      </c>
      <c r="G234" s="1">
        <v>15</v>
      </c>
      <c r="H234" s="2">
        <v>46198</v>
      </c>
      <c r="I234" s="2">
        <v>46202</v>
      </c>
      <c r="J234" s="1" t="s">
        <v>24</v>
      </c>
      <c r="K234" s="1">
        <v>1233</v>
      </c>
      <c r="L234" s="1" t="str">
        <f t="shared" si="0"/>
        <v>ELIGIBLE</v>
      </c>
    </row>
    <row r="235" spans="1:12" x14ac:dyDescent="0.3">
      <c r="A235" s="1" t="s">
        <v>11</v>
      </c>
      <c r="B235" s="1" t="s">
        <v>25</v>
      </c>
      <c r="C235" s="1" t="s">
        <v>18</v>
      </c>
      <c r="D235" s="1" t="s">
        <v>28</v>
      </c>
      <c r="E235" s="1">
        <v>1</v>
      </c>
      <c r="F235" s="1">
        <v>14320</v>
      </c>
      <c r="G235" s="1">
        <v>12</v>
      </c>
      <c r="H235" s="2">
        <v>46114</v>
      </c>
      <c r="I235" s="2">
        <v>46121</v>
      </c>
      <c r="J235" s="1" t="s">
        <v>51</v>
      </c>
      <c r="K235" s="1">
        <v>1234</v>
      </c>
      <c r="L235" s="1" t="str">
        <f t="shared" si="0"/>
        <v>ELIGIBLE</v>
      </c>
    </row>
    <row r="236" spans="1:12" x14ac:dyDescent="0.3">
      <c r="A236" s="1" t="s">
        <v>57</v>
      </c>
      <c r="B236" s="1" t="s">
        <v>25</v>
      </c>
      <c r="C236" s="1" t="s">
        <v>13</v>
      </c>
      <c r="D236" s="1" t="s">
        <v>50</v>
      </c>
      <c r="E236" s="1">
        <v>15</v>
      </c>
      <c r="F236" s="1">
        <v>267</v>
      </c>
      <c r="G236" s="1">
        <v>15</v>
      </c>
      <c r="H236" s="2">
        <v>46172</v>
      </c>
      <c r="I236" s="2">
        <v>46177</v>
      </c>
      <c r="J236" s="1" t="s">
        <v>29</v>
      </c>
      <c r="K236" s="1">
        <v>1235</v>
      </c>
      <c r="L236" s="1" t="str">
        <f t="shared" si="0"/>
        <v>ELIGIBLE</v>
      </c>
    </row>
    <row r="237" spans="1:12" x14ac:dyDescent="0.3">
      <c r="A237" s="1" t="s">
        <v>54</v>
      </c>
      <c r="B237" s="1" t="s">
        <v>43</v>
      </c>
      <c r="C237" s="1" t="s">
        <v>13</v>
      </c>
      <c r="D237" s="1" t="s">
        <v>37</v>
      </c>
      <c r="E237" s="1">
        <v>12</v>
      </c>
      <c r="F237" s="1">
        <v>189</v>
      </c>
      <c r="G237" s="1">
        <v>7</v>
      </c>
      <c r="H237" s="2">
        <v>46164</v>
      </c>
      <c r="I237" s="2">
        <v>46169</v>
      </c>
      <c r="J237" s="1" t="s">
        <v>29</v>
      </c>
      <c r="K237" s="1">
        <v>1236</v>
      </c>
      <c r="L237" s="1" t="str">
        <f t="shared" si="0"/>
        <v>ELIGIBLE</v>
      </c>
    </row>
    <row r="238" spans="1:12" x14ac:dyDescent="0.3">
      <c r="A238" s="1" t="s">
        <v>46</v>
      </c>
      <c r="B238" s="1" t="s">
        <v>38</v>
      </c>
      <c r="C238" s="1" t="s">
        <v>18</v>
      </c>
      <c r="D238" s="1" t="s">
        <v>56</v>
      </c>
      <c r="E238" s="1">
        <v>8</v>
      </c>
      <c r="F238" s="1">
        <v>12123</v>
      </c>
      <c r="G238" s="1">
        <v>2</v>
      </c>
      <c r="H238" s="2">
        <v>46137</v>
      </c>
      <c r="I238" s="2">
        <v>46145</v>
      </c>
      <c r="J238" s="1" t="s">
        <v>15</v>
      </c>
      <c r="K238" s="1">
        <v>1237</v>
      </c>
      <c r="L238" s="1" t="str">
        <f t="shared" si="0"/>
        <v>ELIGIBLE</v>
      </c>
    </row>
    <row r="239" spans="1:12" x14ac:dyDescent="0.3">
      <c r="A239" s="1" t="s">
        <v>30</v>
      </c>
      <c r="B239" s="1" t="s">
        <v>31</v>
      </c>
      <c r="C239" s="1" t="s">
        <v>13</v>
      </c>
      <c r="D239" s="1" t="s">
        <v>14</v>
      </c>
      <c r="E239" s="1">
        <v>6</v>
      </c>
      <c r="F239" s="1">
        <v>180</v>
      </c>
      <c r="G239" s="1">
        <v>12</v>
      </c>
      <c r="H239" s="2">
        <v>46096</v>
      </c>
      <c r="I239" s="2">
        <v>46097</v>
      </c>
      <c r="J239" s="1" t="s">
        <v>51</v>
      </c>
      <c r="K239" s="1">
        <v>1238</v>
      </c>
      <c r="L239" s="1" t="str">
        <f t="shared" si="0"/>
        <v>ELIGIBLE</v>
      </c>
    </row>
    <row r="240" spans="1:12" x14ac:dyDescent="0.3">
      <c r="A240" s="1" t="s">
        <v>48</v>
      </c>
      <c r="B240" s="1" t="s">
        <v>17</v>
      </c>
      <c r="C240" s="1" t="s">
        <v>18</v>
      </c>
      <c r="D240" s="1" t="s">
        <v>56</v>
      </c>
      <c r="E240" s="1">
        <v>2</v>
      </c>
      <c r="F240" s="1">
        <v>12330</v>
      </c>
      <c r="G240" s="1">
        <v>12</v>
      </c>
      <c r="H240" s="2">
        <v>46122</v>
      </c>
      <c r="I240" s="2">
        <v>46125</v>
      </c>
      <c r="J240" s="1" t="s">
        <v>15</v>
      </c>
      <c r="K240" s="1">
        <v>1239</v>
      </c>
      <c r="L240" s="1" t="str">
        <f t="shared" si="0"/>
        <v>ELIGIBLE</v>
      </c>
    </row>
    <row r="241" spans="1:12" x14ac:dyDescent="0.3">
      <c r="A241" s="1" t="s">
        <v>55</v>
      </c>
      <c r="B241" s="1" t="s">
        <v>33</v>
      </c>
      <c r="C241" s="1" t="s">
        <v>18</v>
      </c>
      <c r="D241" s="1" t="s">
        <v>23</v>
      </c>
      <c r="E241" s="1">
        <v>2</v>
      </c>
      <c r="F241" s="1">
        <v>5475</v>
      </c>
      <c r="G241" s="1">
        <v>2</v>
      </c>
      <c r="H241" s="2">
        <v>46142</v>
      </c>
      <c r="I241" s="2">
        <v>46146</v>
      </c>
      <c r="J241" s="1" t="s">
        <v>29</v>
      </c>
      <c r="K241" s="1">
        <v>1240</v>
      </c>
      <c r="L241" s="1" t="str">
        <f t="shared" si="0"/>
        <v>ELIGIBLE</v>
      </c>
    </row>
    <row r="242" spans="1:12" x14ac:dyDescent="0.3">
      <c r="A242" s="1" t="s">
        <v>46</v>
      </c>
      <c r="B242" s="1" t="s">
        <v>31</v>
      </c>
      <c r="C242" s="1" t="s">
        <v>18</v>
      </c>
      <c r="D242" s="1" t="s">
        <v>44</v>
      </c>
      <c r="E242" s="1">
        <v>1</v>
      </c>
      <c r="F242" s="1">
        <v>12537</v>
      </c>
      <c r="G242" s="1">
        <v>0</v>
      </c>
      <c r="H242" s="2">
        <v>46119</v>
      </c>
      <c r="I242" s="2">
        <v>46122</v>
      </c>
      <c r="J242" s="1" t="s">
        <v>15</v>
      </c>
      <c r="K242" s="1">
        <v>1241</v>
      </c>
      <c r="L242" s="1" t="str">
        <f t="shared" si="0"/>
        <v>ELIGIBLE</v>
      </c>
    </row>
    <row r="243" spans="1:12" x14ac:dyDescent="0.3">
      <c r="A243" s="1" t="s">
        <v>54</v>
      </c>
      <c r="B243" s="1" t="s">
        <v>38</v>
      </c>
      <c r="C243" s="1" t="s">
        <v>13</v>
      </c>
      <c r="D243" s="1" t="s">
        <v>50</v>
      </c>
      <c r="E243" s="1">
        <v>7</v>
      </c>
      <c r="F243" s="1">
        <v>168</v>
      </c>
      <c r="G243" s="1">
        <v>10</v>
      </c>
      <c r="H243" s="2">
        <v>46191</v>
      </c>
      <c r="I243" s="2">
        <v>46196</v>
      </c>
      <c r="J243" s="1" t="s">
        <v>51</v>
      </c>
      <c r="K243" s="1">
        <v>1242</v>
      </c>
      <c r="L243" s="1" t="str">
        <f t="shared" si="0"/>
        <v>ELIGIBLE</v>
      </c>
    </row>
    <row r="244" spans="1:12" x14ac:dyDescent="0.3">
      <c r="A244" s="1" t="s">
        <v>30</v>
      </c>
      <c r="B244" s="1" t="s">
        <v>31</v>
      </c>
      <c r="C244" s="1" t="s">
        <v>34</v>
      </c>
      <c r="D244" s="1" t="s">
        <v>41</v>
      </c>
      <c r="E244" s="1">
        <v>5</v>
      </c>
      <c r="F244" s="1">
        <v>11570</v>
      </c>
      <c r="G244" s="1">
        <v>15</v>
      </c>
      <c r="H244" s="2">
        <v>46069</v>
      </c>
      <c r="I244" s="2">
        <v>46077</v>
      </c>
      <c r="J244" s="1" t="s">
        <v>24</v>
      </c>
      <c r="K244" s="1">
        <v>1243</v>
      </c>
      <c r="L244" s="1" t="str">
        <f t="shared" si="0"/>
        <v>NOT ELIGIBLE</v>
      </c>
    </row>
    <row r="245" spans="1:12" x14ac:dyDescent="0.3">
      <c r="A245" s="1" t="s">
        <v>57</v>
      </c>
      <c r="B245" s="1" t="s">
        <v>38</v>
      </c>
      <c r="C245" s="1" t="s">
        <v>18</v>
      </c>
      <c r="D245" s="1" t="s">
        <v>28</v>
      </c>
      <c r="E245" s="1">
        <v>10</v>
      </c>
      <c r="F245" s="1">
        <v>6339</v>
      </c>
      <c r="G245" s="1">
        <v>12</v>
      </c>
      <c r="H245" s="2">
        <v>46200</v>
      </c>
      <c r="I245" s="2">
        <v>46205</v>
      </c>
      <c r="J245" s="1" t="s">
        <v>15</v>
      </c>
      <c r="K245" s="1">
        <v>1244</v>
      </c>
      <c r="L245" s="1" t="str">
        <f t="shared" si="0"/>
        <v>ELIGIBLE</v>
      </c>
    </row>
    <row r="246" spans="1:12" x14ac:dyDescent="0.3">
      <c r="A246" s="1" t="s">
        <v>55</v>
      </c>
      <c r="B246" s="1" t="s">
        <v>43</v>
      </c>
      <c r="C246" s="1" t="s">
        <v>34</v>
      </c>
      <c r="D246" s="1" t="s">
        <v>41</v>
      </c>
      <c r="E246" s="1">
        <v>19</v>
      </c>
      <c r="F246" s="1">
        <v>69029</v>
      </c>
      <c r="G246" s="1">
        <v>7</v>
      </c>
      <c r="H246" s="2">
        <v>46176</v>
      </c>
      <c r="I246" s="2">
        <v>46179</v>
      </c>
      <c r="J246" s="1" t="s">
        <v>29</v>
      </c>
      <c r="K246" s="1">
        <v>1245</v>
      </c>
      <c r="L246" s="1" t="str">
        <f t="shared" si="0"/>
        <v>ELIGIBLE</v>
      </c>
    </row>
    <row r="247" spans="1:12" x14ac:dyDescent="0.3">
      <c r="A247" s="1" t="s">
        <v>55</v>
      </c>
      <c r="B247" s="1" t="s">
        <v>22</v>
      </c>
      <c r="C247" s="1" t="s">
        <v>34</v>
      </c>
      <c r="D247" s="1" t="s">
        <v>35</v>
      </c>
      <c r="E247" s="1">
        <v>13</v>
      </c>
      <c r="F247" s="1">
        <v>1825</v>
      </c>
      <c r="G247" s="1">
        <v>2</v>
      </c>
      <c r="H247" s="2">
        <v>46039</v>
      </c>
      <c r="I247" s="2">
        <v>46045</v>
      </c>
      <c r="J247" s="1" t="s">
        <v>51</v>
      </c>
      <c r="K247" s="1">
        <v>1246</v>
      </c>
      <c r="L247" s="1" t="str">
        <f t="shared" si="0"/>
        <v>ELIGIBLE</v>
      </c>
    </row>
    <row r="248" spans="1:12" x14ac:dyDescent="0.3">
      <c r="A248" s="1" t="s">
        <v>26</v>
      </c>
      <c r="B248" s="1" t="s">
        <v>12</v>
      </c>
      <c r="C248" s="1" t="s">
        <v>13</v>
      </c>
      <c r="D248" s="1" t="s">
        <v>50</v>
      </c>
      <c r="E248" s="1">
        <v>10</v>
      </c>
      <c r="F248" s="1">
        <v>336</v>
      </c>
      <c r="G248" s="1">
        <v>7</v>
      </c>
      <c r="H248" s="2">
        <v>46173</v>
      </c>
      <c r="I248" s="2">
        <v>46175</v>
      </c>
      <c r="J248" s="1" t="s">
        <v>20</v>
      </c>
      <c r="K248" s="1">
        <v>1247</v>
      </c>
      <c r="L248" s="1" t="str">
        <f t="shared" si="0"/>
        <v>ELIGIBLE</v>
      </c>
    </row>
    <row r="249" spans="1:12" x14ac:dyDescent="0.3">
      <c r="A249" s="1" t="s">
        <v>27</v>
      </c>
      <c r="B249" s="1" t="s">
        <v>43</v>
      </c>
      <c r="C249" s="1" t="s">
        <v>13</v>
      </c>
      <c r="D249" s="1" t="s">
        <v>37</v>
      </c>
      <c r="E249" s="1">
        <v>5</v>
      </c>
      <c r="F249" s="1">
        <v>398</v>
      </c>
      <c r="G249" s="1">
        <v>7</v>
      </c>
      <c r="H249" s="2">
        <v>46161</v>
      </c>
      <c r="I249" s="2">
        <v>46171</v>
      </c>
      <c r="J249" s="1" t="s">
        <v>29</v>
      </c>
      <c r="K249" s="1">
        <v>1248</v>
      </c>
      <c r="L249" s="1" t="str">
        <f t="shared" si="0"/>
        <v>ELIGIBLE</v>
      </c>
    </row>
    <row r="250" spans="1:12" x14ac:dyDescent="0.3">
      <c r="A250" s="1" t="s">
        <v>16</v>
      </c>
      <c r="B250" s="1" t="s">
        <v>25</v>
      </c>
      <c r="C250" s="1" t="s">
        <v>34</v>
      </c>
      <c r="D250" s="1" t="s">
        <v>41</v>
      </c>
      <c r="E250" s="1">
        <v>18</v>
      </c>
      <c r="F250" s="1">
        <v>6360</v>
      </c>
      <c r="G250" s="1">
        <v>12</v>
      </c>
      <c r="H250" s="2">
        <v>46163</v>
      </c>
      <c r="I250" s="2">
        <v>46165</v>
      </c>
      <c r="J250" s="1" t="s">
        <v>20</v>
      </c>
      <c r="K250" s="1">
        <v>1249</v>
      </c>
      <c r="L250" s="1" t="str">
        <f t="shared" si="0"/>
        <v>NOT ELIGIBLE</v>
      </c>
    </row>
    <row r="251" spans="1:12" x14ac:dyDescent="0.3">
      <c r="A251" s="1" t="s">
        <v>11</v>
      </c>
      <c r="B251" s="1" t="s">
        <v>17</v>
      </c>
      <c r="C251" s="1" t="s">
        <v>34</v>
      </c>
      <c r="D251" s="1" t="s">
        <v>45</v>
      </c>
      <c r="E251" s="1">
        <v>2</v>
      </c>
      <c r="F251" s="1">
        <v>65953</v>
      </c>
      <c r="G251" s="1">
        <v>7</v>
      </c>
      <c r="H251" s="2">
        <v>46051</v>
      </c>
      <c r="I251" s="2">
        <v>46053</v>
      </c>
      <c r="J251" s="1" t="s">
        <v>29</v>
      </c>
      <c r="K251" s="1">
        <v>1250</v>
      </c>
      <c r="L251" s="1" t="str">
        <f t="shared" si="0"/>
        <v>ELIGIBLE</v>
      </c>
    </row>
    <row r="252" spans="1:12" x14ac:dyDescent="0.3">
      <c r="A252" s="1" t="s">
        <v>55</v>
      </c>
      <c r="B252" s="1" t="s">
        <v>38</v>
      </c>
      <c r="C252" s="1" t="s">
        <v>34</v>
      </c>
      <c r="D252" s="1" t="s">
        <v>61</v>
      </c>
      <c r="E252" s="1">
        <v>19</v>
      </c>
      <c r="F252" s="1">
        <v>48548</v>
      </c>
      <c r="G252" s="1">
        <v>0</v>
      </c>
      <c r="H252" s="2">
        <v>46112</v>
      </c>
      <c r="I252" s="2">
        <v>46121</v>
      </c>
      <c r="J252" s="1" t="s">
        <v>51</v>
      </c>
      <c r="K252" s="1">
        <v>1251</v>
      </c>
      <c r="L252" s="1" t="str">
        <f t="shared" si="0"/>
        <v>ELIGIBLE</v>
      </c>
    </row>
    <row r="253" spans="1:12" x14ac:dyDescent="0.3">
      <c r="A253" s="1" t="s">
        <v>47</v>
      </c>
      <c r="B253" s="1" t="s">
        <v>25</v>
      </c>
      <c r="C253" s="1" t="s">
        <v>13</v>
      </c>
      <c r="D253" s="1" t="s">
        <v>36</v>
      </c>
      <c r="E253" s="1">
        <v>15</v>
      </c>
      <c r="F253" s="1">
        <v>257</v>
      </c>
      <c r="G253" s="1">
        <v>5</v>
      </c>
      <c r="H253" s="2">
        <v>46166</v>
      </c>
      <c r="I253" s="2">
        <v>46173</v>
      </c>
      <c r="J253" s="1" t="s">
        <v>20</v>
      </c>
      <c r="K253" s="1">
        <v>1252</v>
      </c>
      <c r="L253" s="1" t="str">
        <f t="shared" si="0"/>
        <v>ELIGIBLE</v>
      </c>
    </row>
    <row r="254" spans="1:12" x14ac:dyDescent="0.3">
      <c r="A254" s="1" t="s">
        <v>21</v>
      </c>
      <c r="B254" s="1" t="s">
        <v>31</v>
      </c>
      <c r="C254" s="1" t="s">
        <v>34</v>
      </c>
      <c r="D254" s="1" t="s">
        <v>45</v>
      </c>
      <c r="E254" s="1">
        <v>20</v>
      </c>
      <c r="F254" s="1">
        <v>47880</v>
      </c>
      <c r="G254" s="1">
        <v>7</v>
      </c>
      <c r="H254" s="2">
        <v>46074</v>
      </c>
      <c r="I254" s="2">
        <v>46075</v>
      </c>
      <c r="J254" s="1" t="s">
        <v>29</v>
      </c>
      <c r="K254" s="1">
        <v>1253</v>
      </c>
      <c r="L254" s="1" t="str">
        <f t="shared" si="0"/>
        <v>ELIGIBLE</v>
      </c>
    </row>
    <row r="255" spans="1:12" x14ac:dyDescent="0.3">
      <c r="A255" s="1" t="s">
        <v>52</v>
      </c>
      <c r="B255" s="1" t="s">
        <v>22</v>
      </c>
      <c r="C255" s="1" t="s">
        <v>13</v>
      </c>
      <c r="D255" s="1" t="s">
        <v>50</v>
      </c>
      <c r="E255" s="1">
        <v>18</v>
      </c>
      <c r="F255" s="1">
        <v>447</v>
      </c>
      <c r="G255" s="1">
        <v>15</v>
      </c>
      <c r="H255" s="2">
        <v>46141</v>
      </c>
      <c r="I255" s="2">
        <v>46149</v>
      </c>
      <c r="J255" s="1" t="s">
        <v>24</v>
      </c>
      <c r="K255" s="1">
        <v>1254</v>
      </c>
      <c r="L255" s="1" t="str">
        <f t="shared" si="0"/>
        <v>ELIGIBLE</v>
      </c>
    </row>
    <row r="256" spans="1:12" x14ac:dyDescent="0.3">
      <c r="A256" s="1" t="s">
        <v>32</v>
      </c>
      <c r="B256" s="1" t="s">
        <v>17</v>
      </c>
      <c r="C256" s="1" t="s">
        <v>18</v>
      </c>
      <c r="D256" s="1" t="s">
        <v>19</v>
      </c>
      <c r="E256" s="1">
        <v>1</v>
      </c>
      <c r="F256" s="1">
        <v>2240</v>
      </c>
      <c r="G256" s="1">
        <v>5</v>
      </c>
      <c r="H256" s="2">
        <v>46091</v>
      </c>
      <c r="I256" s="2">
        <v>46095</v>
      </c>
      <c r="J256" s="1" t="s">
        <v>20</v>
      </c>
      <c r="K256" s="1">
        <v>1255</v>
      </c>
      <c r="L256" s="1" t="str">
        <f t="shared" si="0"/>
        <v>ELIGIBLE</v>
      </c>
    </row>
    <row r="257" spans="1:12" x14ac:dyDescent="0.3">
      <c r="A257" s="1" t="s">
        <v>48</v>
      </c>
      <c r="B257" s="1" t="s">
        <v>31</v>
      </c>
      <c r="C257" s="1" t="s">
        <v>13</v>
      </c>
      <c r="D257" s="1" t="s">
        <v>50</v>
      </c>
      <c r="E257" s="1">
        <v>19</v>
      </c>
      <c r="F257" s="1">
        <v>406</v>
      </c>
      <c r="G257" s="1">
        <v>7</v>
      </c>
      <c r="H257" s="2">
        <v>46057</v>
      </c>
      <c r="I257" s="2">
        <v>46061</v>
      </c>
      <c r="J257" s="1" t="s">
        <v>15</v>
      </c>
      <c r="K257" s="1">
        <v>1256</v>
      </c>
      <c r="L257" s="1" t="str">
        <f t="shared" ref="L257:L401" si="1">IF(AND(C257="ELECTRONICS",G257&gt;=10),"NOT ELIGIBLE","ELIGIBLE")</f>
        <v>ELIGIBLE</v>
      </c>
    </row>
    <row r="258" spans="1:12" x14ac:dyDescent="0.3">
      <c r="A258" s="1" t="s">
        <v>54</v>
      </c>
      <c r="B258" s="1" t="s">
        <v>25</v>
      </c>
      <c r="C258" s="1" t="s">
        <v>34</v>
      </c>
      <c r="D258" s="1" t="s">
        <v>61</v>
      </c>
      <c r="E258" s="1">
        <v>7</v>
      </c>
      <c r="F258" s="1">
        <v>53243</v>
      </c>
      <c r="G258" s="1">
        <v>12</v>
      </c>
      <c r="H258" s="2">
        <v>46161</v>
      </c>
      <c r="I258" s="2">
        <v>46171</v>
      </c>
      <c r="J258" s="1" t="s">
        <v>15</v>
      </c>
      <c r="K258" s="1">
        <v>1257</v>
      </c>
      <c r="L258" s="1" t="str">
        <f t="shared" si="1"/>
        <v>NOT ELIGIBLE</v>
      </c>
    </row>
    <row r="259" spans="1:12" x14ac:dyDescent="0.3">
      <c r="A259" s="1" t="s">
        <v>32</v>
      </c>
      <c r="B259" s="1" t="s">
        <v>31</v>
      </c>
      <c r="C259" s="1" t="s">
        <v>34</v>
      </c>
      <c r="D259" s="1" t="s">
        <v>60</v>
      </c>
      <c r="E259" s="1">
        <v>1</v>
      </c>
      <c r="F259" s="1">
        <v>10600</v>
      </c>
      <c r="G259" s="1">
        <v>5</v>
      </c>
      <c r="H259" s="2">
        <v>46137</v>
      </c>
      <c r="I259" s="2">
        <v>46138</v>
      </c>
      <c r="J259" s="1" t="s">
        <v>29</v>
      </c>
      <c r="K259" s="1">
        <v>1258</v>
      </c>
      <c r="L259" s="1" t="str">
        <f t="shared" si="1"/>
        <v>ELIGIBLE</v>
      </c>
    </row>
    <row r="260" spans="1:12" x14ac:dyDescent="0.3">
      <c r="A260" s="1" t="s">
        <v>42</v>
      </c>
      <c r="B260" s="1" t="s">
        <v>22</v>
      </c>
      <c r="C260" s="1" t="s">
        <v>34</v>
      </c>
      <c r="D260" s="1" t="s">
        <v>45</v>
      </c>
      <c r="E260" s="1">
        <v>10</v>
      </c>
      <c r="F260" s="1">
        <v>38771</v>
      </c>
      <c r="G260" s="1">
        <v>15</v>
      </c>
      <c r="H260" s="2">
        <v>46172</v>
      </c>
      <c r="I260" s="2">
        <v>46182</v>
      </c>
      <c r="J260" s="1" t="s">
        <v>15</v>
      </c>
      <c r="K260" s="1">
        <v>1259</v>
      </c>
      <c r="L260" s="1" t="str">
        <f t="shared" si="1"/>
        <v>NOT ELIGIBLE</v>
      </c>
    </row>
    <row r="261" spans="1:12" x14ac:dyDescent="0.3">
      <c r="A261" s="1" t="s">
        <v>54</v>
      </c>
      <c r="B261" s="1" t="s">
        <v>38</v>
      </c>
      <c r="C261" s="1" t="s">
        <v>34</v>
      </c>
      <c r="D261" s="1" t="s">
        <v>41</v>
      </c>
      <c r="E261" s="1">
        <v>19</v>
      </c>
      <c r="F261" s="1">
        <v>54981</v>
      </c>
      <c r="G261" s="1">
        <v>10</v>
      </c>
      <c r="H261" s="2">
        <v>46040</v>
      </c>
      <c r="I261" s="2">
        <v>46045</v>
      </c>
      <c r="J261" s="1" t="s">
        <v>29</v>
      </c>
      <c r="K261" s="1">
        <v>1260</v>
      </c>
      <c r="L261" s="1" t="str">
        <f t="shared" si="1"/>
        <v>NOT ELIGIBLE</v>
      </c>
    </row>
    <row r="262" spans="1:12" x14ac:dyDescent="0.3">
      <c r="A262" s="1" t="s">
        <v>40</v>
      </c>
      <c r="B262" s="1" t="s">
        <v>17</v>
      </c>
      <c r="C262" s="1" t="s">
        <v>13</v>
      </c>
      <c r="D262" s="1" t="s">
        <v>50</v>
      </c>
      <c r="E262" s="1">
        <v>20</v>
      </c>
      <c r="F262" s="1">
        <v>162</v>
      </c>
      <c r="G262" s="1">
        <v>7</v>
      </c>
      <c r="H262" s="2">
        <v>46119</v>
      </c>
      <c r="I262" s="2">
        <v>46120</v>
      </c>
      <c r="J262" s="1" t="s">
        <v>51</v>
      </c>
      <c r="K262" s="1">
        <v>1261</v>
      </c>
      <c r="L262" s="1" t="str">
        <f t="shared" si="1"/>
        <v>ELIGIBLE</v>
      </c>
    </row>
    <row r="263" spans="1:12" x14ac:dyDescent="0.3">
      <c r="A263" s="1" t="s">
        <v>16</v>
      </c>
      <c r="B263" s="1" t="s">
        <v>22</v>
      </c>
      <c r="C263" s="1" t="s">
        <v>18</v>
      </c>
      <c r="D263" s="1" t="s">
        <v>28</v>
      </c>
      <c r="E263" s="1">
        <v>9</v>
      </c>
      <c r="F263" s="1">
        <v>2231</v>
      </c>
      <c r="G263" s="1">
        <v>15</v>
      </c>
      <c r="H263" s="2">
        <v>46174</v>
      </c>
      <c r="I263" s="2">
        <v>46183</v>
      </c>
      <c r="J263" s="1" t="s">
        <v>15</v>
      </c>
      <c r="K263" s="1">
        <v>1262</v>
      </c>
      <c r="L263" s="1" t="str">
        <f t="shared" si="1"/>
        <v>ELIGIBLE</v>
      </c>
    </row>
    <row r="264" spans="1:12" x14ac:dyDescent="0.3">
      <c r="A264" s="1" t="s">
        <v>29</v>
      </c>
      <c r="B264" s="1" t="s">
        <v>38</v>
      </c>
      <c r="C264" s="1" t="s">
        <v>18</v>
      </c>
      <c r="D264" s="1" t="s">
        <v>28</v>
      </c>
      <c r="E264" s="1">
        <v>10</v>
      </c>
      <c r="F264" s="1">
        <v>1505</v>
      </c>
      <c r="G264" s="1">
        <v>0</v>
      </c>
      <c r="H264" s="2">
        <v>46130</v>
      </c>
      <c r="I264" s="2">
        <v>46138</v>
      </c>
      <c r="J264" s="1" t="s">
        <v>51</v>
      </c>
      <c r="K264" s="1">
        <v>1263</v>
      </c>
      <c r="L264" s="1" t="str">
        <f t="shared" si="1"/>
        <v>ELIGIBLE</v>
      </c>
    </row>
    <row r="265" spans="1:12" x14ac:dyDescent="0.3">
      <c r="A265" s="1" t="s">
        <v>11</v>
      </c>
      <c r="B265" s="1" t="s">
        <v>22</v>
      </c>
      <c r="C265" s="1" t="s">
        <v>18</v>
      </c>
      <c r="D265" s="1" t="s">
        <v>28</v>
      </c>
      <c r="E265" s="1">
        <v>15</v>
      </c>
      <c r="F265" s="1">
        <v>6365</v>
      </c>
      <c r="G265" s="1">
        <v>10</v>
      </c>
      <c r="H265" s="2">
        <v>46200</v>
      </c>
      <c r="I265" s="2">
        <v>46206</v>
      </c>
      <c r="J265" s="1" t="s">
        <v>20</v>
      </c>
      <c r="K265" s="1">
        <v>1264</v>
      </c>
      <c r="L265" s="1" t="str">
        <f t="shared" si="1"/>
        <v>ELIGIBLE</v>
      </c>
    </row>
    <row r="266" spans="1:12" x14ac:dyDescent="0.3">
      <c r="A266" s="1" t="s">
        <v>58</v>
      </c>
      <c r="B266" s="1" t="s">
        <v>22</v>
      </c>
      <c r="C266" s="1" t="s">
        <v>18</v>
      </c>
      <c r="D266" s="1" t="s">
        <v>19</v>
      </c>
      <c r="E266" s="1">
        <v>1</v>
      </c>
      <c r="F266" s="1">
        <v>1052</v>
      </c>
      <c r="G266" s="1">
        <v>7</v>
      </c>
      <c r="H266" s="2">
        <v>46117</v>
      </c>
      <c r="I266" s="2">
        <v>46127</v>
      </c>
      <c r="J266" s="1" t="s">
        <v>51</v>
      </c>
      <c r="K266" s="1">
        <v>1265</v>
      </c>
      <c r="L266" s="1" t="str">
        <f t="shared" si="1"/>
        <v>ELIGIBLE</v>
      </c>
    </row>
    <row r="267" spans="1:12" x14ac:dyDescent="0.3">
      <c r="A267" s="1" t="s">
        <v>29</v>
      </c>
      <c r="B267" s="1" t="s">
        <v>33</v>
      </c>
      <c r="C267" s="1" t="s">
        <v>13</v>
      </c>
      <c r="D267" s="1" t="s">
        <v>14</v>
      </c>
      <c r="E267" s="1">
        <v>17</v>
      </c>
      <c r="F267" s="1">
        <v>365</v>
      </c>
      <c r="G267" s="1">
        <v>2</v>
      </c>
      <c r="H267" s="2">
        <v>46096</v>
      </c>
      <c r="I267" s="2">
        <v>46104</v>
      </c>
      <c r="J267" s="1" t="s">
        <v>51</v>
      </c>
      <c r="K267" s="1">
        <v>1266</v>
      </c>
      <c r="L267" s="1" t="str">
        <f t="shared" si="1"/>
        <v>ELIGIBLE</v>
      </c>
    </row>
    <row r="268" spans="1:12" x14ac:dyDescent="0.3">
      <c r="A268" s="1" t="s">
        <v>27</v>
      </c>
      <c r="B268" s="1" t="s">
        <v>38</v>
      </c>
      <c r="C268" s="1" t="s">
        <v>13</v>
      </c>
      <c r="D268" s="1" t="s">
        <v>50</v>
      </c>
      <c r="E268" s="1">
        <v>1</v>
      </c>
      <c r="F268" s="1">
        <v>50</v>
      </c>
      <c r="G268" s="1">
        <v>0</v>
      </c>
      <c r="H268" s="2">
        <v>46129</v>
      </c>
      <c r="I268" s="2">
        <v>46138</v>
      </c>
      <c r="J268" s="1" t="s">
        <v>20</v>
      </c>
      <c r="K268" s="1">
        <v>1267</v>
      </c>
      <c r="L268" s="1" t="str">
        <f t="shared" si="1"/>
        <v>ELIGIBLE</v>
      </c>
    </row>
    <row r="269" spans="1:12" x14ac:dyDescent="0.3">
      <c r="A269" s="1" t="s">
        <v>42</v>
      </c>
      <c r="B269" s="1" t="s">
        <v>38</v>
      </c>
      <c r="C269" s="1" t="s">
        <v>34</v>
      </c>
      <c r="D269" s="1" t="s">
        <v>45</v>
      </c>
      <c r="E269" s="1">
        <v>10</v>
      </c>
      <c r="F269" s="1">
        <v>46291</v>
      </c>
      <c r="G269" s="1">
        <v>12</v>
      </c>
      <c r="H269" s="2">
        <v>46199</v>
      </c>
      <c r="I269" s="2">
        <v>46202</v>
      </c>
      <c r="J269" s="1" t="s">
        <v>20</v>
      </c>
      <c r="K269" s="1">
        <v>1268</v>
      </c>
      <c r="L269" s="1" t="str">
        <f t="shared" si="1"/>
        <v>NOT ELIGIBLE</v>
      </c>
    </row>
    <row r="270" spans="1:12" x14ac:dyDescent="0.3">
      <c r="A270" s="1" t="s">
        <v>52</v>
      </c>
      <c r="B270" s="1" t="s">
        <v>43</v>
      </c>
      <c r="C270" s="1" t="s">
        <v>18</v>
      </c>
      <c r="D270" s="1" t="s">
        <v>19</v>
      </c>
      <c r="E270" s="1">
        <v>14</v>
      </c>
      <c r="F270" s="1">
        <v>5704</v>
      </c>
      <c r="G270" s="1">
        <v>2</v>
      </c>
      <c r="H270" s="2">
        <v>46129</v>
      </c>
      <c r="I270" s="2">
        <v>46131</v>
      </c>
      <c r="J270" s="1" t="s">
        <v>15</v>
      </c>
      <c r="K270" s="1">
        <v>1269</v>
      </c>
      <c r="L270" s="1" t="str">
        <f t="shared" si="1"/>
        <v>ELIGIBLE</v>
      </c>
    </row>
    <row r="271" spans="1:12" x14ac:dyDescent="0.3">
      <c r="A271" s="1" t="s">
        <v>49</v>
      </c>
      <c r="B271" s="1" t="s">
        <v>43</v>
      </c>
      <c r="C271" s="1" t="s">
        <v>34</v>
      </c>
      <c r="D271" s="1" t="s">
        <v>35</v>
      </c>
      <c r="E271" s="1">
        <v>16</v>
      </c>
      <c r="F271" s="1">
        <v>62941</v>
      </c>
      <c r="G271" s="1">
        <v>7</v>
      </c>
      <c r="H271" s="2">
        <v>46135</v>
      </c>
      <c r="I271" s="2">
        <v>46141</v>
      </c>
      <c r="J271" s="1" t="s">
        <v>51</v>
      </c>
      <c r="K271" s="1">
        <v>1270</v>
      </c>
      <c r="L271" s="1" t="str">
        <f t="shared" si="1"/>
        <v>ELIGIBLE</v>
      </c>
    </row>
    <row r="272" spans="1:12" x14ac:dyDescent="0.3">
      <c r="A272" s="1" t="s">
        <v>40</v>
      </c>
      <c r="B272" s="1" t="s">
        <v>33</v>
      </c>
      <c r="C272" s="1" t="s">
        <v>34</v>
      </c>
      <c r="D272" s="1" t="s">
        <v>60</v>
      </c>
      <c r="E272" s="1">
        <v>20</v>
      </c>
      <c r="F272" s="1">
        <v>36941</v>
      </c>
      <c r="G272" s="1">
        <v>15</v>
      </c>
      <c r="H272" s="2">
        <v>46083</v>
      </c>
      <c r="I272" s="2">
        <v>46085</v>
      </c>
      <c r="J272" s="1" t="s">
        <v>29</v>
      </c>
      <c r="K272" s="1">
        <v>1271</v>
      </c>
      <c r="L272" s="1" t="str">
        <f t="shared" si="1"/>
        <v>NOT ELIGIBLE</v>
      </c>
    </row>
    <row r="273" spans="1:12" x14ac:dyDescent="0.3">
      <c r="A273" s="1" t="s">
        <v>52</v>
      </c>
      <c r="B273" s="1" t="s">
        <v>38</v>
      </c>
      <c r="C273" s="1" t="s">
        <v>34</v>
      </c>
      <c r="D273" s="1" t="s">
        <v>41</v>
      </c>
      <c r="E273" s="1">
        <v>13</v>
      </c>
      <c r="F273" s="1">
        <v>42179</v>
      </c>
      <c r="G273" s="1">
        <v>0</v>
      </c>
      <c r="H273" s="2">
        <v>46078</v>
      </c>
      <c r="I273" s="2">
        <v>46084</v>
      </c>
      <c r="J273" s="1" t="s">
        <v>20</v>
      </c>
      <c r="K273" s="1">
        <v>1272</v>
      </c>
      <c r="L273" s="1" t="str">
        <f t="shared" si="1"/>
        <v>ELIGIBLE</v>
      </c>
    </row>
    <row r="274" spans="1:12" x14ac:dyDescent="0.3">
      <c r="A274" s="1" t="s">
        <v>46</v>
      </c>
      <c r="B274" s="1" t="s">
        <v>25</v>
      </c>
      <c r="C274" s="1" t="s">
        <v>34</v>
      </c>
      <c r="D274" s="1" t="s">
        <v>39</v>
      </c>
      <c r="E274" s="1">
        <v>12</v>
      </c>
      <c r="F274" s="1">
        <v>20618</v>
      </c>
      <c r="G274" s="1">
        <v>12</v>
      </c>
      <c r="H274" s="2">
        <v>46172</v>
      </c>
      <c r="I274" s="2">
        <v>46174</v>
      </c>
      <c r="J274" s="1" t="s">
        <v>20</v>
      </c>
      <c r="K274" s="1">
        <v>1273</v>
      </c>
      <c r="L274" s="1" t="str">
        <f t="shared" si="1"/>
        <v>NOT ELIGIBLE</v>
      </c>
    </row>
    <row r="275" spans="1:12" x14ac:dyDescent="0.3">
      <c r="A275" s="1" t="s">
        <v>26</v>
      </c>
      <c r="B275" s="1" t="s">
        <v>25</v>
      </c>
      <c r="C275" s="1" t="s">
        <v>34</v>
      </c>
      <c r="D275" s="1" t="s">
        <v>41</v>
      </c>
      <c r="E275" s="1">
        <v>13</v>
      </c>
      <c r="F275" s="1">
        <v>36652</v>
      </c>
      <c r="G275" s="1">
        <v>12</v>
      </c>
      <c r="H275" s="2">
        <v>46179</v>
      </c>
      <c r="I275" s="2">
        <v>46186</v>
      </c>
      <c r="J275" s="1" t="s">
        <v>20</v>
      </c>
      <c r="K275" s="1">
        <v>1274</v>
      </c>
      <c r="L275" s="1" t="str">
        <f t="shared" si="1"/>
        <v>NOT ELIGIBLE</v>
      </c>
    </row>
    <row r="276" spans="1:12" x14ac:dyDescent="0.3">
      <c r="A276" s="1" t="s">
        <v>16</v>
      </c>
      <c r="B276" s="1" t="s">
        <v>31</v>
      </c>
      <c r="C276" s="1" t="s">
        <v>13</v>
      </c>
      <c r="D276" s="1" t="s">
        <v>50</v>
      </c>
      <c r="E276" s="1">
        <v>20</v>
      </c>
      <c r="F276" s="1">
        <v>451</v>
      </c>
      <c r="G276" s="1">
        <v>15</v>
      </c>
      <c r="H276" s="2">
        <v>46092</v>
      </c>
      <c r="I276" s="2">
        <v>46094</v>
      </c>
      <c r="J276" s="1" t="s">
        <v>20</v>
      </c>
      <c r="K276" s="1">
        <v>1275</v>
      </c>
      <c r="L276" s="1" t="str">
        <f t="shared" si="1"/>
        <v>ELIGIBLE</v>
      </c>
    </row>
    <row r="277" spans="1:12" x14ac:dyDescent="0.3">
      <c r="A277" s="1" t="s">
        <v>40</v>
      </c>
      <c r="B277" s="1" t="s">
        <v>12</v>
      </c>
      <c r="C277" s="1" t="s">
        <v>18</v>
      </c>
      <c r="D277" s="1" t="s">
        <v>19</v>
      </c>
      <c r="E277" s="1">
        <v>1</v>
      </c>
      <c r="F277" s="1">
        <v>13437</v>
      </c>
      <c r="G277" s="1">
        <v>15</v>
      </c>
      <c r="H277" s="2">
        <v>46097</v>
      </c>
      <c r="I277" s="2">
        <v>46099</v>
      </c>
      <c r="J277" s="1" t="s">
        <v>24</v>
      </c>
      <c r="K277" s="1">
        <v>1276</v>
      </c>
      <c r="L277" s="1" t="str">
        <f t="shared" si="1"/>
        <v>ELIGIBLE</v>
      </c>
    </row>
    <row r="278" spans="1:12" x14ac:dyDescent="0.3">
      <c r="A278" s="1" t="s">
        <v>59</v>
      </c>
      <c r="B278" s="1" t="s">
        <v>17</v>
      </c>
      <c r="C278" s="1" t="s">
        <v>13</v>
      </c>
      <c r="D278" s="1" t="s">
        <v>36</v>
      </c>
      <c r="E278" s="1">
        <v>14</v>
      </c>
      <c r="F278" s="1">
        <v>276</v>
      </c>
      <c r="G278" s="1">
        <v>0</v>
      </c>
      <c r="H278" s="2">
        <v>46086</v>
      </c>
      <c r="I278" s="2">
        <v>46089</v>
      </c>
      <c r="J278" s="1" t="s">
        <v>15</v>
      </c>
      <c r="K278" s="1">
        <v>1277</v>
      </c>
      <c r="L278" s="1" t="str">
        <f t="shared" si="1"/>
        <v>ELIGIBLE</v>
      </c>
    </row>
    <row r="279" spans="1:12" x14ac:dyDescent="0.3">
      <c r="A279" s="1" t="s">
        <v>47</v>
      </c>
      <c r="B279" s="1" t="s">
        <v>22</v>
      </c>
      <c r="C279" s="1" t="s">
        <v>34</v>
      </c>
      <c r="D279" s="1" t="s">
        <v>61</v>
      </c>
      <c r="E279" s="1">
        <v>4</v>
      </c>
      <c r="F279" s="1">
        <v>20639</v>
      </c>
      <c r="G279" s="1">
        <v>7</v>
      </c>
      <c r="H279" s="2">
        <v>46180</v>
      </c>
      <c r="I279" s="2">
        <v>46186</v>
      </c>
      <c r="J279" s="1" t="s">
        <v>20</v>
      </c>
      <c r="K279" s="1">
        <v>1278</v>
      </c>
      <c r="L279" s="1" t="str">
        <f t="shared" si="1"/>
        <v>ELIGIBLE</v>
      </c>
    </row>
    <row r="280" spans="1:12" x14ac:dyDescent="0.3">
      <c r="A280" s="1" t="s">
        <v>55</v>
      </c>
      <c r="B280" s="1" t="s">
        <v>33</v>
      </c>
      <c r="C280" s="1" t="s">
        <v>34</v>
      </c>
      <c r="D280" s="1" t="s">
        <v>45</v>
      </c>
      <c r="E280" s="1">
        <v>20</v>
      </c>
      <c r="F280" s="1">
        <v>49042</v>
      </c>
      <c r="G280" s="1">
        <v>2</v>
      </c>
      <c r="H280" s="2">
        <v>46124</v>
      </c>
      <c r="I280" s="2">
        <v>46126</v>
      </c>
      <c r="J280" s="1" t="s">
        <v>15</v>
      </c>
      <c r="K280" s="1">
        <v>1279</v>
      </c>
      <c r="L280" s="1" t="str">
        <f t="shared" si="1"/>
        <v>ELIGIBLE</v>
      </c>
    </row>
    <row r="281" spans="1:12" x14ac:dyDescent="0.3">
      <c r="A281" s="1" t="s">
        <v>59</v>
      </c>
      <c r="B281" s="1" t="s">
        <v>38</v>
      </c>
      <c r="C281" s="1" t="s">
        <v>13</v>
      </c>
      <c r="D281" s="1" t="s">
        <v>53</v>
      </c>
      <c r="E281" s="1">
        <v>9</v>
      </c>
      <c r="F281" s="1">
        <v>50</v>
      </c>
      <c r="G281" s="1">
        <v>7</v>
      </c>
      <c r="H281" s="2">
        <v>46085</v>
      </c>
      <c r="I281" s="2">
        <v>46095</v>
      </c>
      <c r="J281" s="1" t="s">
        <v>51</v>
      </c>
      <c r="K281" s="1">
        <v>1280</v>
      </c>
      <c r="L281" s="1" t="str">
        <f t="shared" si="1"/>
        <v>ELIGIBLE</v>
      </c>
    </row>
    <row r="282" spans="1:12" x14ac:dyDescent="0.3">
      <c r="A282" s="1" t="s">
        <v>55</v>
      </c>
      <c r="B282" s="1" t="s">
        <v>17</v>
      </c>
      <c r="C282" s="1" t="s">
        <v>13</v>
      </c>
      <c r="D282" s="1" t="s">
        <v>50</v>
      </c>
      <c r="E282" s="1">
        <v>6</v>
      </c>
      <c r="F282" s="1">
        <v>253</v>
      </c>
      <c r="G282" s="1">
        <v>0</v>
      </c>
      <c r="H282" s="2">
        <v>46055</v>
      </c>
      <c r="I282" s="2">
        <v>46063</v>
      </c>
      <c r="J282" s="1" t="s">
        <v>24</v>
      </c>
      <c r="K282" s="1">
        <v>1281</v>
      </c>
      <c r="L282" s="1" t="str">
        <f t="shared" si="1"/>
        <v>ELIGIBLE</v>
      </c>
    </row>
    <row r="283" spans="1:12" x14ac:dyDescent="0.3">
      <c r="A283" s="1" t="s">
        <v>57</v>
      </c>
      <c r="B283" s="1" t="s">
        <v>43</v>
      </c>
      <c r="C283" s="1" t="s">
        <v>18</v>
      </c>
      <c r="D283" s="1" t="s">
        <v>44</v>
      </c>
      <c r="E283" s="1">
        <v>12</v>
      </c>
      <c r="F283" s="1">
        <v>3178</v>
      </c>
      <c r="G283" s="1">
        <v>10</v>
      </c>
      <c r="H283" s="2">
        <v>46176</v>
      </c>
      <c r="I283" s="2">
        <v>46177</v>
      </c>
      <c r="J283" s="1" t="s">
        <v>29</v>
      </c>
      <c r="K283" s="1">
        <v>1282</v>
      </c>
      <c r="L283" s="1" t="str">
        <f t="shared" si="1"/>
        <v>ELIGIBLE</v>
      </c>
    </row>
    <row r="284" spans="1:12" x14ac:dyDescent="0.3">
      <c r="A284" s="1" t="s">
        <v>40</v>
      </c>
      <c r="B284" s="1" t="s">
        <v>12</v>
      </c>
      <c r="C284" s="1" t="s">
        <v>18</v>
      </c>
      <c r="D284" s="1" t="s">
        <v>23</v>
      </c>
      <c r="E284" s="1">
        <v>6</v>
      </c>
      <c r="F284" s="1">
        <v>1167</v>
      </c>
      <c r="G284" s="1">
        <v>2</v>
      </c>
      <c r="H284" s="2">
        <v>46100</v>
      </c>
      <c r="I284" s="2">
        <v>46106</v>
      </c>
      <c r="J284" s="1" t="s">
        <v>15</v>
      </c>
      <c r="K284" s="1">
        <v>1283</v>
      </c>
      <c r="L284" s="1" t="str">
        <f t="shared" si="1"/>
        <v>ELIGIBLE</v>
      </c>
    </row>
    <row r="285" spans="1:12" x14ac:dyDescent="0.3">
      <c r="A285" s="1" t="s">
        <v>40</v>
      </c>
      <c r="B285" s="1" t="s">
        <v>25</v>
      </c>
      <c r="C285" s="1" t="s">
        <v>13</v>
      </c>
      <c r="D285" s="1" t="s">
        <v>37</v>
      </c>
      <c r="E285" s="1">
        <v>16</v>
      </c>
      <c r="F285" s="1">
        <v>419</v>
      </c>
      <c r="G285" s="1">
        <v>2</v>
      </c>
      <c r="H285" s="2">
        <v>46082</v>
      </c>
      <c r="I285" s="2">
        <v>46090</v>
      </c>
      <c r="J285" s="1" t="s">
        <v>15</v>
      </c>
      <c r="K285" s="1">
        <v>1284</v>
      </c>
      <c r="L285" s="1" t="str">
        <f t="shared" si="1"/>
        <v>ELIGIBLE</v>
      </c>
    </row>
    <row r="286" spans="1:12" x14ac:dyDescent="0.3">
      <c r="A286" s="1" t="s">
        <v>32</v>
      </c>
      <c r="B286" s="1" t="s">
        <v>38</v>
      </c>
      <c r="C286" s="1" t="s">
        <v>13</v>
      </c>
      <c r="D286" s="1" t="s">
        <v>36</v>
      </c>
      <c r="E286" s="1">
        <v>7</v>
      </c>
      <c r="F286" s="1">
        <v>439</v>
      </c>
      <c r="G286" s="1">
        <v>15</v>
      </c>
      <c r="H286" s="2">
        <v>46055</v>
      </c>
      <c r="I286" s="2">
        <v>46058</v>
      </c>
      <c r="J286" s="1" t="s">
        <v>20</v>
      </c>
      <c r="K286" s="1">
        <v>1285</v>
      </c>
      <c r="L286" s="1" t="str">
        <f t="shared" si="1"/>
        <v>ELIGIBLE</v>
      </c>
    </row>
    <row r="287" spans="1:12" x14ac:dyDescent="0.3">
      <c r="A287" s="1" t="s">
        <v>46</v>
      </c>
      <c r="B287" s="1" t="s">
        <v>17</v>
      </c>
      <c r="C287" s="1" t="s">
        <v>18</v>
      </c>
      <c r="D287" s="1" t="s">
        <v>56</v>
      </c>
      <c r="E287" s="1">
        <v>9</v>
      </c>
      <c r="F287" s="1">
        <v>1340</v>
      </c>
      <c r="G287" s="1">
        <v>2</v>
      </c>
      <c r="H287" s="2">
        <v>46168</v>
      </c>
      <c r="I287" s="2">
        <v>46173</v>
      </c>
      <c r="J287" s="1" t="s">
        <v>15</v>
      </c>
      <c r="K287" s="1">
        <v>1286</v>
      </c>
      <c r="L287" s="1" t="str">
        <f t="shared" si="1"/>
        <v>ELIGIBLE</v>
      </c>
    </row>
    <row r="288" spans="1:12" x14ac:dyDescent="0.3">
      <c r="A288" s="1" t="s">
        <v>59</v>
      </c>
      <c r="B288" s="1" t="s">
        <v>31</v>
      </c>
      <c r="C288" s="1" t="s">
        <v>13</v>
      </c>
      <c r="D288" s="1" t="s">
        <v>14</v>
      </c>
      <c r="E288" s="1">
        <v>15</v>
      </c>
      <c r="F288" s="1">
        <v>251</v>
      </c>
      <c r="G288" s="1">
        <v>2</v>
      </c>
      <c r="H288" s="2">
        <v>46116</v>
      </c>
      <c r="I288" s="2">
        <v>46122</v>
      </c>
      <c r="J288" s="1" t="s">
        <v>51</v>
      </c>
      <c r="K288" s="1">
        <v>1287</v>
      </c>
      <c r="L288" s="1" t="str">
        <f t="shared" si="1"/>
        <v>ELIGIBLE</v>
      </c>
    </row>
    <row r="289" spans="1:12" x14ac:dyDescent="0.3">
      <c r="A289" s="1" t="s">
        <v>54</v>
      </c>
      <c r="B289" s="1" t="s">
        <v>22</v>
      </c>
      <c r="C289" s="1" t="s">
        <v>34</v>
      </c>
      <c r="D289" s="1" t="s">
        <v>60</v>
      </c>
      <c r="E289" s="1">
        <v>14</v>
      </c>
      <c r="F289" s="1">
        <v>35601</v>
      </c>
      <c r="G289" s="1">
        <v>10</v>
      </c>
      <c r="H289" s="2">
        <v>46179</v>
      </c>
      <c r="I289" s="2">
        <v>46187</v>
      </c>
      <c r="J289" s="1" t="s">
        <v>29</v>
      </c>
      <c r="K289" s="1">
        <v>1288</v>
      </c>
      <c r="L289" s="1" t="str">
        <f t="shared" si="1"/>
        <v>NOT ELIGIBLE</v>
      </c>
    </row>
    <row r="290" spans="1:12" x14ac:dyDescent="0.3">
      <c r="A290" s="1" t="s">
        <v>26</v>
      </c>
      <c r="B290" s="1" t="s">
        <v>22</v>
      </c>
      <c r="C290" s="1" t="s">
        <v>34</v>
      </c>
      <c r="D290" s="1" t="s">
        <v>45</v>
      </c>
      <c r="E290" s="1">
        <v>19</v>
      </c>
      <c r="F290" s="1">
        <v>25336</v>
      </c>
      <c r="G290" s="1">
        <v>2</v>
      </c>
      <c r="H290" s="2">
        <v>46122</v>
      </c>
      <c r="I290" s="2">
        <v>46130</v>
      </c>
      <c r="J290" s="1" t="s">
        <v>24</v>
      </c>
      <c r="K290" s="1">
        <v>1289</v>
      </c>
      <c r="L290" s="1" t="str">
        <f t="shared" si="1"/>
        <v>ELIGIBLE</v>
      </c>
    </row>
    <row r="291" spans="1:12" x14ac:dyDescent="0.3">
      <c r="A291" s="1" t="s">
        <v>26</v>
      </c>
      <c r="B291" s="1" t="s">
        <v>22</v>
      </c>
      <c r="C291" s="1" t="s">
        <v>34</v>
      </c>
      <c r="D291" s="1" t="s">
        <v>35</v>
      </c>
      <c r="E291" s="1">
        <v>3</v>
      </c>
      <c r="F291" s="1">
        <v>69793</v>
      </c>
      <c r="G291" s="1">
        <v>15</v>
      </c>
      <c r="H291" s="2">
        <v>46110</v>
      </c>
      <c r="I291" s="2">
        <v>46111</v>
      </c>
      <c r="J291" s="1" t="s">
        <v>29</v>
      </c>
      <c r="K291" s="1">
        <v>1290</v>
      </c>
      <c r="L291" s="1" t="str">
        <f t="shared" si="1"/>
        <v>NOT ELIGIBLE</v>
      </c>
    </row>
    <row r="292" spans="1:12" x14ac:dyDescent="0.3">
      <c r="A292" s="1" t="s">
        <v>21</v>
      </c>
      <c r="B292" s="1" t="s">
        <v>17</v>
      </c>
      <c r="C292" s="1" t="s">
        <v>13</v>
      </c>
      <c r="D292" s="1" t="s">
        <v>36</v>
      </c>
      <c r="E292" s="1">
        <v>17</v>
      </c>
      <c r="F292" s="1">
        <v>415</v>
      </c>
      <c r="G292" s="1">
        <v>5</v>
      </c>
      <c r="H292" s="2">
        <v>46137</v>
      </c>
      <c r="I292" s="2">
        <v>46141</v>
      </c>
      <c r="J292" s="1" t="s">
        <v>20</v>
      </c>
      <c r="K292" s="1">
        <v>1291</v>
      </c>
      <c r="L292" s="1" t="str">
        <f t="shared" si="1"/>
        <v>ELIGIBLE</v>
      </c>
    </row>
    <row r="293" spans="1:12" x14ac:dyDescent="0.3">
      <c r="A293" s="1" t="s">
        <v>54</v>
      </c>
      <c r="B293" s="1" t="s">
        <v>33</v>
      </c>
      <c r="C293" s="1" t="s">
        <v>34</v>
      </c>
      <c r="D293" s="1" t="s">
        <v>61</v>
      </c>
      <c r="E293" s="1">
        <v>11</v>
      </c>
      <c r="F293" s="1">
        <v>25158</v>
      </c>
      <c r="G293" s="1">
        <v>5</v>
      </c>
      <c r="H293" s="2">
        <v>46186</v>
      </c>
      <c r="I293" s="2">
        <v>46193</v>
      </c>
      <c r="J293" s="1" t="s">
        <v>20</v>
      </c>
      <c r="K293" s="1">
        <v>1292</v>
      </c>
      <c r="L293" s="1" t="str">
        <f t="shared" si="1"/>
        <v>ELIGIBLE</v>
      </c>
    </row>
    <row r="294" spans="1:12" x14ac:dyDescent="0.3">
      <c r="A294" s="1" t="s">
        <v>49</v>
      </c>
      <c r="B294" s="1" t="s">
        <v>43</v>
      </c>
      <c r="C294" s="1" t="s">
        <v>18</v>
      </c>
      <c r="D294" s="1" t="s">
        <v>23</v>
      </c>
      <c r="E294" s="1">
        <v>7</v>
      </c>
      <c r="F294" s="1">
        <v>11481</v>
      </c>
      <c r="G294" s="1">
        <v>15</v>
      </c>
      <c r="H294" s="2">
        <v>46045</v>
      </c>
      <c r="I294" s="2">
        <v>46050</v>
      </c>
      <c r="J294" s="1" t="s">
        <v>20</v>
      </c>
      <c r="K294" s="1">
        <v>1293</v>
      </c>
      <c r="L294" s="1" t="str">
        <f t="shared" si="1"/>
        <v>ELIGIBLE</v>
      </c>
    </row>
    <row r="295" spans="1:12" x14ac:dyDescent="0.3">
      <c r="A295" s="1" t="s">
        <v>21</v>
      </c>
      <c r="B295" s="1" t="s">
        <v>12</v>
      </c>
      <c r="C295" s="1" t="s">
        <v>18</v>
      </c>
      <c r="D295" s="1" t="s">
        <v>19</v>
      </c>
      <c r="E295" s="1">
        <v>8</v>
      </c>
      <c r="F295" s="1">
        <v>14448</v>
      </c>
      <c r="G295" s="1">
        <v>10</v>
      </c>
      <c r="H295" s="2">
        <v>46181</v>
      </c>
      <c r="I295" s="2">
        <v>46189</v>
      </c>
      <c r="J295" s="1" t="s">
        <v>15</v>
      </c>
      <c r="K295" s="1">
        <v>1294</v>
      </c>
      <c r="L295" s="1" t="str">
        <f t="shared" si="1"/>
        <v>ELIGIBLE</v>
      </c>
    </row>
    <row r="296" spans="1:12" x14ac:dyDescent="0.3">
      <c r="A296" s="1" t="s">
        <v>52</v>
      </c>
      <c r="B296" s="1" t="s">
        <v>38</v>
      </c>
      <c r="C296" s="1" t="s">
        <v>18</v>
      </c>
      <c r="D296" s="1" t="s">
        <v>28</v>
      </c>
      <c r="E296" s="1">
        <v>16</v>
      </c>
      <c r="F296" s="1">
        <v>11935</v>
      </c>
      <c r="G296" s="1">
        <v>12</v>
      </c>
      <c r="H296" s="2">
        <v>46157</v>
      </c>
      <c r="I296" s="2">
        <v>46162</v>
      </c>
      <c r="J296" s="1" t="s">
        <v>15</v>
      </c>
      <c r="K296" s="1">
        <v>1295</v>
      </c>
      <c r="L296" s="1" t="str">
        <f t="shared" si="1"/>
        <v>ELIGIBLE</v>
      </c>
    </row>
    <row r="297" spans="1:12" x14ac:dyDescent="0.3">
      <c r="A297" s="1" t="s">
        <v>26</v>
      </c>
      <c r="B297" s="1" t="s">
        <v>38</v>
      </c>
      <c r="C297" s="1" t="s">
        <v>13</v>
      </c>
      <c r="D297" s="1" t="s">
        <v>50</v>
      </c>
      <c r="E297" s="1">
        <v>6</v>
      </c>
      <c r="F297" s="1">
        <v>201</v>
      </c>
      <c r="G297" s="1">
        <v>0</v>
      </c>
      <c r="H297" s="2">
        <v>46063</v>
      </c>
      <c r="I297" s="2">
        <v>46072</v>
      </c>
      <c r="J297" s="1" t="s">
        <v>51</v>
      </c>
      <c r="K297" s="1">
        <v>1296</v>
      </c>
      <c r="L297" s="1" t="str">
        <f t="shared" si="1"/>
        <v>ELIGIBLE</v>
      </c>
    </row>
    <row r="298" spans="1:12" x14ac:dyDescent="0.3">
      <c r="A298" s="1" t="s">
        <v>54</v>
      </c>
      <c r="B298" s="1" t="s">
        <v>25</v>
      </c>
      <c r="C298" s="1" t="s">
        <v>34</v>
      </c>
      <c r="D298" s="1" t="s">
        <v>35</v>
      </c>
      <c r="E298" s="1">
        <v>14</v>
      </c>
      <c r="F298" s="1">
        <v>24524</v>
      </c>
      <c r="G298" s="1">
        <v>10</v>
      </c>
      <c r="H298" s="2">
        <v>46178</v>
      </c>
      <c r="I298" s="2">
        <v>46187</v>
      </c>
      <c r="J298" s="1" t="s">
        <v>29</v>
      </c>
      <c r="K298" s="1">
        <v>1297</v>
      </c>
      <c r="L298" s="1" t="str">
        <f t="shared" si="1"/>
        <v>NOT ELIGIBLE</v>
      </c>
    </row>
    <row r="299" spans="1:12" x14ac:dyDescent="0.3">
      <c r="A299" s="1" t="s">
        <v>21</v>
      </c>
      <c r="B299" s="1" t="s">
        <v>12</v>
      </c>
      <c r="C299" s="1" t="s">
        <v>34</v>
      </c>
      <c r="D299" s="1" t="s">
        <v>61</v>
      </c>
      <c r="E299" s="1">
        <v>19</v>
      </c>
      <c r="F299" s="1">
        <v>20745</v>
      </c>
      <c r="G299" s="1">
        <v>2</v>
      </c>
      <c r="H299" s="2">
        <v>46083</v>
      </c>
      <c r="I299" s="2">
        <v>46093</v>
      </c>
      <c r="J299" s="1" t="s">
        <v>24</v>
      </c>
      <c r="K299" s="1">
        <v>1298</v>
      </c>
      <c r="L299" s="1" t="str">
        <f t="shared" si="1"/>
        <v>ELIGIBLE</v>
      </c>
    </row>
    <row r="300" spans="1:12" x14ac:dyDescent="0.3">
      <c r="A300" s="1" t="s">
        <v>26</v>
      </c>
      <c r="B300" s="1" t="s">
        <v>17</v>
      </c>
      <c r="C300" s="1" t="s">
        <v>18</v>
      </c>
      <c r="D300" s="1" t="s">
        <v>56</v>
      </c>
      <c r="E300" s="1">
        <v>8</v>
      </c>
      <c r="F300" s="1">
        <v>8783</v>
      </c>
      <c r="G300" s="1">
        <v>2</v>
      </c>
      <c r="H300" s="2">
        <v>46123</v>
      </c>
      <c r="I300" s="2">
        <v>46132</v>
      </c>
      <c r="J300" s="1" t="s">
        <v>15</v>
      </c>
      <c r="K300" s="1">
        <v>1299</v>
      </c>
      <c r="L300" s="1" t="str">
        <f t="shared" si="1"/>
        <v>ELIGIBLE</v>
      </c>
    </row>
    <row r="301" spans="1:12" x14ac:dyDescent="0.3">
      <c r="A301" s="1" t="s">
        <v>47</v>
      </c>
      <c r="B301" s="1" t="s">
        <v>33</v>
      </c>
      <c r="C301" s="1" t="s">
        <v>34</v>
      </c>
      <c r="D301" s="1" t="s">
        <v>45</v>
      </c>
      <c r="E301" s="1">
        <v>20</v>
      </c>
      <c r="F301" s="1">
        <v>1392</v>
      </c>
      <c r="G301" s="1">
        <v>2</v>
      </c>
      <c r="H301" s="2">
        <v>46110</v>
      </c>
      <c r="I301" s="2">
        <v>46117</v>
      </c>
      <c r="J301" s="1" t="s">
        <v>24</v>
      </c>
      <c r="K301" s="1">
        <v>1300</v>
      </c>
      <c r="L301" s="1" t="str">
        <f t="shared" si="1"/>
        <v>ELIGIBLE</v>
      </c>
    </row>
    <row r="302" spans="1:12" x14ac:dyDescent="0.3">
      <c r="A302" s="1" t="s">
        <v>54</v>
      </c>
      <c r="B302" s="1" t="s">
        <v>17</v>
      </c>
      <c r="C302" s="1" t="s">
        <v>18</v>
      </c>
      <c r="D302" s="1" t="s">
        <v>28</v>
      </c>
      <c r="E302" s="1">
        <v>3</v>
      </c>
      <c r="F302" s="1">
        <v>7020</v>
      </c>
      <c r="G302" s="1">
        <v>10</v>
      </c>
      <c r="H302" s="2">
        <v>46028</v>
      </c>
      <c r="I302" s="2">
        <v>46038</v>
      </c>
      <c r="J302" s="1" t="s">
        <v>24</v>
      </c>
      <c r="K302" s="1">
        <v>1301</v>
      </c>
      <c r="L302" s="1" t="str">
        <f t="shared" si="1"/>
        <v>ELIGIBLE</v>
      </c>
    </row>
    <row r="303" spans="1:12" x14ac:dyDescent="0.3">
      <c r="A303" s="1" t="s">
        <v>57</v>
      </c>
      <c r="B303" s="1" t="s">
        <v>12</v>
      </c>
      <c r="C303" s="1" t="s">
        <v>34</v>
      </c>
      <c r="D303" s="1" t="s">
        <v>35</v>
      </c>
      <c r="E303" s="1">
        <v>9</v>
      </c>
      <c r="F303" s="1">
        <v>8500</v>
      </c>
      <c r="G303" s="1">
        <v>15</v>
      </c>
      <c r="H303" s="2">
        <v>46163</v>
      </c>
      <c r="I303" s="2">
        <v>46172</v>
      </c>
      <c r="J303" s="1" t="s">
        <v>24</v>
      </c>
      <c r="K303" s="1">
        <v>1302</v>
      </c>
      <c r="L303" s="1" t="str">
        <f t="shared" si="1"/>
        <v>NOT ELIGIBLE</v>
      </c>
    </row>
    <row r="304" spans="1:12" x14ac:dyDescent="0.3">
      <c r="A304" s="1" t="s">
        <v>57</v>
      </c>
      <c r="B304" s="1" t="s">
        <v>38</v>
      </c>
      <c r="C304" s="1" t="s">
        <v>34</v>
      </c>
      <c r="D304" s="1" t="s">
        <v>35</v>
      </c>
      <c r="E304" s="1">
        <v>13</v>
      </c>
      <c r="F304" s="1">
        <v>5170</v>
      </c>
      <c r="G304" s="1">
        <v>2</v>
      </c>
      <c r="H304" s="2">
        <v>46124</v>
      </c>
      <c r="I304" s="2">
        <v>46127</v>
      </c>
      <c r="J304" s="1" t="s">
        <v>15</v>
      </c>
      <c r="K304" s="1">
        <v>1303</v>
      </c>
      <c r="L304" s="1" t="str">
        <f t="shared" si="1"/>
        <v>ELIGIBLE</v>
      </c>
    </row>
    <row r="305" spans="1:12" x14ac:dyDescent="0.3">
      <c r="A305" s="1" t="s">
        <v>59</v>
      </c>
      <c r="B305" s="1" t="s">
        <v>25</v>
      </c>
      <c r="C305" s="1" t="s">
        <v>13</v>
      </c>
      <c r="D305" s="1" t="s">
        <v>36</v>
      </c>
      <c r="E305" s="1">
        <v>20</v>
      </c>
      <c r="F305" s="1">
        <v>368</v>
      </c>
      <c r="G305" s="1">
        <v>7</v>
      </c>
      <c r="H305" s="2">
        <v>46042</v>
      </c>
      <c r="I305" s="2">
        <v>46051</v>
      </c>
      <c r="J305" s="1" t="s">
        <v>51</v>
      </c>
      <c r="K305" s="1">
        <v>1304</v>
      </c>
      <c r="L305" s="1" t="str">
        <f t="shared" si="1"/>
        <v>ELIGIBLE</v>
      </c>
    </row>
    <row r="306" spans="1:12" x14ac:dyDescent="0.3">
      <c r="A306" s="1" t="s">
        <v>58</v>
      </c>
      <c r="B306" s="1" t="s">
        <v>31</v>
      </c>
      <c r="C306" s="1" t="s">
        <v>34</v>
      </c>
      <c r="D306" s="1" t="s">
        <v>60</v>
      </c>
      <c r="E306" s="1">
        <v>20</v>
      </c>
      <c r="F306" s="1">
        <v>31406</v>
      </c>
      <c r="G306" s="1">
        <v>15</v>
      </c>
      <c r="H306" s="2">
        <v>46146</v>
      </c>
      <c r="I306" s="2">
        <v>46154</v>
      </c>
      <c r="J306" s="1" t="s">
        <v>51</v>
      </c>
      <c r="K306" s="1">
        <v>1305</v>
      </c>
      <c r="L306" s="1" t="str">
        <f t="shared" si="1"/>
        <v>NOT ELIGIBLE</v>
      </c>
    </row>
    <row r="307" spans="1:12" x14ac:dyDescent="0.3">
      <c r="A307" s="1" t="s">
        <v>54</v>
      </c>
      <c r="B307" s="1" t="s">
        <v>43</v>
      </c>
      <c r="C307" s="1" t="s">
        <v>13</v>
      </c>
      <c r="D307" s="1" t="s">
        <v>36</v>
      </c>
      <c r="E307" s="1">
        <v>1</v>
      </c>
      <c r="F307" s="1">
        <v>332</v>
      </c>
      <c r="G307" s="1">
        <v>0</v>
      </c>
      <c r="H307" s="2">
        <v>46191</v>
      </c>
      <c r="I307" s="2">
        <v>46194</v>
      </c>
      <c r="J307" s="1" t="s">
        <v>20</v>
      </c>
      <c r="K307" s="1">
        <v>1306</v>
      </c>
      <c r="L307" s="1" t="str">
        <f t="shared" si="1"/>
        <v>ELIGIBLE</v>
      </c>
    </row>
    <row r="308" spans="1:12" x14ac:dyDescent="0.3">
      <c r="A308" s="1" t="s">
        <v>57</v>
      </c>
      <c r="B308" s="1" t="s">
        <v>43</v>
      </c>
      <c r="C308" s="1" t="s">
        <v>34</v>
      </c>
      <c r="D308" s="1" t="s">
        <v>35</v>
      </c>
      <c r="E308" s="1">
        <v>18</v>
      </c>
      <c r="F308" s="1">
        <v>7541</v>
      </c>
      <c r="G308" s="1">
        <v>12</v>
      </c>
      <c r="H308" s="2">
        <v>46048</v>
      </c>
      <c r="I308" s="2">
        <v>46051</v>
      </c>
      <c r="J308" s="1" t="s">
        <v>51</v>
      </c>
      <c r="K308" s="1">
        <v>1307</v>
      </c>
      <c r="L308" s="1" t="str">
        <f t="shared" si="1"/>
        <v>NOT ELIGIBLE</v>
      </c>
    </row>
    <row r="309" spans="1:12" x14ac:dyDescent="0.3">
      <c r="A309" s="1" t="s">
        <v>30</v>
      </c>
      <c r="B309" s="1" t="s">
        <v>22</v>
      </c>
      <c r="C309" s="1" t="s">
        <v>34</v>
      </c>
      <c r="D309" s="1" t="s">
        <v>41</v>
      </c>
      <c r="E309" s="1">
        <v>12</v>
      </c>
      <c r="F309" s="1">
        <v>66075</v>
      </c>
      <c r="G309" s="1">
        <v>5</v>
      </c>
      <c r="H309" s="2">
        <v>46129</v>
      </c>
      <c r="I309" s="2">
        <v>46135</v>
      </c>
      <c r="J309" s="1" t="s">
        <v>20</v>
      </c>
      <c r="K309" s="1">
        <v>1308</v>
      </c>
      <c r="L309" s="1" t="str">
        <f t="shared" si="1"/>
        <v>ELIGIBLE</v>
      </c>
    </row>
    <row r="310" spans="1:12" x14ac:dyDescent="0.3">
      <c r="A310" s="1" t="s">
        <v>29</v>
      </c>
      <c r="B310" s="1" t="s">
        <v>31</v>
      </c>
      <c r="C310" s="1" t="s">
        <v>13</v>
      </c>
      <c r="D310" s="1" t="s">
        <v>50</v>
      </c>
      <c r="E310" s="1">
        <v>2</v>
      </c>
      <c r="F310" s="1">
        <v>35</v>
      </c>
      <c r="G310" s="1">
        <v>5</v>
      </c>
      <c r="H310" s="2">
        <v>46197</v>
      </c>
      <c r="I310" s="2">
        <v>46198</v>
      </c>
      <c r="J310" s="1" t="s">
        <v>24</v>
      </c>
      <c r="K310" s="1">
        <v>1309</v>
      </c>
      <c r="L310" s="1" t="str">
        <f t="shared" si="1"/>
        <v>ELIGIBLE</v>
      </c>
    </row>
    <row r="311" spans="1:12" x14ac:dyDescent="0.3">
      <c r="A311" s="1" t="s">
        <v>49</v>
      </c>
      <c r="B311" s="1" t="s">
        <v>17</v>
      </c>
      <c r="C311" s="1" t="s">
        <v>18</v>
      </c>
      <c r="D311" s="1" t="s">
        <v>56</v>
      </c>
      <c r="E311" s="1">
        <v>19</v>
      </c>
      <c r="F311" s="1">
        <v>12691</v>
      </c>
      <c r="G311" s="1">
        <v>0</v>
      </c>
      <c r="H311" s="2">
        <v>46181</v>
      </c>
      <c r="I311" s="2">
        <v>46189</v>
      </c>
      <c r="J311" s="1" t="s">
        <v>29</v>
      </c>
      <c r="K311" s="1">
        <v>1310</v>
      </c>
      <c r="L311" s="1" t="str">
        <f t="shared" si="1"/>
        <v>ELIGIBLE</v>
      </c>
    </row>
    <row r="312" spans="1:12" x14ac:dyDescent="0.3">
      <c r="A312" s="1" t="s">
        <v>55</v>
      </c>
      <c r="B312" s="1" t="s">
        <v>12</v>
      </c>
      <c r="C312" s="1" t="s">
        <v>13</v>
      </c>
      <c r="D312" s="1" t="s">
        <v>14</v>
      </c>
      <c r="E312" s="1">
        <v>2</v>
      </c>
      <c r="F312" s="1">
        <v>209</v>
      </c>
      <c r="G312" s="1">
        <v>0</v>
      </c>
      <c r="H312" s="2">
        <v>46173</v>
      </c>
      <c r="I312" s="2">
        <v>46176</v>
      </c>
      <c r="J312" s="1" t="s">
        <v>20</v>
      </c>
      <c r="K312" s="1">
        <v>1311</v>
      </c>
      <c r="L312" s="1" t="str">
        <f t="shared" si="1"/>
        <v>ELIGIBLE</v>
      </c>
    </row>
    <row r="313" spans="1:12" x14ac:dyDescent="0.3">
      <c r="A313" s="1" t="s">
        <v>57</v>
      </c>
      <c r="B313" s="1" t="s">
        <v>22</v>
      </c>
      <c r="C313" s="1" t="s">
        <v>18</v>
      </c>
      <c r="D313" s="1" t="s">
        <v>56</v>
      </c>
      <c r="E313" s="1">
        <v>20</v>
      </c>
      <c r="F313" s="1">
        <v>3274</v>
      </c>
      <c r="G313" s="1">
        <v>2</v>
      </c>
      <c r="H313" s="2">
        <v>46148</v>
      </c>
      <c r="I313" s="2">
        <v>46156</v>
      </c>
      <c r="J313" s="1" t="s">
        <v>24</v>
      </c>
      <c r="K313" s="1">
        <v>1312</v>
      </c>
      <c r="L313" s="1" t="str">
        <f t="shared" si="1"/>
        <v>ELIGIBLE</v>
      </c>
    </row>
    <row r="314" spans="1:12" x14ac:dyDescent="0.3">
      <c r="A314" s="1" t="s">
        <v>59</v>
      </c>
      <c r="B314" s="1" t="s">
        <v>22</v>
      </c>
      <c r="C314" s="1" t="s">
        <v>18</v>
      </c>
      <c r="D314" s="1" t="s">
        <v>56</v>
      </c>
      <c r="E314" s="1">
        <v>6</v>
      </c>
      <c r="F314" s="1">
        <v>10864</v>
      </c>
      <c r="G314" s="1">
        <v>10</v>
      </c>
      <c r="H314" s="2">
        <v>46041</v>
      </c>
      <c r="I314" s="2">
        <v>46049</v>
      </c>
      <c r="J314" s="1" t="s">
        <v>15</v>
      </c>
      <c r="K314" s="1">
        <v>1313</v>
      </c>
      <c r="L314" s="1" t="str">
        <f t="shared" si="1"/>
        <v>ELIGIBLE</v>
      </c>
    </row>
    <row r="315" spans="1:12" x14ac:dyDescent="0.3">
      <c r="A315" s="1" t="s">
        <v>52</v>
      </c>
      <c r="B315" s="1" t="s">
        <v>33</v>
      </c>
      <c r="C315" s="1" t="s">
        <v>18</v>
      </c>
      <c r="D315" s="1" t="s">
        <v>19</v>
      </c>
      <c r="E315" s="1">
        <v>10</v>
      </c>
      <c r="F315" s="1">
        <v>6328</v>
      </c>
      <c r="G315" s="1">
        <v>2</v>
      </c>
      <c r="H315" s="2">
        <v>46196</v>
      </c>
      <c r="I315" s="2">
        <v>46197</v>
      </c>
      <c r="J315" s="1" t="s">
        <v>29</v>
      </c>
      <c r="K315" s="1">
        <v>1314</v>
      </c>
      <c r="L315" s="1" t="str">
        <f t="shared" si="1"/>
        <v>ELIGIBLE</v>
      </c>
    </row>
    <row r="316" spans="1:12" x14ac:dyDescent="0.3">
      <c r="A316" s="1" t="s">
        <v>49</v>
      </c>
      <c r="B316" s="1" t="s">
        <v>31</v>
      </c>
      <c r="C316" s="1" t="s">
        <v>34</v>
      </c>
      <c r="D316" s="1" t="s">
        <v>41</v>
      </c>
      <c r="E316" s="1">
        <v>14</v>
      </c>
      <c r="F316" s="1">
        <v>57670</v>
      </c>
      <c r="G316" s="1">
        <v>2</v>
      </c>
      <c r="H316" s="2">
        <v>46186</v>
      </c>
      <c r="I316" s="2">
        <v>46196</v>
      </c>
      <c r="J316" s="1" t="s">
        <v>15</v>
      </c>
      <c r="K316" s="1">
        <v>1315</v>
      </c>
      <c r="L316" s="1" t="str">
        <f t="shared" si="1"/>
        <v>ELIGIBLE</v>
      </c>
    </row>
    <row r="317" spans="1:12" x14ac:dyDescent="0.3">
      <c r="A317" s="1" t="s">
        <v>46</v>
      </c>
      <c r="B317" s="1" t="s">
        <v>12</v>
      </c>
      <c r="C317" s="1" t="s">
        <v>18</v>
      </c>
      <c r="D317" s="1" t="s">
        <v>28</v>
      </c>
      <c r="E317" s="1">
        <v>7</v>
      </c>
      <c r="F317" s="1">
        <v>9838</v>
      </c>
      <c r="G317" s="1">
        <v>7</v>
      </c>
      <c r="H317" s="2">
        <v>46078</v>
      </c>
      <c r="I317" s="2">
        <v>46085</v>
      </c>
      <c r="J317" s="1" t="s">
        <v>20</v>
      </c>
      <c r="K317" s="1">
        <v>1316</v>
      </c>
      <c r="L317" s="1" t="str">
        <f t="shared" si="1"/>
        <v>ELIGIBLE</v>
      </c>
    </row>
    <row r="318" spans="1:12" x14ac:dyDescent="0.3">
      <c r="A318" s="1" t="s">
        <v>59</v>
      </c>
      <c r="B318" s="1" t="s">
        <v>33</v>
      </c>
      <c r="C318" s="1" t="s">
        <v>34</v>
      </c>
      <c r="D318" s="1" t="s">
        <v>41</v>
      </c>
      <c r="E318" s="1">
        <v>7</v>
      </c>
      <c r="F318" s="1">
        <v>67339</v>
      </c>
      <c r="G318" s="1">
        <v>5</v>
      </c>
      <c r="H318" s="2">
        <v>46159</v>
      </c>
      <c r="I318" s="2">
        <v>46169</v>
      </c>
      <c r="J318" s="1" t="s">
        <v>51</v>
      </c>
      <c r="K318" s="1">
        <v>1317</v>
      </c>
      <c r="L318" s="1" t="str">
        <f t="shared" si="1"/>
        <v>ELIGIBLE</v>
      </c>
    </row>
    <row r="319" spans="1:12" x14ac:dyDescent="0.3">
      <c r="A319" s="1" t="s">
        <v>11</v>
      </c>
      <c r="B319" s="1" t="s">
        <v>43</v>
      </c>
      <c r="C319" s="1" t="s">
        <v>13</v>
      </c>
      <c r="D319" s="1" t="s">
        <v>50</v>
      </c>
      <c r="E319" s="1">
        <v>4</v>
      </c>
      <c r="F319" s="1">
        <v>38</v>
      </c>
      <c r="G319" s="1">
        <v>12</v>
      </c>
      <c r="H319" s="2">
        <v>46169</v>
      </c>
      <c r="I319" s="2">
        <v>46175</v>
      </c>
      <c r="J319" s="1" t="s">
        <v>29</v>
      </c>
      <c r="K319" s="1">
        <v>1318</v>
      </c>
      <c r="L319" s="1" t="str">
        <f t="shared" si="1"/>
        <v>ELIGIBLE</v>
      </c>
    </row>
    <row r="320" spans="1:12" x14ac:dyDescent="0.3">
      <c r="A320" s="1" t="s">
        <v>21</v>
      </c>
      <c r="B320" s="1" t="s">
        <v>17</v>
      </c>
      <c r="C320" s="1" t="s">
        <v>34</v>
      </c>
      <c r="D320" s="1" t="s">
        <v>61</v>
      </c>
      <c r="E320" s="1">
        <v>17</v>
      </c>
      <c r="F320" s="1">
        <v>58407</v>
      </c>
      <c r="G320" s="1">
        <v>7</v>
      </c>
      <c r="H320" s="2">
        <v>46094</v>
      </c>
      <c r="I320" s="2">
        <v>46102</v>
      </c>
      <c r="J320" s="1" t="s">
        <v>15</v>
      </c>
      <c r="K320" s="1">
        <v>1319</v>
      </c>
      <c r="L320" s="1" t="str">
        <f t="shared" si="1"/>
        <v>ELIGIBLE</v>
      </c>
    </row>
    <row r="321" spans="1:12" x14ac:dyDescent="0.3">
      <c r="A321" s="1" t="s">
        <v>47</v>
      </c>
      <c r="B321" s="1" t="s">
        <v>38</v>
      </c>
      <c r="C321" s="1" t="s">
        <v>13</v>
      </c>
      <c r="D321" s="1" t="s">
        <v>36</v>
      </c>
      <c r="E321" s="1">
        <v>20</v>
      </c>
      <c r="F321" s="1">
        <v>55</v>
      </c>
      <c r="G321" s="1">
        <v>7</v>
      </c>
      <c r="H321" s="2">
        <v>46183</v>
      </c>
      <c r="I321" s="2">
        <v>46186</v>
      </c>
      <c r="J321" s="1" t="s">
        <v>20</v>
      </c>
      <c r="K321" s="1">
        <v>1320</v>
      </c>
      <c r="L321" s="1" t="str">
        <f t="shared" si="1"/>
        <v>ELIGIBLE</v>
      </c>
    </row>
    <row r="322" spans="1:12" x14ac:dyDescent="0.3">
      <c r="A322" s="1" t="s">
        <v>32</v>
      </c>
      <c r="B322" s="1" t="s">
        <v>22</v>
      </c>
      <c r="C322" s="1" t="s">
        <v>18</v>
      </c>
      <c r="D322" s="1" t="s">
        <v>19</v>
      </c>
      <c r="E322" s="1">
        <v>8</v>
      </c>
      <c r="F322" s="1">
        <v>5619</v>
      </c>
      <c r="G322" s="1">
        <v>7</v>
      </c>
      <c r="H322" s="2">
        <v>46107</v>
      </c>
      <c r="I322" s="2">
        <v>46109</v>
      </c>
      <c r="J322" s="1" t="s">
        <v>51</v>
      </c>
      <c r="K322" s="1">
        <v>1321</v>
      </c>
      <c r="L322" s="1" t="str">
        <f t="shared" si="1"/>
        <v>ELIGIBLE</v>
      </c>
    </row>
    <row r="323" spans="1:12" x14ac:dyDescent="0.3">
      <c r="A323" s="1" t="s">
        <v>27</v>
      </c>
      <c r="B323" s="1" t="s">
        <v>12</v>
      </c>
      <c r="C323" s="1" t="s">
        <v>18</v>
      </c>
      <c r="D323" s="1" t="s">
        <v>23</v>
      </c>
      <c r="E323" s="1">
        <v>14</v>
      </c>
      <c r="F323" s="1">
        <v>9081</v>
      </c>
      <c r="G323" s="1">
        <v>15</v>
      </c>
      <c r="H323" s="2">
        <v>46141</v>
      </c>
      <c r="I323" s="2">
        <v>46146</v>
      </c>
      <c r="J323" s="1" t="s">
        <v>15</v>
      </c>
      <c r="K323" s="1">
        <v>1322</v>
      </c>
      <c r="L323" s="1" t="str">
        <f t="shared" si="1"/>
        <v>ELIGIBLE</v>
      </c>
    </row>
    <row r="324" spans="1:12" x14ac:dyDescent="0.3">
      <c r="A324" s="1" t="s">
        <v>57</v>
      </c>
      <c r="B324" s="1" t="s">
        <v>38</v>
      </c>
      <c r="C324" s="1" t="s">
        <v>34</v>
      </c>
      <c r="D324" s="1" t="s">
        <v>61</v>
      </c>
      <c r="E324" s="1">
        <v>2</v>
      </c>
      <c r="F324" s="1">
        <v>32074</v>
      </c>
      <c r="G324" s="1">
        <v>10</v>
      </c>
      <c r="H324" s="2">
        <v>46073</v>
      </c>
      <c r="I324" s="2">
        <v>46078</v>
      </c>
      <c r="J324" s="1" t="s">
        <v>15</v>
      </c>
      <c r="K324" s="1">
        <v>1323</v>
      </c>
      <c r="L324" s="1" t="str">
        <f t="shared" si="1"/>
        <v>NOT ELIGIBLE</v>
      </c>
    </row>
    <row r="325" spans="1:12" x14ac:dyDescent="0.3">
      <c r="A325" s="1" t="s">
        <v>32</v>
      </c>
      <c r="B325" s="1" t="s">
        <v>22</v>
      </c>
      <c r="C325" s="1" t="s">
        <v>18</v>
      </c>
      <c r="D325" s="1" t="s">
        <v>19</v>
      </c>
      <c r="E325" s="1">
        <v>1</v>
      </c>
      <c r="F325" s="1">
        <v>4286</v>
      </c>
      <c r="G325" s="1">
        <v>15</v>
      </c>
      <c r="H325" s="2">
        <v>46053</v>
      </c>
      <c r="I325" s="2">
        <v>46056</v>
      </c>
      <c r="J325" s="1" t="s">
        <v>20</v>
      </c>
      <c r="K325" s="1">
        <v>1324</v>
      </c>
      <c r="L325" s="1" t="str">
        <f t="shared" si="1"/>
        <v>ELIGIBLE</v>
      </c>
    </row>
    <row r="326" spans="1:12" x14ac:dyDescent="0.3">
      <c r="A326" s="1" t="s">
        <v>48</v>
      </c>
      <c r="B326" s="1" t="s">
        <v>43</v>
      </c>
      <c r="C326" s="1" t="s">
        <v>34</v>
      </c>
      <c r="D326" s="1" t="s">
        <v>39</v>
      </c>
      <c r="E326" s="1">
        <v>9</v>
      </c>
      <c r="F326" s="1">
        <v>58442</v>
      </c>
      <c r="G326" s="1">
        <v>12</v>
      </c>
      <c r="H326" s="2">
        <v>46076</v>
      </c>
      <c r="I326" s="2">
        <v>46085</v>
      </c>
      <c r="J326" s="1" t="s">
        <v>20</v>
      </c>
      <c r="K326" s="1">
        <v>1325</v>
      </c>
      <c r="L326" s="1" t="str">
        <f t="shared" si="1"/>
        <v>NOT ELIGIBLE</v>
      </c>
    </row>
    <row r="327" spans="1:12" x14ac:dyDescent="0.3">
      <c r="A327" s="1" t="s">
        <v>26</v>
      </c>
      <c r="B327" s="1" t="s">
        <v>17</v>
      </c>
      <c r="C327" s="1" t="s">
        <v>18</v>
      </c>
      <c r="D327" s="1" t="s">
        <v>44</v>
      </c>
      <c r="E327" s="1">
        <v>18</v>
      </c>
      <c r="F327" s="1">
        <v>1830</v>
      </c>
      <c r="G327" s="1">
        <v>10</v>
      </c>
      <c r="H327" s="2">
        <v>46165</v>
      </c>
      <c r="I327" s="2">
        <v>46172</v>
      </c>
      <c r="J327" s="1" t="s">
        <v>15</v>
      </c>
      <c r="K327" s="1">
        <v>1326</v>
      </c>
      <c r="L327" s="1" t="str">
        <f t="shared" si="1"/>
        <v>ELIGIBLE</v>
      </c>
    </row>
    <row r="328" spans="1:12" x14ac:dyDescent="0.3">
      <c r="A328" s="1" t="s">
        <v>48</v>
      </c>
      <c r="B328" s="1" t="s">
        <v>12</v>
      </c>
      <c r="C328" s="1" t="s">
        <v>13</v>
      </c>
      <c r="D328" s="1" t="s">
        <v>53</v>
      </c>
      <c r="E328" s="1">
        <v>15</v>
      </c>
      <c r="F328" s="1">
        <v>449</v>
      </c>
      <c r="G328" s="1">
        <v>5</v>
      </c>
      <c r="H328" s="2">
        <v>46152</v>
      </c>
      <c r="I328" s="2">
        <v>46153</v>
      </c>
      <c r="J328" s="1" t="s">
        <v>15</v>
      </c>
      <c r="K328" s="1">
        <v>1327</v>
      </c>
      <c r="L328" s="1" t="str">
        <f t="shared" si="1"/>
        <v>ELIGIBLE</v>
      </c>
    </row>
    <row r="329" spans="1:12" x14ac:dyDescent="0.3">
      <c r="A329" s="1" t="s">
        <v>16</v>
      </c>
      <c r="B329" s="1" t="s">
        <v>38</v>
      </c>
      <c r="C329" s="1" t="s">
        <v>13</v>
      </c>
      <c r="D329" s="1" t="s">
        <v>36</v>
      </c>
      <c r="E329" s="1">
        <v>4</v>
      </c>
      <c r="F329" s="1">
        <v>132</v>
      </c>
      <c r="G329" s="1">
        <v>0</v>
      </c>
      <c r="H329" s="2">
        <v>46109</v>
      </c>
      <c r="I329" s="2">
        <v>46114</v>
      </c>
      <c r="J329" s="1" t="s">
        <v>29</v>
      </c>
      <c r="K329" s="1">
        <v>1328</v>
      </c>
      <c r="L329" s="1" t="str">
        <f t="shared" si="1"/>
        <v>ELIGIBLE</v>
      </c>
    </row>
    <row r="330" spans="1:12" x14ac:dyDescent="0.3">
      <c r="A330" s="1" t="s">
        <v>30</v>
      </c>
      <c r="B330" s="1" t="s">
        <v>43</v>
      </c>
      <c r="C330" s="1" t="s">
        <v>13</v>
      </c>
      <c r="D330" s="1" t="s">
        <v>53</v>
      </c>
      <c r="E330" s="1">
        <v>18</v>
      </c>
      <c r="F330" s="1">
        <v>227</v>
      </c>
      <c r="G330" s="1">
        <v>5</v>
      </c>
      <c r="H330" s="2">
        <v>46126</v>
      </c>
      <c r="I330" s="2">
        <v>46136</v>
      </c>
      <c r="J330" s="1" t="s">
        <v>29</v>
      </c>
      <c r="K330" s="1">
        <v>1329</v>
      </c>
      <c r="L330" s="1" t="str">
        <f t="shared" si="1"/>
        <v>ELIGIBLE</v>
      </c>
    </row>
    <row r="331" spans="1:12" x14ac:dyDescent="0.3">
      <c r="A331" s="1" t="s">
        <v>49</v>
      </c>
      <c r="B331" s="1" t="s">
        <v>17</v>
      </c>
      <c r="C331" s="1" t="s">
        <v>18</v>
      </c>
      <c r="D331" s="1" t="s">
        <v>19</v>
      </c>
      <c r="E331" s="1">
        <v>13</v>
      </c>
      <c r="F331" s="1">
        <v>12071</v>
      </c>
      <c r="G331" s="1">
        <v>0</v>
      </c>
      <c r="H331" s="2">
        <v>46032</v>
      </c>
      <c r="I331" s="2">
        <v>46036</v>
      </c>
      <c r="J331" s="1" t="s">
        <v>51</v>
      </c>
      <c r="K331" s="1">
        <v>1330</v>
      </c>
      <c r="L331" s="1" t="str">
        <f t="shared" si="1"/>
        <v>ELIGIBLE</v>
      </c>
    </row>
    <row r="332" spans="1:12" x14ac:dyDescent="0.3">
      <c r="A332" s="1" t="s">
        <v>21</v>
      </c>
      <c r="B332" s="1" t="s">
        <v>25</v>
      </c>
      <c r="C332" s="1" t="s">
        <v>34</v>
      </c>
      <c r="D332" s="1" t="s">
        <v>61</v>
      </c>
      <c r="E332" s="1">
        <v>2</v>
      </c>
      <c r="F332" s="1">
        <v>43557</v>
      </c>
      <c r="G332" s="1">
        <v>2</v>
      </c>
      <c r="H332" s="2">
        <v>46190</v>
      </c>
      <c r="I332" s="2">
        <v>46200</v>
      </c>
      <c r="J332" s="1" t="s">
        <v>15</v>
      </c>
      <c r="K332" s="1">
        <v>1331</v>
      </c>
      <c r="L332" s="1" t="str">
        <f t="shared" si="1"/>
        <v>ELIGIBLE</v>
      </c>
    </row>
    <row r="333" spans="1:12" x14ac:dyDescent="0.3">
      <c r="A333" s="1" t="s">
        <v>29</v>
      </c>
      <c r="B333" s="1" t="s">
        <v>43</v>
      </c>
      <c r="C333" s="1" t="s">
        <v>13</v>
      </c>
      <c r="D333" s="1" t="s">
        <v>50</v>
      </c>
      <c r="E333" s="1">
        <v>7</v>
      </c>
      <c r="F333" s="1">
        <v>439</v>
      </c>
      <c r="G333" s="1">
        <v>2</v>
      </c>
      <c r="H333" s="2">
        <v>46154</v>
      </c>
      <c r="I333" s="2">
        <v>46157</v>
      </c>
      <c r="J333" s="1" t="s">
        <v>15</v>
      </c>
      <c r="K333" s="1">
        <v>1332</v>
      </c>
      <c r="L333" s="1" t="str">
        <f t="shared" si="1"/>
        <v>ELIGIBLE</v>
      </c>
    </row>
    <row r="334" spans="1:12" x14ac:dyDescent="0.3">
      <c r="A334" s="1" t="s">
        <v>29</v>
      </c>
      <c r="B334" s="1" t="s">
        <v>38</v>
      </c>
      <c r="C334" s="1" t="s">
        <v>13</v>
      </c>
      <c r="D334" s="1" t="s">
        <v>53</v>
      </c>
      <c r="E334" s="1">
        <v>20</v>
      </c>
      <c r="F334" s="1">
        <v>416</v>
      </c>
      <c r="G334" s="1">
        <v>12</v>
      </c>
      <c r="H334" s="2">
        <v>46145</v>
      </c>
      <c r="I334" s="2">
        <v>46146</v>
      </c>
      <c r="J334" s="1" t="s">
        <v>51</v>
      </c>
      <c r="K334" s="1">
        <v>1333</v>
      </c>
      <c r="L334" s="1" t="str">
        <f t="shared" si="1"/>
        <v>ELIGIBLE</v>
      </c>
    </row>
    <row r="335" spans="1:12" x14ac:dyDescent="0.3">
      <c r="A335" s="1" t="s">
        <v>40</v>
      </c>
      <c r="B335" s="1" t="s">
        <v>12</v>
      </c>
      <c r="C335" s="1" t="s">
        <v>34</v>
      </c>
      <c r="D335" s="1" t="s">
        <v>41</v>
      </c>
      <c r="E335" s="1">
        <v>15</v>
      </c>
      <c r="F335" s="1">
        <v>39853</v>
      </c>
      <c r="G335" s="1">
        <v>7</v>
      </c>
      <c r="H335" s="2">
        <v>46038</v>
      </c>
      <c r="I335" s="2">
        <v>46047</v>
      </c>
      <c r="J335" s="1" t="s">
        <v>51</v>
      </c>
      <c r="K335" s="1">
        <v>1334</v>
      </c>
      <c r="L335" s="1" t="str">
        <f t="shared" si="1"/>
        <v>ELIGIBLE</v>
      </c>
    </row>
    <row r="336" spans="1:12" x14ac:dyDescent="0.3">
      <c r="A336" s="1" t="s">
        <v>47</v>
      </c>
      <c r="B336" s="1" t="s">
        <v>17</v>
      </c>
      <c r="C336" s="1" t="s">
        <v>18</v>
      </c>
      <c r="D336" s="1" t="s">
        <v>19</v>
      </c>
      <c r="E336" s="1">
        <v>9</v>
      </c>
      <c r="F336" s="1">
        <v>1495</v>
      </c>
      <c r="G336" s="1">
        <v>12</v>
      </c>
      <c r="H336" s="2">
        <v>46168</v>
      </c>
      <c r="I336" s="2">
        <v>46173</v>
      </c>
      <c r="J336" s="1" t="s">
        <v>15</v>
      </c>
      <c r="K336" s="1">
        <v>1335</v>
      </c>
      <c r="L336" s="1" t="str">
        <f t="shared" si="1"/>
        <v>ELIGIBLE</v>
      </c>
    </row>
    <row r="337" spans="1:12" x14ac:dyDescent="0.3">
      <c r="A337" s="1" t="s">
        <v>16</v>
      </c>
      <c r="B337" s="1" t="s">
        <v>25</v>
      </c>
      <c r="C337" s="1" t="s">
        <v>18</v>
      </c>
      <c r="D337" s="1" t="s">
        <v>56</v>
      </c>
      <c r="E337" s="1">
        <v>10</v>
      </c>
      <c r="F337" s="1">
        <v>5624</v>
      </c>
      <c r="G337" s="1">
        <v>0</v>
      </c>
      <c r="H337" s="2">
        <v>46086</v>
      </c>
      <c r="I337" s="2">
        <v>46092</v>
      </c>
      <c r="J337" s="1" t="s">
        <v>29</v>
      </c>
      <c r="K337" s="1">
        <v>1336</v>
      </c>
      <c r="L337" s="1" t="str">
        <f t="shared" si="1"/>
        <v>ELIGIBLE</v>
      </c>
    </row>
    <row r="338" spans="1:12" x14ac:dyDescent="0.3">
      <c r="A338" s="1" t="s">
        <v>16</v>
      </c>
      <c r="B338" s="1" t="s">
        <v>12</v>
      </c>
      <c r="C338" s="1" t="s">
        <v>13</v>
      </c>
      <c r="D338" s="1" t="s">
        <v>53</v>
      </c>
      <c r="E338" s="1">
        <v>14</v>
      </c>
      <c r="F338" s="1">
        <v>373</v>
      </c>
      <c r="G338" s="1">
        <v>10</v>
      </c>
      <c r="H338" s="2">
        <v>46074</v>
      </c>
      <c r="I338" s="2">
        <v>46080</v>
      </c>
      <c r="J338" s="1" t="s">
        <v>29</v>
      </c>
      <c r="K338" s="1">
        <v>1337</v>
      </c>
      <c r="L338" s="1" t="str">
        <f t="shared" si="1"/>
        <v>ELIGIBLE</v>
      </c>
    </row>
    <row r="339" spans="1:12" x14ac:dyDescent="0.3">
      <c r="A339" s="1" t="s">
        <v>59</v>
      </c>
      <c r="B339" s="1" t="s">
        <v>25</v>
      </c>
      <c r="C339" s="1" t="s">
        <v>34</v>
      </c>
      <c r="D339" s="1" t="s">
        <v>60</v>
      </c>
      <c r="E339" s="1">
        <v>10</v>
      </c>
      <c r="F339" s="1">
        <v>16719</v>
      </c>
      <c r="G339" s="1">
        <v>5</v>
      </c>
      <c r="H339" s="2">
        <v>46177</v>
      </c>
      <c r="I339" s="2">
        <v>46179</v>
      </c>
      <c r="J339" s="1" t="s">
        <v>15</v>
      </c>
      <c r="K339" s="1">
        <v>1338</v>
      </c>
      <c r="L339" s="1" t="str">
        <f t="shared" si="1"/>
        <v>ELIGIBLE</v>
      </c>
    </row>
    <row r="340" spans="1:12" x14ac:dyDescent="0.3">
      <c r="A340" s="1" t="s">
        <v>32</v>
      </c>
      <c r="B340" s="1" t="s">
        <v>25</v>
      </c>
      <c r="C340" s="1" t="s">
        <v>13</v>
      </c>
      <c r="D340" s="1" t="s">
        <v>14</v>
      </c>
      <c r="E340" s="1">
        <v>6</v>
      </c>
      <c r="F340" s="1">
        <v>302</v>
      </c>
      <c r="G340" s="1">
        <v>5</v>
      </c>
      <c r="H340" s="2">
        <v>46142</v>
      </c>
      <c r="I340" s="2">
        <v>46148</v>
      </c>
      <c r="J340" s="1" t="s">
        <v>20</v>
      </c>
      <c r="K340" s="1">
        <v>1339</v>
      </c>
      <c r="L340" s="1" t="str">
        <f t="shared" si="1"/>
        <v>ELIGIBLE</v>
      </c>
    </row>
    <row r="341" spans="1:12" x14ac:dyDescent="0.3">
      <c r="A341" s="1" t="s">
        <v>48</v>
      </c>
      <c r="B341" s="1" t="s">
        <v>17</v>
      </c>
      <c r="C341" s="1" t="s">
        <v>18</v>
      </c>
      <c r="D341" s="1" t="s">
        <v>19</v>
      </c>
      <c r="E341" s="1">
        <v>12</v>
      </c>
      <c r="F341" s="1">
        <v>3857</v>
      </c>
      <c r="G341" s="1">
        <v>12</v>
      </c>
      <c r="H341" s="2">
        <v>46196</v>
      </c>
      <c r="I341" s="2">
        <v>46198</v>
      </c>
      <c r="J341" s="1" t="s">
        <v>51</v>
      </c>
      <c r="K341" s="1">
        <v>1340</v>
      </c>
      <c r="L341" s="1" t="str">
        <f t="shared" si="1"/>
        <v>ELIGIBLE</v>
      </c>
    </row>
    <row r="342" spans="1:12" x14ac:dyDescent="0.3">
      <c r="A342" s="1" t="s">
        <v>57</v>
      </c>
      <c r="B342" s="1" t="s">
        <v>38</v>
      </c>
      <c r="C342" s="1" t="s">
        <v>18</v>
      </c>
      <c r="D342" s="1" t="s">
        <v>19</v>
      </c>
      <c r="E342" s="1">
        <v>19</v>
      </c>
      <c r="F342" s="1">
        <v>6488</v>
      </c>
      <c r="G342" s="1">
        <v>15</v>
      </c>
      <c r="H342" s="2">
        <v>46026</v>
      </c>
      <c r="I342" s="2">
        <v>46030</v>
      </c>
      <c r="J342" s="1" t="s">
        <v>20</v>
      </c>
      <c r="K342" s="1">
        <v>1341</v>
      </c>
      <c r="L342" s="1" t="str">
        <f t="shared" si="1"/>
        <v>ELIGIBLE</v>
      </c>
    </row>
    <row r="343" spans="1:12" x14ac:dyDescent="0.3">
      <c r="A343" s="1" t="s">
        <v>59</v>
      </c>
      <c r="B343" s="1" t="s">
        <v>31</v>
      </c>
      <c r="C343" s="1" t="s">
        <v>34</v>
      </c>
      <c r="D343" s="1" t="s">
        <v>35</v>
      </c>
      <c r="E343" s="1">
        <v>13</v>
      </c>
      <c r="F343" s="1">
        <v>47881</v>
      </c>
      <c r="G343" s="1">
        <v>15</v>
      </c>
      <c r="H343" s="2">
        <v>46132</v>
      </c>
      <c r="I343" s="2">
        <v>46139</v>
      </c>
      <c r="J343" s="1" t="s">
        <v>29</v>
      </c>
      <c r="K343" s="1">
        <v>1342</v>
      </c>
      <c r="L343" s="1" t="str">
        <f t="shared" si="1"/>
        <v>NOT ELIGIBLE</v>
      </c>
    </row>
    <row r="344" spans="1:12" x14ac:dyDescent="0.3">
      <c r="A344" s="1" t="s">
        <v>59</v>
      </c>
      <c r="B344" s="1" t="s">
        <v>31</v>
      </c>
      <c r="C344" s="1" t="s">
        <v>34</v>
      </c>
      <c r="D344" s="1" t="s">
        <v>39</v>
      </c>
      <c r="E344" s="1">
        <v>14</v>
      </c>
      <c r="F344" s="1">
        <v>32719</v>
      </c>
      <c r="G344" s="1">
        <v>15</v>
      </c>
      <c r="H344" s="2">
        <v>46174</v>
      </c>
      <c r="I344" s="2">
        <v>46179</v>
      </c>
      <c r="J344" s="1" t="s">
        <v>15</v>
      </c>
      <c r="K344" s="1">
        <v>1343</v>
      </c>
      <c r="L344" s="1" t="str">
        <f t="shared" si="1"/>
        <v>NOT ELIGIBLE</v>
      </c>
    </row>
    <row r="345" spans="1:12" x14ac:dyDescent="0.3">
      <c r="A345" s="1" t="s">
        <v>30</v>
      </c>
      <c r="B345" s="1" t="s">
        <v>17</v>
      </c>
      <c r="C345" s="1" t="s">
        <v>13</v>
      </c>
      <c r="D345" s="1" t="s">
        <v>53</v>
      </c>
      <c r="E345" s="1">
        <v>18</v>
      </c>
      <c r="F345" s="1">
        <v>240</v>
      </c>
      <c r="G345" s="1">
        <v>10</v>
      </c>
      <c r="H345" s="2">
        <v>46155</v>
      </c>
      <c r="I345" s="2">
        <v>46156</v>
      </c>
      <c r="J345" s="1" t="s">
        <v>24</v>
      </c>
      <c r="K345" s="1">
        <v>1344</v>
      </c>
      <c r="L345" s="1" t="str">
        <f t="shared" si="1"/>
        <v>ELIGIBLE</v>
      </c>
    </row>
    <row r="346" spans="1:12" x14ac:dyDescent="0.3">
      <c r="A346" s="1" t="s">
        <v>32</v>
      </c>
      <c r="B346" s="1" t="s">
        <v>12</v>
      </c>
      <c r="C346" s="1" t="s">
        <v>34</v>
      </c>
      <c r="D346" s="1" t="s">
        <v>45</v>
      </c>
      <c r="E346" s="1">
        <v>12</v>
      </c>
      <c r="F346" s="1">
        <v>50544</v>
      </c>
      <c r="G346" s="1">
        <v>10</v>
      </c>
      <c r="H346" s="2">
        <v>46095</v>
      </c>
      <c r="I346" s="2">
        <v>46097</v>
      </c>
      <c r="J346" s="1" t="s">
        <v>29</v>
      </c>
      <c r="K346" s="1">
        <v>1345</v>
      </c>
      <c r="L346" s="1" t="str">
        <f t="shared" si="1"/>
        <v>NOT ELIGIBLE</v>
      </c>
    </row>
    <row r="347" spans="1:12" x14ac:dyDescent="0.3">
      <c r="A347" s="1" t="s">
        <v>32</v>
      </c>
      <c r="B347" s="1" t="s">
        <v>22</v>
      </c>
      <c r="C347" s="1" t="s">
        <v>18</v>
      </c>
      <c r="D347" s="1" t="s">
        <v>19</v>
      </c>
      <c r="E347" s="1">
        <v>16</v>
      </c>
      <c r="F347" s="1">
        <v>6910</v>
      </c>
      <c r="G347" s="1">
        <v>15</v>
      </c>
      <c r="H347" s="2">
        <v>46140</v>
      </c>
      <c r="I347" s="2">
        <v>46142</v>
      </c>
      <c r="J347" s="1" t="s">
        <v>29</v>
      </c>
      <c r="K347" s="1">
        <v>1346</v>
      </c>
      <c r="L347" s="1" t="str">
        <f t="shared" si="1"/>
        <v>ELIGIBLE</v>
      </c>
    </row>
    <row r="348" spans="1:12" x14ac:dyDescent="0.3">
      <c r="A348" s="1" t="s">
        <v>29</v>
      </c>
      <c r="B348" s="1" t="s">
        <v>22</v>
      </c>
      <c r="C348" s="1" t="s">
        <v>34</v>
      </c>
      <c r="D348" s="1" t="s">
        <v>35</v>
      </c>
      <c r="E348" s="1">
        <v>16</v>
      </c>
      <c r="F348" s="1">
        <v>6034</v>
      </c>
      <c r="G348" s="1">
        <v>15</v>
      </c>
      <c r="H348" s="2">
        <v>46037</v>
      </c>
      <c r="I348" s="2">
        <v>46044</v>
      </c>
      <c r="J348" s="1" t="s">
        <v>24</v>
      </c>
      <c r="K348" s="1">
        <v>1347</v>
      </c>
      <c r="L348" s="1" t="str">
        <f t="shared" si="1"/>
        <v>NOT ELIGIBLE</v>
      </c>
    </row>
    <row r="349" spans="1:12" x14ac:dyDescent="0.3">
      <c r="A349" s="1" t="s">
        <v>11</v>
      </c>
      <c r="B349" s="1" t="s">
        <v>33</v>
      </c>
      <c r="C349" s="1" t="s">
        <v>13</v>
      </c>
      <c r="D349" s="1" t="s">
        <v>50</v>
      </c>
      <c r="E349" s="1">
        <v>12</v>
      </c>
      <c r="F349" s="1">
        <v>244</v>
      </c>
      <c r="G349" s="1">
        <v>7</v>
      </c>
      <c r="H349" s="2">
        <v>46048</v>
      </c>
      <c r="I349" s="2">
        <v>46053</v>
      </c>
      <c r="J349" s="1" t="s">
        <v>15</v>
      </c>
      <c r="K349" s="1">
        <v>1348</v>
      </c>
      <c r="L349" s="1" t="str">
        <f t="shared" si="1"/>
        <v>ELIGIBLE</v>
      </c>
    </row>
    <row r="350" spans="1:12" x14ac:dyDescent="0.3">
      <c r="A350" s="1" t="s">
        <v>40</v>
      </c>
      <c r="B350" s="1" t="s">
        <v>33</v>
      </c>
      <c r="C350" s="1" t="s">
        <v>34</v>
      </c>
      <c r="D350" s="1" t="s">
        <v>35</v>
      </c>
      <c r="E350" s="1">
        <v>20</v>
      </c>
      <c r="F350" s="1">
        <v>62721</v>
      </c>
      <c r="G350" s="1">
        <v>7</v>
      </c>
      <c r="H350" s="2">
        <v>46079</v>
      </c>
      <c r="I350" s="2">
        <v>46083</v>
      </c>
      <c r="J350" s="1" t="s">
        <v>20</v>
      </c>
      <c r="K350" s="1">
        <v>1349</v>
      </c>
      <c r="L350" s="1" t="str">
        <f t="shared" si="1"/>
        <v>ELIGIBLE</v>
      </c>
    </row>
    <row r="351" spans="1:12" x14ac:dyDescent="0.3">
      <c r="A351" s="1" t="s">
        <v>26</v>
      </c>
      <c r="B351" s="1" t="s">
        <v>43</v>
      </c>
      <c r="C351" s="1" t="s">
        <v>18</v>
      </c>
      <c r="D351" s="1" t="s">
        <v>28</v>
      </c>
      <c r="E351" s="1">
        <v>16</v>
      </c>
      <c r="F351" s="1">
        <v>11790</v>
      </c>
      <c r="G351" s="1">
        <v>12</v>
      </c>
      <c r="H351" s="2">
        <v>46185</v>
      </c>
      <c r="I351" s="2">
        <v>46190</v>
      </c>
      <c r="J351" s="1" t="s">
        <v>29</v>
      </c>
      <c r="K351" s="1">
        <v>1350</v>
      </c>
      <c r="L351" s="1" t="str">
        <f t="shared" si="1"/>
        <v>ELIGIBLE</v>
      </c>
    </row>
    <row r="352" spans="1:12" x14ac:dyDescent="0.3">
      <c r="A352" s="1" t="s">
        <v>42</v>
      </c>
      <c r="B352" s="1" t="s">
        <v>33</v>
      </c>
      <c r="C352" s="1" t="s">
        <v>34</v>
      </c>
      <c r="D352" s="1" t="s">
        <v>45</v>
      </c>
      <c r="E352" s="1">
        <v>12</v>
      </c>
      <c r="F352" s="1">
        <v>1272</v>
      </c>
      <c r="G352" s="1">
        <v>0</v>
      </c>
      <c r="H352" s="2">
        <v>46026</v>
      </c>
      <c r="I352" s="2">
        <v>46029</v>
      </c>
      <c r="J352" s="1" t="s">
        <v>15</v>
      </c>
      <c r="K352" s="1">
        <v>1351</v>
      </c>
      <c r="L352" s="1" t="str">
        <f t="shared" si="1"/>
        <v>ELIGIBLE</v>
      </c>
    </row>
    <row r="353" spans="1:12" x14ac:dyDescent="0.3">
      <c r="A353" s="1" t="s">
        <v>54</v>
      </c>
      <c r="B353" s="1" t="s">
        <v>22</v>
      </c>
      <c r="C353" s="1" t="s">
        <v>13</v>
      </c>
      <c r="D353" s="1" t="s">
        <v>14</v>
      </c>
      <c r="E353" s="1">
        <v>12</v>
      </c>
      <c r="F353" s="1">
        <v>203</v>
      </c>
      <c r="G353" s="1">
        <v>5</v>
      </c>
      <c r="H353" s="2">
        <v>46024</v>
      </c>
      <c r="I353" s="2">
        <v>46033</v>
      </c>
      <c r="J353" s="1" t="s">
        <v>15</v>
      </c>
      <c r="K353" s="1">
        <v>1352</v>
      </c>
      <c r="L353" s="1" t="str">
        <f t="shared" si="1"/>
        <v>ELIGIBLE</v>
      </c>
    </row>
    <row r="354" spans="1:12" x14ac:dyDescent="0.3">
      <c r="A354" s="1" t="s">
        <v>47</v>
      </c>
      <c r="B354" s="1" t="s">
        <v>43</v>
      </c>
      <c r="C354" s="1" t="s">
        <v>13</v>
      </c>
      <c r="D354" s="1" t="s">
        <v>14</v>
      </c>
      <c r="E354" s="1">
        <v>6</v>
      </c>
      <c r="F354" s="1">
        <v>495</v>
      </c>
      <c r="G354" s="1">
        <v>2</v>
      </c>
      <c r="H354" s="2">
        <v>46194</v>
      </c>
      <c r="I354" s="2">
        <v>46200</v>
      </c>
      <c r="J354" s="1" t="s">
        <v>24</v>
      </c>
      <c r="K354" s="1">
        <v>1353</v>
      </c>
      <c r="L354" s="1" t="str">
        <f t="shared" si="1"/>
        <v>ELIGIBLE</v>
      </c>
    </row>
    <row r="355" spans="1:12" x14ac:dyDescent="0.3">
      <c r="A355" s="1" t="s">
        <v>47</v>
      </c>
      <c r="B355" s="1" t="s">
        <v>43</v>
      </c>
      <c r="C355" s="1" t="s">
        <v>34</v>
      </c>
      <c r="D355" s="1" t="s">
        <v>35</v>
      </c>
      <c r="E355" s="1">
        <v>15</v>
      </c>
      <c r="F355" s="1">
        <v>14927</v>
      </c>
      <c r="G355" s="1">
        <v>15</v>
      </c>
      <c r="H355" s="2">
        <v>46118</v>
      </c>
      <c r="I355" s="2">
        <v>46120</v>
      </c>
      <c r="J355" s="1" t="s">
        <v>51</v>
      </c>
      <c r="K355" s="1">
        <v>1354</v>
      </c>
      <c r="L355" s="1" t="str">
        <f t="shared" si="1"/>
        <v>NOT ELIGIBLE</v>
      </c>
    </row>
    <row r="356" spans="1:12" x14ac:dyDescent="0.3">
      <c r="A356" s="1" t="s">
        <v>27</v>
      </c>
      <c r="B356" s="1" t="s">
        <v>12</v>
      </c>
      <c r="C356" s="1" t="s">
        <v>34</v>
      </c>
      <c r="D356" s="1" t="s">
        <v>60</v>
      </c>
      <c r="E356" s="1">
        <v>18</v>
      </c>
      <c r="F356" s="1">
        <v>35997</v>
      </c>
      <c r="G356" s="1">
        <v>2</v>
      </c>
      <c r="H356" s="2">
        <v>46024</v>
      </c>
      <c r="I356" s="2">
        <v>46031</v>
      </c>
      <c r="J356" s="1" t="s">
        <v>51</v>
      </c>
      <c r="K356" s="1">
        <v>1355</v>
      </c>
      <c r="L356" s="1" t="str">
        <f t="shared" si="1"/>
        <v>ELIGIBLE</v>
      </c>
    </row>
    <row r="357" spans="1:12" x14ac:dyDescent="0.3">
      <c r="A357" s="1" t="s">
        <v>26</v>
      </c>
      <c r="B357" s="1" t="s">
        <v>38</v>
      </c>
      <c r="C357" s="1" t="s">
        <v>34</v>
      </c>
      <c r="D357" s="1" t="s">
        <v>60</v>
      </c>
      <c r="E357" s="1">
        <v>16</v>
      </c>
      <c r="F357" s="1">
        <v>53457</v>
      </c>
      <c r="G357" s="1">
        <v>10</v>
      </c>
      <c r="H357" s="2">
        <v>46201</v>
      </c>
      <c r="I357" s="2">
        <v>46204</v>
      </c>
      <c r="J357" s="1" t="s">
        <v>15</v>
      </c>
      <c r="K357" s="1">
        <v>1356</v>
      </c>
      <c r="L357" s="1" t="str">
        <f t="shared" si="1"/>
        <v>NOT ELIGIBLE</v>
      </c>
    </row>
    <row r="358" spans="1:12" x14ac:dyDescent="0.3">
      <c r="A358" s="1" t="s">
        <v>59</v>
      </c>
      <c r="B358" s="1" t="s">
        <v>25</v>
      </c>
      <c r="C358" s="1" t="s">
        <v>13</v>
      </c>
      <c r="D358" s="1" t="s">
        <v>37</v>
      </c>
      <c r="E358" s="1">
        <v>6</v>
      </c>
      <c r="F358" s="1">
        <v>365</v>
      </c>
      <c r="G358" s="1">
        <v>7</v>
      </c>
      <c r="H358" s="2">
        <v>46133</v>
      </c>
      <c r="I358" s="2">
        <v>46140</v>
      </c>
      <c r="J358" s="1" t="s">
        <v>51</v>
      </c>
      <c r="K358" s="1">
        <v>1357</v>
      </c>
      <c r="L358" s="1" t="str">
        <f t="shared" si="1"/>
        <v>ELIGIBLE</v>
      </c>
    </row>
    <row r="359" spans="1:12" x14ac:dyDescent="0.3">
      <c r="A359" s="1" t="s">
        <v>40</v>
      </c>
      <c r="B359" s="1" t="s">
        <v>38</v>
      </c>
      <c r="C359" s="1" t="s">
        <v>18</v>
      </c>
      <c r="D359" s="1" t="s">
        <v>19</v>
      </c>
      <c r="E359" s="1">
        <v>7</v>
      </c>
      <c r="F359" s="1">
        <v>6618</v>
      </c>
      <c r="G359" s="1">
        <v>0</v>
      </c>
      <c r="H359" s="2">
        <v>46127</v>
      </c>
      <c r="I359" s="2">
        <v>46129</v>
      </c>
      <c r="J359" s="1" t="s">
        <v>20</v>
      </c>
      <c r="K359" s="1">
        <v>1358</v>
      </c>
      <c r="L359" s="1" t="str">
        <f t="shared" si="1"/>
        <v>ELIGIBLE</v>
      </c>
    </row>
    <row r="360" spans="1:12" x14ac:dyDescent="0.3">
      <c r="A360" s="1" t="s">
        <v>54</v>
      </c>
      <c r="B360" s="1" t="s">
        <v>12</v>
      </c>
      <c r="C360" s="1" t="s">
        <v>34</v>
      </c>
      <c r="D360" s="1" t="s">
        <v>61</v>
      </c>
      <c r="E360" s="1">
        <v>9</v>
      </c>
      <c r="F360" s="1">
        <v>38179</v>
      </c>
      <c r="G360" s="1">
        <v>0</v>
      </c>
      <c r="H360" s="2">
        <v>46096</v>
      </c>
      <c r="I360" s="2">
        <v>46099</v>
      </c>
      <c r="J360" s="1" t="s">
        <v>15</v>
      </c>
      <c r="K360" s="1">
        <v>1359</v>
      </c>
      <c r="L360" s="1" t="str">
        <f t="shared" si="1"/>
        <v>ELIGIBLE</v>
      </c>
    </row>
    <row r="361" spans="1:12" x14ac:dyDescent="0.3">
      <c r="A361" s="1" t="s">
        <v>11</v>
      </c>
      <c r="B361" s="1" t="s">
        <v>43</v>
      </c>
      <c r="C361" s="1" t="s">
        <v>18</v>
      </c>
      <c r="D361" s="1" t="s">
        <v>23</v>
      </c>
      <c r="E361" s="1">
        <v>19</v>
      </c>
      <c r="F361" s="1">
        <v>6681</v>
      </c>
      <c r="G361" s="1">
        <v>2</v>
      </c>
      <c r="H361" s="2">
        <v>46146</v>
      </c>
      <c r="I361" s="2">
        <v>46150</v>
      </c>
      <c r="J361" s="1" t="s">
        <v>15</v>
      </c>
      <c r="K361" s="1">
        <v>1360</v>
      </c>
      <c r="L361" s="1" t="str">
        <f t="shared" si="1"/>
        <v>ELIGIBLE</v>
      </c>
    </row>
    <row r="362" spans="1:12" x14ac:dyDescent="0.3">
      <c r="A362" s="1" t="s">
        <v>42</v>
      </c>
      <c r="B362" s="1" t="s">
        <v>17</v>
      </c>
      <c r="C362" s="1" t="s">
        <v>18</v>
      </c>
      <c r="D362" s="1" t="s">
        <v>23</v>
      </c>
      <c r="E362" s="1">
        <v>2</v>
      </c>
      <c r="F362" s="1">
        <v>1822</v>
      </c>
      <c r="G362" s="1">
        <v>5</v>
      </c>
      <c r="H362" s="2">
        <v>46141</v>
      </c>
      <c r="I362" s="2">
        <v>46145</v>
      </c>
      <c r="J362" s="1" t="s">
        <v>20</v>
      </c>
      <c r="K362" s="1">
        <v>1361</v>
      </c>
      <c r="L362" s="1" t="str">
        <f t="shared" si="1"/>
        <v>ELIGIBLE</v>
      </c>
    </row>
    <row r="363" spans="1:12" x14ac:dyDescent="0.3">
      <c r="A363" s="1" t="s">
        <v>16</v>
      </c>
      <c r="B363" s="1" t="s">
        <v>12</v>
      </c>
      <c r="C363" s="1" t="s">
        <v>18</v>
      </c>
      <c r="D363" s="1" t="s">
        <v>28</v>
      </c>
      <c r="E363" s="1">
        <v>1</v>
      </c>
      <c r="F363" s="1">
        <v>10474</v>
      </c>
      <c r="G363" s="1">
        <v>0</v>
      </c>
      <c r="H363" s="2">
        <v>46094</v>
      </c>
      <c r="I363" s="2">
        <v>46096</v>
      </c>
      <c r="J363" s="1" t="s">
        <v>29</v>
      </c>
      <c r="K363" s="1">
        <v>1362</v>
      </c>
      <c r="L363" s="1" t="str">
        <f t="shared" si="1"/>
        <v>ELIGIBLE</v>
      </c>
    </row>
    <row r="364" spans="1:12" x14ac:dyDescent="0.3">
      <c r="A364" s="1" t="s">
        <v>27</v>
      </c>
      <c r="B364" s="1" t="s">
        <v>25</v>
      </c>
      <c r="C364" s="1" t="s">
        <v>34</v>
      </c>
      <c r="D364" s="1" t="s">
        <v>35</v>
      </c>
      <c r="E364" s="1">
        <v>7</v>
      </c>
      <c r="F364" s="1">
        <v>45381</v>
      </c>
      <c r="G364" s="1">
        <v>0</v>
      </c>
      <c r="H364" s="2">
        <v>46122</v>
      </c>
      <c r="I364" s="2">
        <v>46128</v>
      </c>
      <c r="J364" s="1" t="s">
        <v>15</v>
      </c>
      <c r="K364" s="1">
        <v>1363</v>
      </c>
      <c r="L364" s="1" t="str">
        <f t="shared" si="1"/>
        <v>ELIGIBLE</v>
      </c>
    </row>
    <row r="365" spans="1:12" x14ac:dyDescent="0.3">
      <c r="A365" s="1" t="s">
        <v>30</v>
      </c>
      <c r="B365" s="1" t="s">
        <v>22</v>
      </c>
      <c r="C365" s="1" t="s">
        <v>18</v>
      </c>
      <c r="D365" s="1" t="s">
        <v>56</v>
      </c>
      <c r="E365" s="1">
        <v>16</v>
      </c>
      <c r="F365" s="1">
        <v>1744</v>
      </c>
      <c r="G365" s="1">
        <v>15</v>
      </c>
      <c r="H365" s="2">
        <v>46031</v>
      </c>
      <c r="I365" s="2">
        <v>46033</v>
      </c>
      <c r="J365" s="1" t="s">
        <v>51</v>
      </c>
      <c r="K365" s="1">
        <v>1364</v>
      </c>
      <c r="L365" s="1" t="str">
        <f t="shared" si="1"/>
        <v>ELIGIBLE</v>
      </c>
    </row>
    <row r="366" spans="1:12" x14ac:dyDescent="0.3">
      <c r="A366" s="1" t="s">
        <v>46</v>
      </c>
      <c r="B366" s="1" t="s">
        <v>33</v>
      </c>
      <c r="C366" s="1" t="s">
        <v>13</v>
      </c>
      <c r="D366" s="1" t="s">
        <v>50</v>
      </c>
      <c r="E366" s="1">
        <v>17</v>
      </c>
      <c r="F366" s="1">
        <v>119</v>
      </c>
      <c r="G366" s="1">
        <v>7</v>
      </c>
      <c r="H366" s="2">
        <v>46070</v>
      </c>
      <c r="I366" s="2">
        <v>46072</v>
      </c>
      <c r="J366" s="1" t="s">
        <v>20</v>
      </c>
      <c r="K366" s="1">
        <v>1365</v>
      </c>
      <c r="L366" s="1" t="str">
        <f t="shared" si="1"/>
        <v>ELIGIBLE</v>
      </c>
    </row>
    <row r="367" spans="1:12" x14ac:dyDescent="0.3">
      <c r="A367" s="1" t="s">
        <v>26</v>
      </c>
      <c r="B367" s="1" t="s">
        <v>17</v>
      </c>
      <c r="C367" s="1" t="s">
        <v>34</v>
      </c>
      <c r="D367" s="1" t="s">
        <v>61</v>
      </c>
      <c r="E367" s="1">
        <v>20</v>
      </c>
      <c r="F367" s="1">
        <v>44312</v>
      </c>
      <c r="G367" s="1">
        <v>10</v>
      </c>
      <c r="H367" s="2">
        <v>46047</v>
      </c>
      <c r="I367" s="2">
        <v>46054</v>
      </c>
      <c r="J367" s="1" t="s">
        <v>29</v>
      </c>
      <c r="K367" s="1">
        <v>1366</v>
      </c>
      <c r="L367" s="1" t="str">
        <f t="shared" si="1"/>
        <v>NOT ELIGIBLE</v>
      </c>
    </row>
    <row r="368" spans="1:12" x14ac:dyDescent="0.3">
      <c r="A368" s="1" t="s">
        <v>54</v>
      </c>
      <c r="B368" s="1" t="s">
        <v>25</v>
      </c>
      <c r="C368" s="1" t="s">
        <v>13</v>
      </c>
      <c r="D368" s="1" t="s">
        <v>53</v>
      </c>
      <c r="E368" s="1">
        <v>1</v>
      </c>
      <c r="F368" s="1">
        <v>371</v>
      </c>
      <c r="G368" s="1">
        <v>5</v>
      </c>
      <c r="H368" s="2">
        <v>46158</v>
      </c>
      <c r="I368" s="2">
        <v>46168</v>
      </c>
      <c r="J368" s="1" t="s">
        <v>29</v>
      </c>
      <c r="K368" s="1">
        <v>1367</v>
      </c>
      <c r="L368" s="1" t="str">
        <f t="shared" si="1"/>
        <v>ELIGIBLE</v>
      </c>
    </row>
    <row r="369" spans="1:12" x14ac:dyDescent="0.3">
      <c r="A369" s="1" t="s">
        <v>55</v>
      </c>
      <c r="B369" s="1" t="s">
        <v>38</v>
      </c>
      <c r="C369" s="1" t="s">
        <v>13</v>
      </c>
      <c r="D369" s="1" t="s">
        <v>36</v>
      </c>
      <c r="E369" s="1">
        <v>9</v>
      </c>
      <c r="F369" s="1">
        <v>115</v>
      </c>
      <c r="G369" s="1">
        <v>0</v>
      </c>
      <c r="H369" s="2">
        <v>46036</v>
      </c>
      <c r="I369" s="2">
        <v>46045</v>
      </c>
      <c r="J369" s="1" t="s">
        <v>24</v>
      </c>
      <c r="K369" s="1">
        <v>1368</v>
      </c>
      <c r="L369" s="1" t="str">
        <f t="shared" si="1"/>
        <v>ELIGIBLE</v>
      </c>
    </row>
    <row r="370" spans="1:12" x14ac:dyDescent="0.3">
      <c r="A370" s="1" t="s">
        <v>57</v>
      </c>
      <c r="B370" s="1" t="s">
        <v>25</v>
      </c>
      <c r="C370" s="1" t="s">
        <v>18</v>
      </c>
      <c r="D370" s="1" t="s">
        <v>19</v>
      </c>
      <c r="E370" s="1">
        <v>19</v>
      </c>
      <c r="F370" s="1">
        <v>5840</v>
      </c>
      <c r="G370" s="1">
        <v>5</v>
      </c>
      <c r="H370" s="2">
        <v>46062</v>
      </c>
      <c r="I370" s="2">
        <v>46067</v>
      </c>
      <c r="J370" s="1" t="s">
        <v>15</v>
      </c>
      <c r="K370" s="1">
        <v>1369</v>
      </c>
      <c r="L370" s="1" t="str">
        <f t="shared" si="1"/>
        <v>ELIGIBLE</v>
      </c>
    </row>
    <row r="371" spans="1:12" x14ac:dyDescent="0.3">
      <c r="A371" s="1" t="s">
        <v>59</v>
      </c>
      <c r="B371" s="1" t="s">
        <v>38</v>
      </c>
      <c r="C371" s="1" t="s">
        <v>13</v>
      </c>
      <c r="D371" s="1" t="s">
        <v>53</v>
      </c>
      <c r="E371" s="1">
        <v>13</v>
      </c>
      <c r="F371" s="1">
        <v>337</v>
      </c>
      <c r="G371" s="1">
        <v>7</v>
      </c>
      <c r="H371" s="2">
        <v>46184</v>
      </c>
      <c r="I371" s="2">
        <v>46188</v>
      </c>
      <c r="J371" s="1" t="s">
        <v>15</v>
      </c>
      <c r="K371" s="1">
        <v>1370</v>
      </c>
      <c r="L371" s="1" t="str">
        <f t="shared" si="1"/>
        <v>ELIGIBLE</v>
      </c>
    </row>
    <row r="372" spans="1:12" x14ac:dyDescent="0.3">
      <c r="A372" s="1" t="s">
        <v>48</v>
      </c>
      <c r="B372" s="1" t="s">
        <v>38</v>
      </c>
      <c r="C372" s="1" t="s">
        <v>18</v>
      </c>
      <c r="D372" s="1" t="s">
        <v>19</v>
      </c>
      <c r="E372" s="1">
        <v>19</v>
      </c>
      <c r="F372" s="1">
        <v>1087</v>
      </c>
      <c r="G372" s="1">
        <v>15</v>
      </c>
      <c r="H372" s="2">
        <v>46072</v>
      </c>
      <c r="I372" s="2">
        <v>46082</v>
      </c>
      <c r="J372" s="1" t="s">
        <v>20</v>
      </c>
      <c r="K372" s="1">
        <v>1371</v>
      </c>
      <c r="L372" s="1" t="str">
        <f t="shared" si="1"/>
        <v>ELIGIBLE</v>
      </c>
    </row>
    <row r="373" spans="1:12" x14ac:dyDescent="0.3">
      <c r="A373" s="1" t="s">
        <v>48</v>
      </c>
      <c r="B373" s="1" t="s">
        <v>17</v>
      </c>
      <c r="C373" s="1" t="s">
        <v>34</v>
      </c>
      <c r="D373" s="1" t="s">
        <v>39</v>
      </c>
      <c r="E373" s="1">
        <v>9</v>
      </c>
      <c r="F373" s="1">
        <v>9551</v>
      </c>
      <c r="G373" s="1">
        <v>10</v>
      </c>
      <c r="H373" s="2">
        <v>46161</v>
      </c>
      <c r="I373" s="2">
        <v>46168</v>
      </c>
      <c r="J373" s="1" t="s">
        <v>15</v>
      </c>
      <c r="K373" s="1">
        <v>1372</v>
      </c>
      <c r="L373" s="1" t="str">
        <f t="shared" si="1"/>
        <v>NOT ELIGIBLE</v>
      </c>
    </row>
    <row r="374" spans="1:12" x14ac:dyDescent="0.3">
      <c r="A374" s="1" t="s">
        <v>54</v>
      </c>
      <c r="B374" s="1" t="s">
        <v>25</v>
      </c>
      <c r="C374" s="1" t="s">
        <v>34</v>
      </c>
      <c r="D374" s="1" t="s">
        <v>60</v>
      </c>
      <c r="E374" s="1">
        <v>11</v>
      </c>
      <c r="F374" s="1">
        <v>47930</v>
      </c>
      <c r="G374" s="1">
        <v>12</v>
      </c>
      <c r="H374" s="2">
        <v>46191</v>
      </c>
      <c r="I374" s="2">
        <v>46201</v>
      </c>
      <c r="J374" s="1" t="s">
        <v>20</v>
      </c>
      <c r="K374" s="1">
        <v>1373</v>
      </c>
      <c r="L374" s="1" t="str">
        <f t="shared" si="1"/>
        <v>NOT ELIGIBLE</v>
      </c>
    </row>
    <row r="375" spans="1:12" x14ac:dyDescent="0.3">
      <c r="A375" s="1" t="s">
        <v>57</v>
      </c>
      <c r="B375" s="1" t="s">
        <v>33</v>
      </c>
      <c r="C375" s="1" t="s">
        <v>34</v>
      </c>
      <c r="D375" s="1" t="s">
        <v>35</v>
      </c>
      <c r="E375" s="1">
        <v>12</v>
      </c>
      <c r="F375" s="1">
        <v>66052</v>
      </c>
      <c r="G375" s="1">
        <v>2</v>
      </c>
      <c r="H375" s="2">
        <v>46063</v>
      </c>
      <c r="I375" s="2">
        <v>46066</v>
      </c>
      <c r="J375" s="1" t="s">
        <v>51</v>
      </c>
      <c r="K375" s="1">
        <v>1374</v>
      </c>
      <c r="L375" s="1" t="str">
        <f t="shared" si="1"/>
        <v>ELIGIBLE</v>
      </c>
    </row>
    <row r="376" spans="1:12" x14ac:dyDescent="0.3">
      <c r="A376" s="1" t="s">
        <v>46</v>
      </c>
      <c r="B376" s="1" t="s">
        <v>43</v>
      </c>
      <c r="C376" s="1" t="s">
        <v>34</v>
      </c>
      <c r="D376" s="1" t="s">
        <v>45</v>
      </c>
      <c r="E376" s="1">
        <v>20</v>
      </c>
      <c r="F376" s="1">
        <v>56766</v>
      </c>
      <c r="G376" s="1">
        <v>0</v>
      </c>
      <c r="H376" s="2">
        <v>46052</v>
      </c>
      <c r="I376" s="2">
        <v>46061</v>
      </c>
      <c r="J376" s="1" t="s">
        <v>24</v>
      </c>
      <c r="K376" s="1">
        <v>1375</v>
      </c>
      <c r="L376" s="1" t="str">
        <f t="shared" si="1"/>
        <v>ELIGIBLE</v>
      </c>
    </row>
    <row r="377" spans="1:12" x14ac:dyDescent="0.3">
      <c r="A377" s="1" t="s">
        <v>52</v>
      </c>
      <c r="B377" s="1" t="s">
        <v>31</v>
      </c>
      <c r="C377" s="1" t="s">
        <v>13</v>
      </c>
      <c r="D377" s="1" t="s">
        <v>50</v>
      </c>
      <c r="E377" s="1">
        <v>20</v>
      </c>
      <c r="F377" s="1">
        <v>429</v>
      </c>
      <c r="G377" s="1">
        <v>5</v>
      </c>
      <c r="H377" s="2">
        <v>46178</v>
      </c>
      <c r="I377" s="2">
        <v>46184</v>
      </c>
      <c r="J377" s="1" t="s">
        <v>20</v>
      </c>
      <c r="K377" s="1">
        <v>1376</v>
      </c>
      <c r="L377" s="1" t="str">
        <f t="shared" si="1"/>
        <v>ELIGIBLE</v>
      </c>
    </row>
    <row r="378" spans="1:12" x14ac:dyDescent="0.3">
      <c r="A378" s="1" t="s">
        <v>32</v>
      </c>
      <c r="B378" s="1" t="s">
        <v>38</v>
      </c>
      <c r="C378" s="1" t="s">
        <v>18</v>
      </c>
      <c r="D378" s="1" t="s">
        <v>19</v>
      </c>
      <c r="E378" s="1">
        <v>3</v>
      </c>
      <c r="F378" s="1">
        <v>5480</v>
      </c>
      <c r="G378" s="1">
        <v>12</v>
      </c>
      <c r="H378" s="2">
        <v>46105</v>
      </c>
      <c r="I378" s="2">
        <v>46111</v>
      </c>
      <c r="J378" s="1" t="s">
        <v>24</v>
      </c>
      <c r="K378" s="1">
        <v>1377</v>
      </c>
      <c r="L378" s="1" t="str">
        <f t="shared" si="1"/>
        <v>ELIGIBLE</v>
      </c>
    </row>
    <row r="379" spans="1:12" x14ac:dyDescent="0.3">
      <c r="A379" s="1" t="s">
        <v>55</v>
      </c>
      <c r="B379" s="1" t="s">
        <v>22</v>
      </c>
      <c r="C379" s="1" t="s">
        <v>34</v>
      </c>
      <c r="D379" s="1" t="s">
        <v>45</v>
      </c>
      <c r="E379" s="1">
        <v>15</v>
      </c>
      <c r="F379" s="1">
        <v>22693</v>
      </c>
      <c r="G379" s="1">
        <v>12</v>
      </c>
      <c r="H379" s="2">
        <v>46074</v>
      </c>
      <c r="I379" s="2">
        <v>46080</v>
      </c>
      <c r="J379" s="1" t="s">
        <v>51</v>
      </c>
      <c r="K379" s="1">
        <v>1378</v>
      </c>
      <c r="L379" s="1" t="str">
        <f t="shared" si="1"/>
        <v>NOT ELIGIBLE</v>
      </c>
    </row>
    <row r="380" spans="1:12" x14ac:dyDescent="0.3">
      <c r="A380" s="1" t="s">
        <v>47</v>
      </c>
      <c r="B380" s="1" t="s">
        <v>17</v>
      </c>
      <c r="C380" s="1" t="s">
        <v>13</v>
      </c>
      <c r="D380" s="1" t="s">
        <v>14</v>
      </c>
      <c r="E380" s="1">
        <v>11</v>
      </c>
      <c r="F380" s="1">
        <v>136</v>
      </c>
      <c r="G380" s="1">
        <v>15</v>
      </c>
      <c r="H380" s="2">
        <v>46106</v>
      </c>
      <c r="I380" s="2">
        <v>46107</v>
      </c>
      <c r="J380" s="1" t="s">
        <v>20</v>
      </c>
      <c r="K380" s="1">
        <v>1379</v>
      </c>
      <c r="L380" s="1" t="str">
        <f t="shared" si="1"/>
        <v>ELIGIBLE</v>
      </c>
    </row>
    <row r="381" spans="1:12" x14ac:dyDescent="0.3">
      <c r="A381" s="1" t="s">
        <v>52</v>
      </c>
      <c r="B381" s="1" t="s">
        <v>43</v>
      </c>
      <c r="C381" s="1" t="s">
        <v>13</v>
      </c>
      <c r="D381" s="1" t="s">
        <v>53</v>
      </c>
      <c r="E381" s="1">
        <v>3</v>
      </c>
      <c r="F381" s="1">
        <v>412</v>
      </c>
      <c r="G381" s="1">
        <v>7</v>
      </c>
      <c r="H381" s="2">
        <v>46128</v>
      </c>
      <c r="I381" s="2">
        <v>46138</v>
      </c>
      <c r="J381" s="1" t="s">
        <v>24</v>
      </c>
      <c r="K381" s="1">
        <v>1380</v>
      </c>
      <c r="L381" s="1" t="str">
        <f t="shared" si="1"/>
        <v>ELIGIBLE</v>
      </c>
    </row>
    <row r="382" spans="1:12" x14ac:dyDescent="0.3">
      <c r="A382" s="1" t="s">
        <v>55</v>
      </c>
      <c r="B382" s="1" t="s">
        <v>33</v>
      </c>
      <c r="C382" s="1" t="s">
        <v>18</v>
      </c>
      <c r="D382" s="1" t="s">
        <v>28</v>
      </c>
      <c r="E382" s="1">
        <v>5</v>
      </c>
      <c r="F382" s="1">
        <v>7484</v>
      </c>
      <c r="G382" s="1">
        <v>2</v>
      </c>
      <c r="H382" s="2">
        <v>46089</v>
      </c>
      <c r="I382" s="2">
        <v>46093</v>
      </c>
      <c r="J382" s="1" t="s">
        <v>20</v>
      </c>
      <c r="K382" s="1">
        <v>1381</v>
      </c>
      <c r="L382" s="1" t="str">
        <f t="shared" si="1"/>
        <v>ELIGIBLE</v>
      </c>
    </row>
    <row r="383" spans="1:12" x14ac:dyDescent="0.3">
      <c r="A383" s="1" t="s">
        <v>49</v>
      </c>
      <c r="B383" s="1" t="s">
        <v>33</v>
      </c>
      <c r="C383" s="1" t="s">
        <v>34</v>
      </c>
      <c r="D383" s="1" t="s">
        <v>60</v>
      </c>
      <c r="E383" s="1">
        <v>11</v>
      </c>
      <c r="F383" s="1">
        <v>36198</v>
      </c>
      <c r="G383" s="1">
        <v>0</v>
      </c>
      <c r="H383" s="2">
        <v>46130</v>
      </c>
      <c r="I383" s="2">
        <v>46134</v>
      </c>
      <c r="J383" s="1" t="s">
        <v>15</v>
      </c>
      <c r="K383" s="1">
        <v>1382</v>
      </c>
      <c r="L383" s="1" t="str">
        <f t="shared" si="1"/>
        <v>ELIGIBLE</v>
      </c>
    </row>
    <row r="384" spans="1:12" x14ac:dyDescent="0.3">
      <c r="A384" s="1" t="s">
        <v>32</v>
      </c>
      <c r="B384" s="1" t="s">
        <v>12</v>
      </c>
      <c r="C384" s="1" t="s">
        <v>13</v>
      </c>
      <c r="D384" s="1" t="s">
        <v>53</v>
      </c>
      <c r="E384" s="1">
        <v>14</v>
      </c>
      <c r="F384" s="1">
        <v>334</v>
      </c>
      <c r="G384" s="1">
        <v>10</v>
      </c>
      <c r="H384" s="2">
        <v>46196</v>
      </c>
      <c r="I384" s="2">
        <v>46203</v>
      </c>
      <c r="J384" s="1" t="s">
        <v>15</v>
      </c>
      <c r="K384" s="1">
        <v>1383</v>
      </c>
      <c r="L384" s="1" t="str">
        <f t="shared" si="1"/>
        <v>ELIGIBLE</v>
      </c>
    </row>
    <row r="385" spans="1:12" x14ac:dyDescent="0.3">
      <c r="A385" s="1" t="s">
        <v>59</v>
      </c>
      <c r="B385" s="1" t="s">
        <v>12</v>
      </c>
      <c r="C385" s="1" t="s">
        <v>34</v>
      </c>
      <c r="D385" s="1" t="s">
        <v>39</v>
      </c>
      <c r="E385" s="1">
        <v>15</v>
      </c>
      <c r="F385" s="1">
        <v>38116</v>
      </c>
      <c r="G385" s="1">
        <v>0</v>
      </c>
      <c r="H385" s="2">
        <v>46074</v>
      </c>
      <c r="I385" s="2">
        <v>46078</v>
      </c>
      <c r="J385" s="1" t="s">
        <v>29</v>
      </c>
      <c r="K385" s="1">
        <v>1384</v>
      </c>
      <c r="L385" s="1" t="str">
        <f t="shared" si="1"/>
        <v>ELIGIBLE</v>
      </c>
    </row>
    <row r="386" spans="1:12" x14ac:dyDescent="0.3">
      <c r="A386" s="1" t="s">
        <v>26</v>
      </c>
      <c r="B386" s="1" t="s">
        <v>33</v>
      </c>
      <c r="C386" s="1" t="s">
        <v>34</v>
      </c>
      <c r="D386" s="1" t="s">
        <v>39</v>
      </c>
      <c r="E386" s="1">
        <v>12</v>
      </c>
      <c r="F386" s="1">
        <v>61360</v>
      </c>
      <c r="G386" s="1">
        <v>10</v>
      </c>
      <c r="H386" s="2">
        <v>46048</v>
      </c>
      <c r="I386" s="2">
        <v>46053</v>
      </c>
      <c r="J386" s="1" t="s">
        <v>51</v>
      </c>
      <c r="K386" s="1">
        <v>1385</v>
      </c>
      <c r="L386" s="1" t="str">
        <f t="shared" si="1"/>
        <v>NOT ELIGIBLE</v>
      </c>
    </row>
    <row r="387" spans="1:12" x14ac:dyDescent="0.3">
      <c r="A387" s="1" t="s">
        <v>27</v>
      </c>
      <c r="B387" s="1" t="s">
        <v>31</v>
      </c>
      <c r="C387" s="1" t="s">
        <v>18</v>
      </c>
      <c r="D387" s="1" t="s">
        <v>28</v>
      </c>
      <c r="E387" s="1">
        <v>9</v>
      </c>
      <c r="F387" s="1">
        <v>7509</v>
      </c>
      <c r="G387" s="1">
        <v>5</v>
      </c>
      <c r="H387" s="2">
        <v>46162</v>
      </c>
      <c r="I387" s="2">
        <v>46171</v>
      </c>
      <c r="J387" s="1" t="s">
        <v>51</v>
      </c>
      <c r="K387" s="1">
        <v>1386</v>
      </c>
      <c r="L387" s="1" t="str">
        <f t="shared" si="1"/>
        <v>ELIGIBLE</v>
      </c>
    </row>
    <row r="388" spans="1:12" x14ac:dyDescent="0.3">
      <c r="A388" s="1" t="s">
        <v>54</v>
      </c>
      <c r="B388" s="1" t="s">
        <v>33</v>
      </c>
      <c r="C388" s="1" t="s">
        <v>34</v>
      </c>
      <c r="D388" s="1" t="s">
        <v>35</v>
      </c>
      <c r="E388" s="1">
        <v>11</v>
      </c>
      <c r="F388" s="1">
        <v>56515</v>
      </c>
      <c r="G388" s="1">
        <v>5</v>
      </c>
      <c r="H388" s="2">
        <v>46102</v>
      </c>
      <c r="I388" s="2">
        <v>46112</v>
      </c>
      <c r="J388" s="1" t="s">
        <v>24</v>
      </c>
      <c r="K388" s="1">
        <v>1387</v>
      </c>
      <c r="L388" s="1" t="str">
        <f t="shared" si="1"/>
        <v>ELIGIBLE</v>
      </c>
    </row>
    <row r="389" spans="1:12" x14ac:dyDescent="0.3">
      <c r="A389" s="1" t="s">
        <v>55</v>
      </c>
      <c r="B389" s="1" t="s">
        <v>31</v>
      </c>
      <c r="C389" s="1" t="s">
        <v>18</v>
      </c>
      <c r="D389" s="1" t="s">
        <v>28</v>
      </c>
      <c r="E389" s="1">
        <v>12</v>
      </c>
      <c r="F389" s="1">
        <v>11662</v>
      </c>
      <c r="G389" s="1">
        <v>12</v>
      </c>
      <c r="H389" s="2">
        <v>46094</v>
      </c>
      <c r="I389" s="2">
        <v>46096</v>
      </c>
      <c r="J389" s="1" t="s">
        <v>20</v>
      </c>
      <c r="K389" s="1">
        <v>1388</v>
      </c>
      <c r="L389" s="1" t="str">
        <f t="shared" si="1"/>
        <v>ELIGIBLE</v>
      </c>
    </row>
    <row r="390" spans="1:12" x14ac:dyDescent="0.3">
      <c r="A390" s="1" t="s">
        <v>32</v>
      </c>
      <c r="B390" s="1" t="s">
        <v>12</v>
      </c>
      <c r="C390" s="1" t="s">
        <v>34</v>
      </c>
      <c r="D390" s="1" t="s">
        <v>41</v>
      </c>
      <c r="E390" s="1">
        <v>3</v>
      </c>
      <c r="F390" s="1">
        <v>56380</v>
      </c>
      <c r="G390" s="1">
        <v>5</v>
      </c>
      <c r="H390" s="2">
        <v>46044</v>
      </c>
      <c r="I390" s="2">
        <v>46048</v>
      </c>
      <c r="J390" s="1" t="s">
        <v>51</v>
      </c>
      <c r="K390" s="1">
        <v>1389</v>
      </c>
      <c r="L390" s="1" t="str">
        <f t="shared" si="1"/>
        <v>ELIGIBLE</v>
      </c>
    </row>
    <row r="391" spans="1:12" x14ac:dyDescent="0.3">
      <c r="A391" s="1" t="s">
        <v>58</v>
      </c>
      <c r="B391" s="1" t="s">
        <v>43</v>
      </c>
      <c r="C391" s="1" t="s">
        <v>18</v>
      </c>
      <c r="D391" s="1" t="s">
        <v>19</v>
      </c>
      <c r="E391" s="1">
        <v>9</v>
      </c>
      <c r="F391" s="1">
        <v>7670</v>
      </c>
      <c r="G391" s="1">
        <v>0</v>
      </c>
      <c r="H391" s="2">
        <v>46076</v>
      </c>
      <c r="I391" s="2">
        <v>46081</v>
      </c>
      <c r="J391" s="1" t="s">
        <v>51</v>
      </c>
      <c r="K391" s="1">
        <v>1390</v>
      </c>
      <c r="L391" s="1" t="str">
        <f t="shared" si="1"/>
        <v>ELIGIBLE</v>
      </c>
    </row>
    <row r="392" spans="1:12" x14ac:dyDescent="0.3">
      <c r="A392" s="1" t="s">
        <v>30</v>
      </c>
      <c r="B392" s="1" t="s">
        <v>31</v>
      </c>
      <c r="C392" s="1" t="s">
        <v>34</v>
      </c>
      <c r="D392" s="1" t="s">
        <v>35</v>
      </c>
      <c r="E392" s="1">
        <v>5</v>
      </c>
      <c r="F392" s="1">
        <v>65270</v>
      </c>
      <c r="G392" s="1">
        <v>5</v>
      </c>
      <c r="H392" s="2">
        <v>46100</v>
      </c>
      <c r="I392" s="2">
        <v>46103</v>
      </c>
      <c r="J392" s="1" t="s">
        <v>24</v>
      </c>
      <c r="K392" s="1">
        <v>1391</v>
      </c>
      <c r="L392" s="1" t="str">
        <f t="shared" si="1"/>
        <v>ELIGIBLE</v>
      </c>
    </row>
    <row r="393" spans="1:12" x14ac:dyDescent="0.3">
      <c r="A393" s="1" t="s">
        <v>29</v>
      </c>
      <c r="B393" s="1" t="s">
        <v>43</v>
      </c>
      <c r="C393" s="1" t="s">
        <v>34</v>
      </c>
      <c r="D393" s="1" t="s">
        <v>35</v>
      </c>
      <c r="E393" s="1">
        <v>13</v>
      </c>
      <c r="F393" s="1">
        <v>23903</v>
      </c>
      <c r="G393" s="1">
        <v>5</v>
      </c>
      <c r="H393" s="2">
        <v>46124</v>
      </c>
      <c r="I393" s="2">
        <v>46125</v>
      </c>
      <c r="J393" s="1" t="s">
        <v>29</v>
      </c>
      <c r="K393" s="1">
        <v>1392</v>
      </c>
      <c r="L393" s="1" t="str">
        <f t="shared" si="1"/>
        <v>ELIGIBLE</v>
      </c>
    </row>
    <row r="394" spans="1:12" x14ac:dyDescent="0.3">
      <c r="A394" s="1" t="s">
        <v>30</v>
      </c>
      <c r="B394" s="1" t="s">
        <v>25</v>
      </c>
      <c r="C394" s="1" t="s">
        <v>34</v>
      </c>
      <c r="D394" s="1" t="s">
        <v>45</v>
      </c>
      <c r="E394" s="1">
        <v>17</v>
      </c>
      <c r="F394" s="1">
        <v>30351</v>
      </c>
      <c r="G394" s="1">
        <v>15</v>
      </c>
      <c r="H394" s="2">
        <v>46047</v>
      </c>
      <c r="I394" s="2">
        <v>46051</v>
      </c>
      <c r="J394" s="1" t="s">
        <v>51</v>
      </c>
      <c r="K394" s="1">
        <v>1393</v>
      </c>
      <c r="L394" s="1" t="str">
        <f t="shared" si="1"/>
        <v>NOT ELIGIBLE</v>
      </c>
    </row>
    <row r="395" spans="1:12" x14ac:dyDescent="0.3">
      <c r="A395" s="1" t="s">
        <v>54</v>
      </c>
      <c r="B395" s="1" t="s">
        <v>12</v>
      </c>
      <c r="C395" s="1" t="s">
        <v>13</v>
      </c>
      <c r="D395" s="1" t="s">
        <v>14</v>
      </c>
      <c r="E395" s="1">
        <v>10</v>
      </c>
      <c r="F395" s="1">
        <v>138</v>
      </c>
      <c r="G395" s="1">
        <v>2</v>
      </c>
      <c r="H395" s="2">
        <v>46056</v>
      </c>
      <c r="I395" s="2">
        <v>46057</v>
      </c>
      <c r="J395" s="1" t="s">
        <v>15</v>
      </c>
      <c r="K395" s="1">
        <v>1394</v>
      </c>
      <c r="L395" s="1" t="str">
        <f t="shared" si="1"/>
        <v>ELIGIBLE</v>
      </c>
    </row>
    <row r="396" spans="1:12" x14ac:dyDescent="0.3">
      <c r="A396" s="1" t="s">
        <v>54</v>
      </c>
      <c r="B396" s="1" t="s">
        <v>33</v>
      </c>
      <c r="C396" s="1" t="s">
        <v>18</v>
      </c>
      <c r="D396" s="1" t="s">
        <v>44</v>
      </c>
      <c r="E396" s="1">
        <v>18</v>
      </c>
      <c r="F396" s="1">
        <v>10402</v>
      </c>
      <c r="G396" s="1">
        <v>15</v>
      </c>
      <c r="H396" s="2">
        <v>46062</v>
      </c>
      <c r="I396" s="2">
        <v>46067</v>
      </c>
      <c r="J396" s="1" t="s">
        <v>29</v>
      </c>
      <c r="K396" s="1">
        <v>1395</v>
      </c>
      <c r="L396" s="1" t="str">
        <f t="shared" si="1"/>
        <v>ELIGIBLE</v>
      </c>
    </row>
    <row r="397" spans="1:12" x14ac:dyDescent="0.3">
      <c r="A397" s="1" t="s">
        <v>21</v>
      </c>
      <c r="B397" s="1" t="s">
        <v>38</v>
      </c>
      <c r="C397" s="1" t="s">
        <v>13</v>
      </c>
      <c r="D397" s="1" t="s">
        <v>53</v>
      </c>
      <c r="E397" s="1">
        <v>8</v>
      </c>
      <c r="F397" s="1">
        <v>54</v>
      </c>
      <c r="G397" s="1">
        <v>15</v>
      </c>
      <c r="H397" s="2">
        <v>46031</v>
      </c>
      <c r="I397" s="2">
        <v>46035</v>
      </c>
      <c r="J397" s="1" t="s">
        <v>15</v>
      </c>
      <c r="K397" s="1">
        <v>1396</v>
      </c>
      <c r="L397" s="1" t="str">
        <f t="shared" si="1"/>
        <v>ELIGIBLE</v>
      </c>
    </row>
    <row r="398" spans="1:12" x14ac:dyDescent="0.3">
      <c r="A398" s="1" t="s">
        <v>21</v>
      </c>
      <c r="B398" s="1" t="s">
        <v>33</v>
      </c>
      <c r="C398" s="1" t="s">
        <v>18</v>
      </c>
      <c r="D398" s="1" t="s">
        <v>23</v>
      </c>
      <c r="E398" s="1">
        <v>1</v>
      </c>
      <c r="F398" s="1">
        <v>8948</v>
      </c>
      <c r="G398" s="1">
        <v>5</v>
      </c>
      <c r="H398" s="2">
        <v>46194</v>
      </c>
      <c r="I398" s="2">
        <v>46201</v>
      </c>
      <c r="J398" s="1" t="s">
        <v>51</v>
      </c>
      <c r="K398" s="1">
        <v>1397</v>
      </c>
      <c r="L398" s="1" t="str">
        <f t="shared" si="1"/>
        <v>ELIGIBLE</v>
      </c>
    </row>
    <row r="399" spans="1:12" x14ac:dyDescent="0.3">
      <c r="A399" s="1" t="s">
        <v>58</v>
      </c>
      <c r="B399" s="1" t="s">
        <v>43</v>
      </c>
      <c r="C399" s="1" t="s">
        <v>34</v>
      </c>
      <c r="D399" s="1" t="s">
        <v>39</v>
      </c>
      <c r="E399" s="1">
        <v>12</v>
      </c>
      <c r="F399" s="1">
        <v>10668</v>
      </c>
      <c r="G399" s="1">
        <v>0</v>
      </c>
      <c r="H399" s="2">
        <v>46170</v>
      </c>
      <c r="I399" s="2">
        <v>46176</v>
      </c>
      <c r="J399" s="1" t="s">
        <v>15</v>
      </c>
      <c r="K399" s="1">
        <v>1398</v>
      </c>
      <c r="L399" s="1" t="str">
        <f t="shared" si="1"/>
        <v>ELIGIBLE</v>
      </c>
    </row>
    <row r="400" spans="1:12" x14ac:dyDescent="0.3">
      <c r="A400" s="1" t="s">
        <v>48</v>
      </c>
      <c r="B400" s="1" t="s">
        <v>31</v>
      </c>
      <c r="C400" s="1" t="s">
        <v>13</v>
      </c>
      <c r="D400" s="1" t="s">
        <v>14</v>
      </c>
      <c r="E400" s="1">
        <v>15</v>
      </c>
      <c r="F400" s="1">
        <v>87</v>
      </c>
      <c r="G400" s="1">
        <v>15</v>
      </c>
      <c r="H400" s="2">
        <v>46089</v>
      </c>
      <c r="I400" s="2">
        <v>46093</v>
      </c>
      <c r="J400" s="1" t="s">
        <v>20</v>
      </c>
      <c r="K400" s="1">
        <v>1399</v>
      </c>
      <c r="L400" s="1" t="str">
        <f t="shared" si="1"/>
        <v>ELIGIBLE</v>
      </c>
    </row>
    <row r="401" spans="1:12" x14ac:dyDescent="0.3">
      <c r="A401" s="1" t="s">
        <v>40</v>
      </c>
      <c r="B401" s="1" t="s">
        <v>22</v>
      </c>
      <c r="C401" s="1" t="s">
        <v>34</v>
      </c>
      <c r="D401" s="1" t="s">
        <v>35</v>
      </c>
      <c r="E401" s="1">
        <v>13</v>
      </c>
      <c r="F401" s="1">
        <v>52411</v>
      </c>
      <c r="G401" s="1">
        <v>15</v>
      </c>
      <c r="H401" s="2">
        <v>46090</v>
      </c>
      <c r="I401" s="2">
        <v>46092</v>
      </c>
      <c r="J401" s="1" t="s">
        <v>20</v>
      </c>
      <c r="K401" s="1">
        <v>1400</v>
      </c>
      <c r="L401" s="1" t="str">
        <f t="shared" si="1"/>
        <v>NOT ELIGIBLE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L401"/>
  <sheetViews>
    <sheetView workbookViewId="0"/>
  </sheetViews>
  <sheetFormatPr defaultColWidth="14.44140625" defaultRowHeight="15" customHeight="1" x14ac:dyDescent="0.3"/>
  <sheetData>
    <row r="1" spans="1:12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0</v>
      </c>
      <c r="L1" s="1" t="s">
        <v>69</v>
      </c>
    </row>
    <row r="2" spans="1:12" x14ac:dyDescent="0.3">
      <c r="A2" s="1" t="s">
        <v>11</v>
      </c>
      <c r="B2" s="1" t="s">
        <v>12</v>
      </c>
      <c r="C2" s="1" t="s">
        <v>13</v>
      </c>
      <c r="D2" s="1" t="s">
        <v>14</v>
      </c>
      <c r="E2" s="1">
        <v>3</v>
      </c>
      <c r="F2" s="1">
        <v>222</v>
      </c>
      <c r="G2" s="1">
        <v>15</v>
      </c>
      <c r="H2" s="2">
        <v>46081</v>
      </c>
      <c r="I2" s="2">
        <v>46083</v>
      </c>
      <c r="J2" s="1" t="s">
        <v>15</v>
      </c>
      <c r="K2" s="1">
        <v>1001</v>
      </c>
      <c r="L2" s="1" t="str">
        <f t="shared" ref="L2:L256" si="0">IF(OR(B2="MUMBAI",E2&gt;=15),"PRIORITY","NORMAL")</f>
        <v>NORMAL</v>
      </c>
    </row>
    <row r="3" spans="1:12" x14ac:dyDescent="0.3">
      <c r="A3" s="1" t="s">
        <v>16</v>
      </c>
      <c r="B3" s="1" t="s">
        <v>17</v>
      </c>
      <c r="C3" s="1" t="s">
        <v>18</v>
      </c>
      <c r="D3" s="1" t="s">
        <v>19</v>
      </c>
      <c r="E3" s="1">
        <v>7</v>
      </c>
      <c r="F3" s="1">
        <v>8448</v>
      </c>
      <c r="G3" s="1">
        <v>12</v>
      </c>
      <c r="H3" s="2">
        <v>46174</v>
      </c>
      <c r="I3" s="2">
        <v>46179</v>
      </c>
      <c r="J3" s="1" t="s">
        <v>20</v>
      </c>
      <c r="K3" s="1">
        <v>1002</v>
      </c>
      <c r="L3" s="1" t="str">
        <f t="shared" si="0"/>
        <v>NORMAL</v>
      </c>
    </row>
    <row r="4" spans="1:12" x14ac:dyDescent="0.3">
      <c r="A4" s="1" t="s">
        <v>21</v>
      </c>
      <c r="B4" s="1" t="s">
        <v>22</v>
      </c>
      <c r="C4" s="1" t="s">
        <v>18</v>
      </c>
      <c r="D4" s="1" t="s">
        <v>23</v>
      </c>
      <c r="E4" s="1">
        <v>20</v>
      </c>
      <c r="F4" s="1">
        <v>2123</v>
      </c>
      <c r="G4" s="1">
        <v>15</v>
      </c>
      <c r="H4" s="2">
        <v>46183</v>
      </c>
      <c r="I4" s="2">
        <v>46192</v>
      </c>
      <c r="J4" s="1" t="s">
        <v>24</v>
      </c>
      <c r="K4" s="1">
        <v>1003</v>
      </c>
      <c r="L4" s="1" t="str">
        <f t="shared" si="0"/>
        <v>PRIORITY</v>
      </c>
    </row>
    <row r="5" spans="1:12" x14ac:dyDescent="0.3">
      <c r="A5" s="1" t="s">
        <v>16</v>
      </c>
      <c r="B5" s="1" t="s">
        <v>25</v>
      </c>
      <c r="C5" s="1" t="s">
        <v>18</v>
      </c>
      <c r="D5" s="1" t="s">
        <v>23</v>
      </c>
      <c r="E5" s="1">
        <v>16</v>
      </c>
      <c r="F5" s="1">
        <v>11739</v>
      </c>
      <c r="G5" s="1">
        <v>12</v>
      </c>
      <c r="H5" s="2">
        <v>46034</v>
      </c>
      <c r="I5" s="2">
        <v>46040</v>
      </c>
      <c r="J5" s="1" t="s">
        <v>20</v>
      </c>
      <c r="K5" s="1">
        <v>1004</v>
      </c>
      <c r="L5" s="1" t="str">
        <f t="shared" si="0"/>
        <v>PRIORITY</v>
      </c>
    </row>
    <row r="6" spans="1:12" x14ac:dyDescent="0.3">
      <c r="A6" s="1" t="s">
        <v>26</v>
      </c>
      <c r="B6" s="1" t="s">
        <v>17</v>
      </c>
      <c r="C6" s="1" t="s">
        <v>13</v>
      </c>
      <c r="D6" s="1" t="s">
        <v>14</v>
      </c>
      <c r="E6" s="1">
        <v>18</v>
      </c>
      <c r="F6" s="1">
        <v>70</v>
      </c>
      <c r="G6" s="1">
        <v>0</v>
      </c>
      <c r="H6" s="2">
        <v>46171</v>
      </c>
      <c r="I6" s="2">
        <v>46179</v>
      </c>
      <c r="J6" s="1" t="s">
        <v>24</v>
      </c>
      <c r="K6" s="1">
        <v>1005</v>
      </c>
      <c r="L6" s="1" t="str">
        <f t="shared" si="0"/>
        <v>PRIORITY</v>
      </c>
    </row>
    <row r="7" spans="1:12" x14ac:dyDescent="0.3">
      <c r="A7" s="1" t="s">
        <v>27</v>
      </c>
      <c r="B7" s="1" t="s">
        <v>25</v>
      </c>
      <c r="C7" s="1" t="s">
        <v>18</v>
      </c>
      <c r="D7" s="1" t="s">
        <v>28</v>
      </c>
      <c r="E7" s="1">
        <v>3</v>
      </c>
      <c r="F7" s="1">
        <v>2714</v>
      </c>
      <c r="G7" s="1">
        <v>5</v>
      </c>
      <c r="H7" s="2">
        <v>46055</v>
      </c>
      <c r="I7" s="2">
        <v>46062</v>
      </c>
      <c r="J7" s="1" t="s">
        <v>29</v>
      </c>
      <c r="K7" s="1">
        <v>1006</v>
      </c>
      <c r="L7" s="1" t="str">
        <f t="shared" si="0"/>
        <v>NORMAL</v>
      </c>
    </row>
    <row r="8" spans="1:12" x14ac:dyDescent="0.3">
      <c r="A8" s="1" t="s">
        <v>21</v>
      </c>
      <c r="B8" s="1" t="s">
        <v>22</v>
      </c>
      <c r="C8" s="1" t="s">
        <v>13</v>
      </c>
      <c r="D8" s="1" t="s">
        <v>14</v>
      </c>
      <c r="E8" s="1">
        <v>19</v>
      </c>
      <c r="F8" s="1">
        <v>149</v>
      </c>
      <c r="G8" s="1">
        <v>7</v>
      </c>
      <c r="H8" s="2">
        <v>46162</v>
      </c>
      <c r="I8" s="2">
        <v>46168</v>
      </c>
      <c r="J8" s="1" t="s">
        <v>24</v>
      </c>
      <c r="K8" s="1">
        <v>1007</v>
      </c>
      <c r="L8" s="1" t="str">
        <f t="shared" si="0"/>
        <v>PRIORITY</v>
      </c>
    </row>
    <row r="9" spans="1:12" x14ac:dyDescent="0.3">
      <c r="A9" s="1" t="s">
        <v>30</v>
      </c>
      <c r="B9" s="1" t="s">
        <v>31</v>
      </c>
      <c r="C9" s="1" t="s">
        <v>18</v>
      </c>
      <c r="D9" s="1" t="s">
        <v>28</v>
      </c>
      <c r="E9" s="1">
        <v>1</v>
      </c>
      <c r="F9" s="1">
        <v>1134</v>
      </c>
      <c r="G9" s="1">
        <v>0</v>
      </c>
      <c r="H9" s="2">
        <v>46033</v>
      </c>
      <c r="I9" s="2">
        <v>46041</v>
      </c>
      <c r="J9" s="1" t="s">
        <v>24</v>
      </c>
      <c r="K9" s="1">
        <v>1008</v>
      </c>
      <c r="L9" s="1" t="str">
        <f t="shared" si="0"/>
        <v>NORMAL</v>
      </c>
    </row>
    <row r="10" spans="1:12" x14ac:dyDescent="0.3">
      <c r="A10" s="1" t="s">
        <v>32</v>
      </c>
      <c r="B10" s="1" t="s">
        <v>33</v>
      </c>
      <c r="C10" s="1" t="s">
        <v>34</v>
      </c>
      <c r="D10" s="1" t="s">
        <v>35</v>
      </c>
      <c r="E10" s="1">
        <v>10</v>
      </c>
      <c r="F10" s="1">
        <v>40671</v>
      </c>
      <c r="G10" s="1">
        <v>12</v>
      </c>
      <c r="H10" s="2">
        <v>46183</v>
      </c>
      <c r="I10" s="2">
        <v>46193</v>
      </c>
      <c r="J10" s="1" t="s">
        <v>24</v>
      </c>
      <c r="K10" s="1">
        <v>1009</v>
      </c>
      <c r="L10" s="1" t="str">
        <f t="shared" si="0"/>
        <v>NORMAL</v>
      </c>
    </row>
    <row r="11" spans="1:12" x14ac:dyDescent="0.3">
      <c r="A11" s="1" t="s">
        <v>11</v>
      </c>
      <c r="B11" s="1" t="s">
        <v>17</v>
      </c>
      <c r="C11" s="1" t="s">
        <v>13</v>
      </c>
      <c r="D11" s="1" t="s">
        <v>36</v>
      </c>
      <c r="E11" s="1">
        <v>14</v>
      </c>
      <c r="F11" s="1">
        <v>470</v>
      </c>
      <c r="G11" s="1">
        <v>5</v>
      </c>
      <c r="H11" s="2">
        <v>46062</v>
      </c>
      <c r="I11" s="2">
        <v>46068</v>
      </c>
      <c r="J11" s="1" t="s">
        <v>15</v>
      </c>
      <c r="K11" s="1">
        <v>1010</v>
      </c>
      <c r="L11" s="1" t="str">
        <f t="shared" si="0"/>
        <v>NORMAL</v>
      </c>
    </row>
    <row r="12" spans="1:12" x14ac:dyDescent="0.3">
      <c r="A12" s="1" t="s">
        <v>11</v>
      </c>
      <c r="B12" s="1" t="s">
        <v>17</v>
      </c>
      <c r="C12" s="1" t="s">
        <v>13</v>
      </c>
      <c r="D12" s="1" t="s">
        <v>37</v>
      </c>
      <c r="E12" s="1">
        <v>14</v>
      </c>
      <c r="F12" s="1">
        <v>88</v>
      </c>
      <c r="G12" s="1">
        <v>12</v>
      </c>
      <c r="H12" s="2">
        <v>46161</v>
      </c>
      <c r="I12" s="2">
        <v>46163</v>
      </c>
      <c r="J12" s="1" t="s">
        <v>15</v>
      </c>
      <c r="K12" s="1">
        <v>1011</v>
      </c>
      <c r="L12" s="1" t="str">
        <f t="shared" si="0"/>
        <v>NORMAL</v>
      </c>
    </row>
    <row r="13" spans="1:12" x14ac:dyDescent="0.3">
      <c r="A13" s="1" t="s">
        <v>26</v>
      </c>
      <c r="B13" s="1" t="s">
        <v>38</v>
      </c>
      <c r="C13" s="1" t="s">
        <v>34</v>
      </c>
      <c r="D13" s="1" t="s">
        <v>39</v>
      </c>
      <c r="E13" s="1">
        <v>3</v>
      </c>
      <c r="F13" s="1">
        <v>64615</v>
      </c>
      <c r="G13" s="1">
        <v>10</v>
      </c>
      <c r="H13" s="2">
        <v>46086</v>
      </c>
      <c r="I13" s="2">
        <v>46095</v>
      </c>
      <c r="J13" s="1" t="s">
        <v>29</v>
      </c>
      <c r="K13" s="1">
        <v>1012</v>
      </c>
      <c r="L13" s="1" t="str">
        <f t="shared" si="0"/>
        <v>PRIORITY</v>
      </c>
    </row>
    <row r="14" spans="1:12" x14ac:dyDescent="0.3">
      <c r="A14" s="1" t="s">
        <v>16</v>
      </c>
      <c r="B14" s="1" t="s">
        <v>31</v>
      </c>
      <c r="C14" s="1" t="s">
        <v>13</v>
      </c>
      <c r="D14" s="1" t="s">
        <v>36</v>
      </c>
      <c r="E14" s="1">
        <v>17</v>
      </c>
      <c r="F14" s="1">
        <v>459</v>
      </c>
      <c r="G14" s="1">
        <v>12</v>
      </c>
      <c r="H14" s="2">
        <v>46095</v>
      </c>
      <c r="I14" s="2">
        <v>46105</v>
      </c>
      <c r="J14" s="1" t="s">
        <v>29</v>
      </c>
      <c r="K14" s="1">
        <v>1013</v>
      </c>
      <c r="L14" s="1" t="str">
        <f t="shared" si="0"/>
        <v>PRIORITY</v>
      </c>
    </row>
    <row r="15" spans="1:12" x14ac:dyDescent="0.3">
      <c r="A15" s="1" t="s">
        <v>40</v>
      </c>
      <c r="B15" s="1" t="s">
        <v>17</v>
      </c>
      <c r="C15" s="1" t="s">
        <v>34</v>
      </c>
      <c r="D15" s="1" t="s">
        <v>41</v>
      </c>
      <c r="E15" s="1">
        <v>19</v>
      </c>
      <c r="F15" s="1">
        <v>53683</v>
      </c>
      <c r="G15" s="1">
        <v>12</v>
      </c>
      <c r="H15" s="2">
        <v>46129</v>
      </c>
      <c r="I15" s="2">
        <v>46134</v>
      </c>
      <c r="J15" s="1" t="s">
        <v>29</v>
      </c>
      <c r="K15" s="1">
        <v>1014</v>
      </c>
      <c r="L15" s="1" t="str">
        <f t="shared" si="0"/>
        <v>PRIORITY</v>
      </c>
    </row>
    <row r="16" spans="1:12" x14ac:dyDescent="0.3">
      <c r="A16" s="1" t="s">
        <v>42</v>
      </c>
      <c r="B16" s="1" t="s">
        <v>43</v>
      </c>
      <c r="C16" s="1" t="s">
        <v>18</v>
      </c>
      <c r="D16" s="1" t="s">
        <v>44</v>
      </c>
      <c r="E16" s="1">
        <v>11</v>
      </c>
      <c r="F16" s="1">
        <v>14511</v>
      </c>
      <c r="G16" s="1">
        <v>2</v>
      </c>
      <c r="H16" s="2">
        <v>46175</v>
      </c>
      <c r="I16" s="2">
        <v>46185</v>
      </c>
      <c r="J16" s="1" t="s">
        <v>20</v>
      </c>
      <c r="K16" s="1">
        <v>1015</v>
      </c>
      <c r="L16" s="1" t="str">
        <f t="shared" si="0"/>
        <v>NORMAL</v>
      </c>
    </row>
    <row r="17" spans="1:12" x14ac:dyDescent="0.3">
      <c r="A17" s="1" t="s">
        <v>32</v>
      </c>
      <c r="B17" s="1" t="s">
        <v>33</v>
      </c>
      <c r="C17" s="1" t="s">
        <v>34</v>
      </c>
      <c r="D17" s="1" t="s">
        <v>45</v>
      </c>
      <c r="E17" s="1">
        <v>16</v>
      </c>
      <c r="F17" s="1">
        <v>30234</v>
      </c>
      <c r="G17" s="1">
        <v>15</v>
      </c>
      <c r="H17" s="2">
        <v>46137</v>
      </c>
      <c r="I17" s="2">
        <v>46140</v>
      </c>
      <c r="J17" s="1" t="s">
        <v>24</v>
      </c>
      <c r="K17" s="1">
        <v>1016</v>
      </c>
      <c r="L17" s="1" t="str">
        <f t="shared" si="0"/>
        <v>PRIORITY</v>
      </c>
    </row>
    <row r="18" spans="1:12" x14ac:dyDescent="0.3">
      <c r="A18" s="1" t="s">
        <v>46</v>
      </c>
      <c r="B18" s="1" t="s">
        <v>38</v>
      </c>
      <c r="C18" s="1" t="s">
        <v>13</v>
      </c>
      <c r="D18" s="1" t="s">
        <v>36</v>
      </c>
      <c r="E18" s="1">
        <v>8</v>
      </c>
      <c r="F18" s="1">
        <v>179</v>
      </c>
      <c r="G18" s="1">
        <v>15</v>
      </c>
      <c r="H18" s="2">
        <v>46082</v>
      </c>
      <c r="I18" s="2">
        <v>46084</v>
      </c>
      <c r="J18" s="1" t="s">
        <v>15</v>
      </c>
      <c r="K18" s="1">
        <v>1017</v>
      </c>
      <c r="L18" s="1" t="str">
        <f t="shared" si="0"/>
        <v>PRIORITY</v>
      </c>
    </row>
    <row r="19" spans="1:12" x14ac:dyDescent="0.3">
      <c r="A19" s="1" t="s">
        <v>47</v>
      </c>
      <c r="B19" s="1" t="s">
        <v>25</v>
      </c>
      <c r="C19" s="1" t="s">
        <v>13</v>
      </c>
      <c r="D19" s="1" t="s">
        <v>14</v>
      </c>
      <c r="E19" s="1">
        <v>20</v>
      </c>
      <c r="F19" s="1">
        <v>301</v>
      </c>
      <c r="G19" s="1">
        <v>0</v>
      </c>
      <c r="H19" s="2">
        <v>46089</v>
      </c>
      <c r="I19" s="2">
        <v>46094</v>
      </c>
      <c r="J19" s="1" t="s">
        <v>29</v>
      </c>
      <c r="K19" s="1">
        <v>1018</v>
      </c>
      <c r="L19" s="1" t="str">
        <f t="shared" si="0"/>
        <v>PRIORITY</v>
      </c>
    </row>
    <row r="20" spans="1:12" x14ac:dyDescent="0.3">
      <c r="A20" s="1" t="s">
        <v>11</v>
      </c>
      <c r="B20" s="1" t="s">
        <v>43</v>
      </c>
      <c r="C20" s="1" t="s">
        <v>34</v>
      </c>
      <c r="D20" s="1" t="s">
        <v>41</v>
      </c>
      <c r="E20" s="1">
        <v>18</v>
      </c>
      <c r="F20" s="1">
        <v>45652</v>
      </c>
      <c r="G20" s="1">
        <v>10</v>
      </c>
      <c r="H20" s="2">
        <v>46023</v>
      </c>
      <c r="I20" s="2">
        <v>46030</v>
      </c>
      <c r="J20" s="1" t="s">
        <v>20</v>
      </c>
      <c r="K20" s="1">
        <v>1019</v>
      </c>
      <c r="L20" s="1" t="str">
        <f t="shared" si="0"/>
        <v>PRIORITY</v>
      </c>
    </row>
    <row r="21" spans="1:12" x14ac:dyDescent="0.3">
      <c r="A21" s="1" t="s">
        <v>46</v>
      </c>
      <c r="B21" s="1" t="s">
        <v>12</v>
      </c>
      <c r="C21" s="1" t="s">
        <v>18</v>
      </c>
      <c r="D21" s="1" t="s">
        <v>19</v>
      </c>
      <c r="E21" s="1">
        <v>5</v>
      </c>
      <c r="F21" s="1">
        <v>4582</v>
      </c>
      <c r="G21" s="1">
        <v>5</v>
      </c>
      <c r="H21" s="2">
        <v>46078</v>
      </c>
      <c r="I21" s="2">
        <v>46083</v>
      </c>
      <c r="J21" s="1" t="s">
        <v>15</v>
      </c>
      <c r="K21" s="1">
        <v>1020</v>
      </c>
      <c r="L21" s="1" t="str">
        <f t="shared" si="0"/>
        <v>NORMAL</v>
      </c>
    </row>
    <row r="22" spans="1:12" x14ac:dyDescent="0.3">
      <c r="A22" s="1" t="s">
        <v>48</v>
      </c>
      <c r="B22" s="1" t="s">
        <v>43</v>
      </c>
      <c r="C22" s="1" t="s">
        <v>13</v>
      </c>
      <c r="D22" s="1" t="s">
        <v>14</v>
      </c>
      <c r="E22" s="1">
        <v>3</v>
      </c>
      <c r="F22" s="1">
        <v>484</v>
      </c>
      <c r="G22" s="1">
        <v>2</v>
      </c>
      <c r="H22" s="2">
        <v>46144</v>
      </c>
      <c r="I22" s="2">
        <v>46148</v>
      </c>
      <c r="J22" s="1" t="s">
        <v>24</v>
      </c>
      <c r="K22" s="1">
        <v>1021</v>
      </c>
      <c r="L22" s="1" t="str">
        <f t="shared" si="0"/>
        <v>NORMAL</v>
      </c>
    </row>
    <row r="23" spans="1:12" x14ac:dyDescent="0.3">
      <c r="A23" s="1" t="s">
        <v>26</v>
      </c>
      <c r="B23" s="1" t="s">
        <v>17</v>
      </c>
      <c r="C23" s="1" t="s">
        <v>34</v>
      </c>
      <c r="D23" s="1" t="s">
        <v>45</v>
      </c>
      <c r="E23" s="1">
        <v>15</v>
      </c>
      <c r="F23" s="1">
        <v>11596</v>
      </c>
      <c r="G23" s="1">
        <v>0</v>
      </c>
      <c r="H23" s="2">
        <v>46117</v>
      </c>
      <c r="I23" s="2">
        <v>46121</v>
      </c>
      <c r="J23" s="1" t="s">
        <v>29</v>
      </c>
      <c r="K23" s="1">
        <v>1022</v>
      </c>
      <c r="L23" s="1" t="str">
        <f t="shared" si="0"/>
        <v>PRIORITY</v>
      </c>
    </row>
    <row r="24" spans="1:12" x14ac:dyDescent="0.3">
      <c r="A24" s="1" t="s">
        <v>40</v>
      </c>
      <c r="B24" s="1" t="s">
        <v>12</v>
      </c>
      <c r="C24" s="1" t="s">
        <v>18</v>
      </c>
      <c r="D24" s="1" t="s">
        <v>44</v>
      </c>
      <c r="E24" s="1">
        <v>15</v>
      </c>
      <c r="F24" s="1">
        <v>3506</v>
      </c>
      <c r="G24" s="1">
        <v>2</v>
      </c>
      <c r="H24" s="2">
        <v>46193</v>
      </c>
      <c r="I24" s="2">
        <v>46194</v>
      </c>
      <c r="J24" s="1" t="s">
        <v>29</v>
      </c>
      <c r="K24" s="1">
        <v>1023</v>
      </c>
      <c r="L24" s="1" t="str">
        <f t="shared" si="0"/>
        <v>PRIORITY</v>
      </c>
    </row>
    <row r="25" spans="1:12" x14ac:dyDescent="0.3">
      <c r="A25" s="1" t="s">
        <v>32</v>
      </c>
      <c r="B25" s="1" t="s">
        <v>38</v>
      </c>
      <c r="C25" s="1" t="s">
        <v>34</v>
      </c>
      <c r="D25" s="1" t="s">
        <v>41</v>
      </c>
      <c r="E25" s="1">
        <v>12</v>
      </c>
      <c r="F25" s="1">
        <v>1682</v>
      </c>
      <c r="G25" s="1">
        <v>5</v>
      </c>
      <c r="H25" s="2">
        <v>46161</v>
      </c>
      <c r="I25" s="2">
        <v>46165</v>
      </c>
      <c r="J25" s="1" t="s">
        <v>15</v>
      </c>
      <c r="K25" s="1">
        <v>1024</v>
      </c>
      <c r="L25" s="1" t="str">
        <f t="shared" si="0"/>
        <v>PRIORITY</v>
      </c>
    </row>
    <row r="26" spans="1:12" x14ac:dyDescent="0.3">
      <c r="A26" s="1" t="s">
        <v>21</v>
      </c>
      <c r="B26" s="1" t="s">
        <v>12</v>
      </c>
      <c r="C26" s="1" t="s">
        <v>18</v>
      </c>
      <c r="D26" s="1" t="s">
        <v>19</v>
      </c>
      <c r="E26" s="1">
        <v>18</v>
      </c>
      <c r="F26" s="1">
        <v>7924</v>
      </c>
      <c r="G26" s="1">
        <v>0</v>
      </c>
      <c r="H26" s="2">
        <v>46175</v>
      </c>
      <c r="I26" s="2">
        <v>46181</v>
      </c>
      <c r="J26" s="1" t="s">
        <v>15</v>
      </c>
      <c r="K26" s="1">
        <v>1025</v>
      </c>
      <c r="L26" s="1" t="str">
        <f t="shared" si="0"/>
        <v>PRIORITY</v>
      </c>
    </row>
    <row r="27" spans="1:12" x14ac:dyDescent="0.3">
      <c r="A27" s="1" t="s">
        <v>49</v>
      </c>
      <c r="B27" s="1" t="s">
        <v>31</v>
      </c>
      <c r="C27" s="1" t="s">
        <v>13</v>
      </c>
      <c r="D27" s="1" t="s">
        <v>50</v>
      </c>
      <c r="E27" s="1">
        <v>17</v>
      </c>
      <c r="F27" s="1">
        <v>323</v>
      </c>
      <c r="G27" s="1">
        <v>10</v>
      </c>
      <c r="H27" s="2">
        <v>46039</v>
      </c>
      <c r="I27" s="2">
        <v>46040</v>
      </c>
      <c r="J27" s="1" t="s">
        <v>29</v>
      </c>
      <c r="K27" s="1">
        <v>1026</v>
      </c>
      <c r="L27" s="1" t="str">
        <f t="shared" si="0"/>
        <v>PRIORITY</v>
      </c>
    </row>
    <row r="28" spans="1:12" x14ac:dyDescent="0.3">
      <c r="A28" s="1" t="s">
        <v>29</v>
      </c>
      <c r="B28" s="1" t="s">
        <v>43</v>
      </c>
      <c r="C28" s="1" t="s">
        <v>13</v>
      </c>
      <c r="D28" s="1" t="s">
        <v>50</v>
      </c>
      <c r="E28" s="1">
        <v>4</v>
      </c>
      <c r="F28" s="1">
        <v>264</v>
      </c>
      <c r="G28" s="1">
        <v>0</v>
      </c>
      <c r="H28" s="2">
        <v>46155</v>
      </c>
      <c r="I28" s="2">
        <v>46161</v>
      </c>
      <c r="J28" s="1" t="s">
        <v>51</v>
      </c>
      <c r="K28" s="1">
        <v>1027</v>
      </c>
      <c r="L28" s="1" t="str">
        <f t="shared" si="0"/>
        <v>NORMAL</v>
      </c>
    </row>
    <row r="29" spans="1:12" x14ac:dyDescent="0.3">
      <c r="A29" s="1" t="s">
        <v>47</v>
      </c>
      <c r="B29" s="1" t="s">
        <v>22</v>
      </c>
      <c r="C29" s="1" t="s">
        <v>13</v>
      </c>
      <c r="D29" s="1" t="s">
        <v>36</v>
      </c>
      <c r="E29" s="1">
        <v>13</v>
      </c>
      <c r="F29" s="1">
        <v>433</v>
      </c>
      <c r="G29" s="1">
        <v>2</v>
      </c>
      <c r="H29" s="2">
        <v>46116</v>
      </c>
      <c r="I29" s="2">
        <v>46121</v>
      </c>
      <c r="J29" s="1" t="s">
        <v>24</v>
      </c>
      <c r="K29" s="1">
        <v>1028</v>
      </c>
      <c r="L29" s="1" t="str">
        <f t="shared" si="0"/>
        <v>NORMAL</v>
      </c>
    </row>
    <row r="30" spans="1:12" x14ac:dyDescent="0.3">
      <c r="A30" s="1" t="s">
        <v>30</v>
      </c>
      <c r="B30" s="1" t="s">
        <v>25</v>
      </c>
      <c r="C30" s="1" t="s">
        <v>13</v>
      </c>
      <c r="D30" s="1" t="s">
        <v>36</v>
      </c>
      <c r="E30" s="1">
        <v>18</v>
      </c>
      <c r="F30" s="1">
        <v>443</v>
      </c>
      <c r="G30" s="1">
        <v>5</v>
      </c>
      <c r="H30" s="2">
        <v>46046</v>
      </c>
      <c r="I30" s="2">
        <v>46054</v>
      </c>
      <c r="J30" s="1" t="s">
        <v>24</v>
      </c>
      <c r="K30" s="1">
        <v>1029</v>
      </c>
      <c r="L30" s="1" t="str">
        <f t="shared" si="0"/>
        <v>PRIORITY</v>
      </c>
    </row>
    <row r="31" spans="1:12" x14ac:dyDescent="0.3">
      <c r="A31" s="1" t="s">
        <v>52</v>
      </c>
      <c r="B31" s="1" t="s">
        <v>12</v>
      </c>
      <c r="C31" s="1" t="s">
        <v>13</v>
      </c>
      <c r="D31" s="1" t="s">
        <v>53</v>
      </c>
      <c r="E31" s="1">
        <v>13</v>
      </c>
      <c r="F31" s="1">
        <v>336</v>
      </c>
      <c r="G31" s="1">
        <v>10</v>
      </c>
      <c r="H31" s="2">
        <v>46098</v>
      </c>
      <c r="I31" s="2">
        <v>46108</v>
      </c>
      <c r="J31" s="1" t="s">
        <v>15</v>
      </c>
      <c r="K31" s="1">
        <v>1030</v>
      </c>
      <c r="L31" s="1" t="str">
        <f t="shared" si="0"/>
        <v>NORMAL</v>
      </c>
    </row>
    <row r="32" spans="1:12" x14ac:dyDescent="0.3">
      <c r="A32" s="1" t="s">
        <v>54</v>
      </c>
      <c r="B32" s="1" t="s">
        <v>31</v>
      </c>
      <c r="C32" s="1" t="s">
        <v>13</v>
      </c>
      <c r="D32" s="1" t="s">
        <v>53</v>
      </c>
      <c r="E32" s="1">
        <v>2</v>
      </c>
      <c r="F32" s="1">
        <v>184</v>
      </c>
      <c r="G32" s="1">
        <v>5</v>
      </c>
      <c r="H32" s="2">
        <v>46089</v>
      </c>
      <c r="I32" s="2">
        <v>46093</v>
      </c>
      <c r="J32" s="1" t="s">
        <v>20</v>
      </c>
      <c r="K32" s="1">
        <v>1031</v>
      </c>
      <c r="L32" s="1" t="str">
        <f t="shared" si="0"/>
        <v>NORMAL</v>
      </c>
    </row>
    <row r="33" spans="1:12" x14ac:dyDescent="0.3">
      <c r="A33" s="1" t="s">
        <v>54</v>
      </c>
      <c r="B33" s="1" t="s">
        <v>43</v>
      </c>
      <c r="C33" s="1" t="s">
        <v>34</v>
      </c>
      <c r="D33" s="1" t="s">
        <v>39</v>
      </c>
      <c r="E33" s="1">
        <v>20</v>
      </c>
      <c r="F33" s="1">
        <v>11305</v>
      </c>
      <c r="G33" s="1">
        <v>2</v>
      </c>
      <c r="H33" s="2">
        <v>46163</v>
      </c>
      <c r="I33" s="2">
        <v>46165</v>
      </c>
      <c r="J33" s="1" t="s">
        <v>29</v>
      </c>
      <c r="K33" s="1">
        <v>1032</v>
      </c>
      <c r="L33" s="1" t="str">
        <f t="shared" si="0"/>
        <v>PRIORITY</v>
      </c>
    </row>
    <row r="34" spans="1:12" x14ac:dyDescent="0.3">
      <c r="A34" s="1" t="s">
        <v>11</v>
      </c>
      <c r="B34" s="1" t="s">
        <v>43</v>
      </c>
      <c r="C34" s="1" t="s">
        <v>18</v>
      </c>
      <c r="D34" s="1" t="s">
        <v>19</v>
      </c>
      <c r="E34" s="1">
        <v>9</v>
      </c>
      <c r="F34" s="1">
        <v>4895</v>
      </c>
      <c r="G34" s="1">
        <v>2</v>
      </c>
      <c r="H34" s="2">
        <v>46082</v>
      </c>
      <c r="I34" s="2">
        <v>46084</v>
      </c>
      <c r="J34" s="1" t="s">
        <v>29</v>
      </c>
      <c r="K34" s="1">
        <v>1033</v>
      </c>
      <c r="L34" s="1" t="str">
        <f t="shared" si="0"/>
        <v>NORMAL</v>
      </c>
    </row>
    <row r="35" spans="1:12" x14ac:dyDescent="0.3">
      <c r="A35" s="1" t="s">
        <v>55</v>
      </c>
      <c r="B35" s="1" t="s">
        <v>33</v>
      </c>
      <c r="C35" s="1" t="s">
        <v>18</v>
      </c>
      <c r="D35" s="1" t="s">
        <v>28</v>
      </c>
      <c r="E35" s="1">
        <v>17</v>
      </c>
      <c r="F35" s="1">
        <v>5104</v>
      </c>
      <c r="G35" s="1">
        <v>12</v>
      </c>
      <c r="H35" s="2">
        <v>46052</v>
      </c>
      <c r="I35" s="2">
        <v>46061</v>
      </c>
      <c r="J35" s="1" t="s">
        <v>51</v>
      </c>
      <c r="K35" s="1">
        <v>1034</v>
      </c>
      <c r="L35" s="1" t="str">
        <f t="shared" si="0"/>
        <v>PRIORITY</v>
      </c>
    </row>
    <row r="36" spans="1:12" x14ac:dyDescent="0.3">
      <c r="A36" s="1" t="s">
        <v>49</v>
      </c>
      <c r="B36" s="1" t="s">
        <v>43</v>
      </c>
      <c r="C36" s="1" t="s">
        <v>18</v>
      </c>
      <c r="D36" s="1" t="s">
        <v>56</v>
      </c>
      <c r="E36" s="1">
        <v>3</v>
      </c>
      <c r="F36" s="1">
        <v>9149</v>
      </c>
      <c r="G36" s="1">
        <v>0</v>
      </c>
      <c r="H36" s="2">
        <v>46031</v>
      </c>
      <c r="I36" s="2">
        <v>46034</v>
      </c>
      <c r="J36" s="1" t="s">
        <v>24</v>
      </c>
      <c r="K36" s="1">
        <v>1035</v>
      </c>
      <c r="L36" s="1" t="str">
        <f t="shared" si="0"/>
        <v>NORMAL</v>
      </c>
    </row>
    <row r="37" spans="1:12" x14ac:dyDescent="0.3">
      <c r="A37" s="1" t="s">
        <v>11</v>
      </c>
      <c r="B37" s="1" t="s">
        <v>25</v>
      </c>
      <c r="C37" s="1" t="s">
        <v>13</v>
      </c>
      <c r="D37" s="1" t="s">
        <v>36</v>
      </c>
      <c r="E37" s="1">
        <v>20</v>
      </c>
      <c r="F37" s="1">
        <v>161</v>
      </c>
      <c r="G37" s="1">
        <v>7</v>
      </c>
      <c r="H37" s="2">
        <v>46071</v>
      </c>
      <c r="I37" s="2">
        <v>46077</v>
      </c>
      <c r="J37" s="1" t="s">
        <v>24</v>
      </c>
      <c r="K37" s="1">
        <v>1036</v>
      </c>
      <c r="L37" s="1" t="str">
        <f t="shared" si="0"/>
        <v>PRIORITY</v>
      </c>
    </row>
    <row r="38" spans="1:12" x14ac:dyDescent="0.3">
      <c r="A38" s="1" t="s">
        <v>46</v>
      </c>
      <c r="B38" s="1" t="s">
        <v>43</v>
      </c>
      <c r="C38" s="1" t="s">
        <v>18</v>
      </c>
      <c r="D38" s="1" t="s">
        <v>56</v>
      </c>
      <c r="E38" s="1">
        <v>6</v>
      </c>
      <c r="F38" s="1">
        <v>14385</v>
      </c>
      <c r="G38" s="1">
        <v>12</v>
      </c>
      <c r="H38" s="2">
        <v>46033</v>
      </c>
      <c r="I38" s="2">
        <v>46043</v>
      </c>
      <c r="J38" s="1" t="s">
        <v>24</v>
      </c>
      <c r="K38" s="1">
        <v>1037</v>
      </c>
      <c r="L38" s="1" t="str">
        <f t="shared" si="0"/>
        <v>NORMAL</v>
      </c>
    </row>
    <row r="39" spans="1:12" x14ac:dyDescent="0.3">
      <c r="A39" s="1" t="s">
        <v>55</v>
      </c>
      <c r="B39" s="1" t="s">
        <v>17</v>
      </c>
      <c r="C39" s="1" t="s">
        <v>13</v>
      </c>
      <c r="D39" s="1" t="s">
        <v>36</v>
      </c>
      <c r="E39" s="1">
        <v>17</v>
      </c>
      <c r="F39" s="1">
        <v>223</v>
      </c>
      <c r="G39" s="1">
        <v>7</v>
      </c>
      <c r="H39" s="2">
        <v>46030</v>
      </c>
      <c r="I39" s="2">
        <v>46031</v>
      </c>
      <c r="J39" s="1" t="s">
        <v>51</v>
      </c>
      <c r="K39" s="1">
        <v>1038</v>
      </c>
      <c r="L39" s="1" t="str">
        <f t="shared" si="0"/>
        <v>PRIORITY</v>
      </c>
    </row>
    <row r="40" spans="1:12" x14ac:dyDescent="0.3">
      <c r="A40" s="1" t="s">
        <v>48</v>
      </c>
      <c r="B40" s="1" t="s">
        <v>38</v>
      </c>
      <c r="C40" s="1" t="s">
        <v>34</v>
      </c>
      <c r="D40" s="1" t="s">
        <v>45</v>
      </c>
      <c r="E40" s="1">
        <v>5</v>
      </c>
      <c r="F40" s="1">
        <v>60236</v>
      </c>
      <c r="G40" s="1">
        <v>10</v>
      </c>
      <c r="H40" s="2">
        <v>46107</v>
      </c>
      <c r="I40" s="2">
        <v>46110</v>
      </c>
      <c r="J40" s="1" t="s">
        <v>20</v>
      </c>
      <c r="K40" s="1">
        <v>1039</v>
      </c>
      <c r="L40" s="1" t="str">
        <f t="shared" si="0"/>
        <v>PRIORITY</v>
      </c>
    </row>
    <row r="41" spans="1:12" x14ac:dyDescent="0.3">
      <c r="A41" s="1" t="s">
        <v>49</v>
      </c>
      <c r="B41" s="1" t="s">
        <v>38</v>
      </c>
      <c r="C41" s="1" t="s">
        <v>18</v>
      </c>
      <c r="D41" s="1" t="s">
        <v>28</v>
      </c>
      <c r="E41" s="1">
        <v>10</v>
      </c>
      <c r="F41" s="1">
        <v>7531</v>
      </c>
      <c r="G41" s="1">
        <v>2</v>
      </c>
      <c r="H41" s="2">
        <v>46171</v>
      </c>
      <c r="I41" s="2">
        <v>46178</v>
      </c>
      <c r="J41" s="1" t="s">
        <v>24</v>
      </c>
      <c r="K41" s="1">
        <v>1040</v>
      </c>
      <c r="L41" s="1" t="str">
        <f t="shared" si="0"/>
        <v>PRIORITY</v>
      </c>
    </row>
    <row r="42" spans="1:12" x14ac:dyDescent="0.3">
      <c r="A42" s="1" t="s">
        <v>54</v>
      </c>
      <c r="B42" s="1" t="s">
        <v>38</v>
      </c>
      <c r="C42" s="1" t="s">
        <v>13</v>
      </c>
      <c r="D42" s="1" t="s">
        <v>50</v>
      </c>
      <c r="E42" s="1">
        <v>9</v>
      </c>
      <c r="F42" s="1">
        <v>71</v>
      </c>
      <c r="G42" s="1">
        <v>7</v>
      </c>
      <c r="H42" s="2">
        <v>46185</v>
      </c>
      <c r="I42" s="2">
        <v>46188</v>
      </c>
      <c r="J42" s="1" t="s">
        <v>15</v>
      </c>
      <c r="K42" s="1">
        <v>1041</v>
      </c>
      <c r="L42" s="1" t="str">
        <f t="shared" si="0"/>
        <v>PRIORITY</v>
      </c>
    </row>
    <row r="43" spans="1:12" x14ac:dyDescent="0.3">
      <c r="A43" s="1" t="s">
        <v>46</v>
      </c>
      <c r="B43" s="1" t="s">
        <v>33</v>
      </c>
      <c r="C43" s="1" t="s">
        <v>13</v>
      </c>
      <c r="D43" s="1" t="s">
        <v>53</v>
      </c>
      <c r="E43" s="1">
        <v>16</v>
      </c>
      <c r="F43" s="1">
        <v>232</v>
      </c>
      <c r="G43" s="1">
        <v>0</v>
      </c>
      <c r="H43" s="2">
        <v>46081</v>
      </c>
      <c r="I43" s="2">
        <v>46088</v>
      </c>
      <c r="J43" s="1" t="s">
        <v>29</v>
      </c>
      <c r="K43" s="1">
        <v>1042</v>
      </c>
      <c r="L43" s="1" t="str">
        <f t="shared" si="0"/>
        <v>PRIORITY</v>
      </c>
    </row>
    <row r="44" spans="1:12" x14ac:dyDescent="0.3">
      <c r="A44" s="1" t="s">
        <v>49</v>
      </c>
      <c r="B44" s="1" t="s">
        <v>38</v>
      </c>
      <c r="C44" s="1" t="s">
        <v>34</v>
      </c>
      <c r="D44" s="1" t="s">
        <v>35</v>
      </c>
      <c r="E44" s="1">
        <v>20</v>
      </c>
      <c r="F44" s="1">
        <v>46093</v>
      </c>
      <c r="G44" s="1">
        <v>5</v>
      </c>
      <c r="H44" s="2">
        <v>46091</v>
      </c>
      <c r="I44" s="2">
        <v>46098</v>
      </c>
      <c r="J44" s="1" t="s">
        <v>29</v>
      </c>
      <c r="K44" s="1">
        <v>1043</v>
      </c>
      <c r="L44" s="1" t="str">
        <f t="shared" si="0"/>
        <v>PRIORITY</v>
      </c>
    </row>
    <row r="45" spans="1:12" x14ac:dyDescent="0.3">
      <c r="A45" s="1" t="s">
        <v>48</v>
      </c>
      <c r="B45" s="1" t="s">
        <v>38</v>
      </c>
      <c r="C45" s="1" t="s">
        <v>18</v>
      </c>
      <c r="D45" s="1" t="s">
        <v>19</v>
      </c>
      <c r="E45" s="1">
        <v>4</v>
      </c>
      <c r="F45" s="1">
        <v>14731</v>
      </c>
      <c r="G45" s="1">
        <v>2</v>
      </c>
      <c r="H45" s="2">
        <v>46173</v>
      </c>
      <c r="I45" s="2">
        <v>46176</v>
      </c>
      <c r="J45" s="1" t="s">
        <v>20</v>
      </c>
      <c r="K45" s="1">
        <v>1044</v>
      </c>
      <c r="L45" s="1" t="str">
        <f t="shared" si="0"/>
        <v>PRIORITY</v>
      </c>
    </row>
    <row r="46" spans="1:12" x14ac:dyDescent="0.3">
      <c r="A46" s="1" t="s">
        <v>32</v>
      </c>
      <c r="B46" s="1" t="s">
        <v>38</v>
      </c>
      <c r="C46" s="1" t="s">
        <v>34</v>
      </c>
      <c r="D46" s="1" t="s">
        <v>35</v>
      </c>
      <c r="E46" s="1">
        <v>3</v>
      </c>
      <c r="F46" s="1">
        <v>62762</v>
      </c>
      <c r="G46" s="1">
        <v>7</v>
      </c>
      <c r="H46" s="2">
        <v>46038</v>
      </c>
      <c r="I46" s="2">
        <v>46039</v>
      </c>
      <c r="J46" s="1" t="s">
        <v>29</v>
      </c>
      <c r="K46" s="1">
        <v>1045</v>
      </c>
      <c r="L46" s="1" t="str">
        <f t="shared" si="0"/>
        <v>PRIORITY</v>
      </c>
    </row>
    <row r="47" spans="1:12" x14ac:dyDescent="0.3">
      <c r="A47" s="1" t="s">
        <v>57</v>
      </c>
      <c r="B47" s="1" t="s">
        <v>38</v>
      </c>
      <c r="C47" s="1" t="s">
        <v>34</v>
      </c>
      <c r="D47" s="1" t="s">
        <v>45</v>
      </c>
      <c r="E47" s="1">
        <v>3</v>
      </c>
      <c r="F47" s="1">
        <v>19443</v>
      </c>
      <c r="G47" s="1">
        <v>10</v>
      </c>
      <c r="H47" s="2">
        <v>46153</v>
      </c>
      <c r="I47" s="2">
        <v>46158</v>
      </c>
      <c r="J47" s="1" t="s">
        <v>29</v>
      </c>
      <c r="K47" s="1">
        <v>1046</v>
      </c>
      <c r="L47" s="1" t="str">
        <f t="shared" si="0"/>
        <v>PRIORITY</v>
      </c>
    </row>
    <row r="48" spans="1:12" x14ac:dyDescent="0.3">
      <c r="A48" s="1" t="s">
        <v>58</v>
      </c>
      <c r="B48" s="1" t="s">
        <v>38</v>
      </c>
      <c r="C48" s="1" t="s">
        <v>18</v>
      </c>
      <c r="D48" s="1" t="s">
        <v>56</v>
      </c>
      <c r="E48" s="1">
        <v>11</v>
      </c>
      <c r="F48" s="1">
        <v>9976</v>
      </c>
      <c r="G48" s="1">
        <v>12</v>
      </c>
      <c r="H48" s="2">
        <v>46200</v>
      </c>
      <c r="I48" s="2">
        <v>46209</v>
      </c>
      <c r="J48" s="1" t="s">
        <v>15</v>
      </c>
      <c r="K48" s="1">
        <v>1047</v>
      </c>
      <c r="L48" s="1" t="str">
        <f t="shared" si="0"/>
        <v>PRIORITY</v>
      </c>
    </row>
    <row r="49" spans="1:12" x14ac:dyDescent="0.3">
      <c r="A49" s="1" t="s">
        <v>59</v>
      </c>
      <c r="B49" s="1" t="s">
        <v>25</v>
      </c>
      <c r="C49" s="1" t="s">
        <v>34</v>
      </c>
      <c r="D49" s="1" t="s">
        <v>60</v>
      </c>
      <c r="E49" s="1">
        <v>14</v>
      </c>
      <c r="F49" s="1">
        <v>11762</v>
      </c>
      <c r="G49" s="1">
        <v>7</v>
      </c>
      <c r="H49" s="2">
        <v>46180</v>
      </c>
      <c r="I49" s="2">
        <v>46186</v>
      </c>
      <c r="J49" s="1" t="s">
        <v>24</v>
      </c>
      <c r="K49" s="1">
        <v>1048</v>
      </c>
      <c r="L49" s="1" t="str">
        <f t="shared" si="0"/>
        <v>NORMAL</v>
      </c>
    </row>
    <row r="50" spans="1:12" x14ac:dyDescent="0.3">
      <c r="A50" s="1" t="s">
        <v>52</v>
      </c>
      <c r="B50" s="1" t="s">
        <v>25</v>
      </c>
      <c r="C50" s="1" t="s">
        <v>34</v>
      </c>
      <c r="D50" s="1" t="s">
        <v>45</v>
      </c>
      <c r="E50" s="1">
        <v>2</v>
      </c>
      <c r="F50" s="1">
        <v>40789</v>
      </c>
      <c r="G50" s="1">
        <v>0</v>
      </c>
      <c r="H50" s="2">
        <v>46102</v>
      </c>
      <c r="I50" s="2">
        <v>46108</v>
      </c>
      <c r="J50" s="1" t="s">
        <v>24</v>
      </c>
      <c r="K50" s="1">
        <v>1049</v>
      </c>
      <c r="L50" s="1" t="str">
        <f t="shared" si="0"/>
        <v>NORMAL</v>
      </c>
    </row>
    <row r="51" spans="1:12" x14ac:dyDescent="0.3">
      <c r="A51" s="1" t="s">
        <v>32</v>
      </c>
      <c r="B51" s="1" t="s">
        <v>25</v>
      </c>
      <c r="C51" s="1" t="s">
        <v>13</v>
      </c>
      <c r="D51" s="1" t="s">
        <v>53</v>
      </c>
      <c r="E51" s="1">
        <v>12</v>
      </c>
      <c r="F51" s="1">
        <v>360</v>
      </c>
      <c r="G51" s="1">
        <v>5</v>
      </c>
      <c r="H51" s="2">
        <v>46127</v>
      </c>
      <c r="I51" s="2">
        <v>46137</v>
      </c>
      <c r="J51" s="1" t="s">
        <v>29</v>
      </c>
      <c r="K51" s="1">
        <v>1050</v>
      </c>
      <c r="L51" s="1" t="str">
        <f t="shared" si="0"/>
        <v>NORMAL</v>
      </c>
    </row>
    <row r="52" spans="1:12" x14ac:dyDescent="0.3">
      <c r="A52" s="1" t="s">
        <v>58</v>
      </c>
      <c r="B52" s="1" t="s">
        <v>17</v>
      </c>
      <c r="C52" s="1" t="s">
        <v>13</v>
      </c>
      <c r="D52" s="1" t="s">
        <v>36</v>
      </c>
      <c r="E52" s="1">
        <v>12</v>
      </c>
      <c r="F52" s="1">
        <v>47</v>
      </c>
      <c r="G52" s="1">
        <v>2</v>
      </c>
      <c r="H52" s="2">
        <v>46037</v>
      </c>
      <c r="I52" s="2">
        <v>46045</v>
      </c>
      <c r="J52" s="1" t="s">
        <v>15</v>
      </c>
      <c r="K52" s="1">
        <v>1051</v>
      </c>
      <c r="L52" s="1" t="str">
        <f t="shared" si="0"/>
        <v>NORMAL</v>
      </c>
    </row>
    <row r="53" spans="1:12" x14ac:dyDescent="0.3">
      <c r="A53" s="1" t="s">
        <v>55</v>
      </c>
      <c r="B53" s="1" t="s">
        <v>12</v>
      </c>
      <c r="C53" s="1" t="s">
        <v>13</v>
      </c>
      <c r="D53" s="1" t="s">
        <v>14</v>
      </c>
      <c r="E53" s="1">
        <v>17</v>
      </c>
      <c r="F53" s="1">
        <v>172</v>
      </c>
      <c r="G53" s="1">
        <v>10</v>
      </c>
      <c r="H53" s="2">
        <v>46159</v>
      </c>
      <c r="I53" s="2">
        <v>46165</v>
      </c>
      <c r="J53" s="1" t="s">
        <v>20</v>
      </c>
      <c r="K53" s="1">
        <v>1052</v>
      </c>
      <c r="L53" s="1" t="str">
        <f t="shared" si="0"/>
        <v>PRIORITY</v>
      </c>
    </row>
    <row r="54" spans="1:12" x14ac:dyDescent="0.3">
      <c r="A54" s="1" t="s">
        <v>16</v>
      </c>
      <c r="B54" s="1" t="s">
        <v>33</v>
      </c>
      <c r="C54" s="1" t="s">
        <v>18</v>
      </c>
      <c r="D54" s="1" t="s">
        <v>28</v>
      </c>
      <c r="E54" s="1">
        <v>1</v>
      </c>
      <c r="F54" s="1">
        <v>9749</v>
      </c>
      <c r="G54" s="1">
        <v>15</v>
      </c>
      <c r="H54" s="2">
        <v>46064</v>
      </c>
      <c r="I54" s="2">
        <v>46070</v>
      </c>
      <c r="J54" s="1" t="s">
        <v>24</v>
      </c>
      <c r="K54" s="1">
        <v>1053</v>
      </c>
      <c r="L54" s="1" t="str">
        <f t="shared" si="0"/>
        <v>NORMAL</v>
      </c>
    </row>
    <row r="55" spans="1:12" x14ac:dyDescent="0.3">
      <c r="A55" s="1" t="s">
        <v>26</v>
      </c>
      <c r="B55" s="1" t="s">
        <v>25</v>
      </c>
      <c r="C55" s="1" t="s">
        <v>18</v>
      </c>
      <c r="D55" s="1" t="s">
        <v>23</v>
      </c>
      <c r="E55" s="1">
        <v>8</v>
      </c>
      <c r="F55" s="1">
        <v>9798</v>
      </c>
      <c r="G55" s="1">
        <v>12</v>
      </c>
      <c r="H55" s="2">
        <v>46200</v>
      </c>
      <c r="I55" s="2">
        <v>46201</v>
      </c>
      <c r="J55" s="1" t="s">
        <v>51</v>
      </c>
      <c r="K55" s="1">
        <v>1054</v>
      </c>
      <c r="L55" s="1" t="str">
        <f t="shared" si="0"/>
        <v>NORMAL</v>
      </c>
    </row>
    <row r="56" spans="1:12" x14ac:dyDescent="0.3">
      <c r="A56" s="1" t="s">
        <v>48</v>
      </c>
      <c r="B56" s="1" t="s">
        <v>12</v>
      </c>
      <c r="C56" s="1" t="s">
        <v>13</v>
      </c>
      <c r="D56" s="1" t="s">
        <v>37</v>
      </c>
      <c r="E56" s="1">
        <v>18</v>
      </c>
      <c r="F56" s="1">
        <v>185</v>
      </c>
      <c r="G56" s="1">
        <v>15</v>
      </c>
      <c r="H56" s="2">
        <v>46077</v>
      </c>
      <c r="I56" s="2">
        <v>46078</v>
      </c>
      <c r="J56" s="1" t="s">
        <v>15</v>
      </c>
      <c r="K56" s="1">
        <v>1055</v>
      </c>
      <c r="L56" s="1" t="str">
        <f t="shared" si="0"/>
        <v>PRIORITY</v>
      </c>
    </row>
    <row r="57" spans="1:12" x14ac:dyDescent="0.3">
      <c r="A57" s="1" t="s">
        <v>11</v>
      </c>
      <c r="B57" s="1" t="s">
        <v>22</v>
      </c>
      <c r="C57" s="1" t="s">
        <v>18</v>
      </c>
      <c r="D57" s="1" t="s">
        <v>19</v>
      </c>
      <c r="E57" s="1">
        <v>3</v>
      </c>
      <c r="F57" s="1">
        <v>9771</v>
      </c>
      <c r="G57" s="1">
        <v>5</v>
      </c>
      <c r="H57" s="2">
        <v>46133</v>
      </c>
      <c r="I57" s="2">
        <v>46139</v>
      </c>
      <c r="J57" s="1" t="s">
        <v>24</v>
      </c>
      <c r="K57" s="1">
        <v>1056</v>
      </c>
      <c r="L57" s="1" t="str">
        <f t="shared" si="0"/>
        <v>NORMAL</v>
      </c>
    </row>
    <row r="58" spans="1:12" x14ac:dyDescent="0.3">
      <c r="A58" s="1" t="s">
        <v>59</v>
      </c>
      <c r="B58" s="1" t="s">
        <v>22</v>
      </c>
      <c r="C58" s="1" t="s">
        <v>18</v>
      </c>
      <c r="D58" s="1" t="s">
        <v>28</v>
      </c>
      <c r="E58" s="1">
        <v>2</v>
      </c>
      <c r="F58" s="1">
        <v>9531</v>
      </c>
      <c r="G58" s="1">
        <v>15</v>
      </c>
      <c r="H58" s="2">
        <v>46067</v>
      </c>
      <c r="I58" s="2">
        <v>46076</v>
      </c>
      <c r="J58" s="1" t="s">
        <v>51</v>
      </c>
      <c r="K58" s="1">
        <v>1057</v>
      </c>
      <c r="L58" s="1" t="str">
        <f t="shared" si="0"/>
        <v>NORMAL</v>
      </c>
    </row>
    <row r="59" spans="1:12" x14ac:dyDescent="0.3">
      <c r="A59" s="1" t="s">
        <v>52</v>
      </c>
      <c r="B59" s="1" t="s">
        <v>38</v>
      </c>
      <c r="C59" s="1" t="s">
        <v>18</v>
      </c>
      <c r="D59" s="1" t="s">
        <v>28</v>
      </c>
      <c r="E59" s="1">
        <v>10</v>
      </c>
      <c r="F59" s="1">
        <v>5532</v>
      </c>
      <c r="G59" s="1">
        <v>7</v>
      </c>
      <c r="H59" s="2">
        <v>46074</v>
      </c>
      <c r="I59" s="2">
        <v>46084</v>
      </c>
      <c r="J59" s="1" t="s">
        <v>24</v>
      </c>
      <c r="K59" s="1">
        <v>1058</v>
      </c>
      <c r="L59" s="1" t="str">
        <f t="shared" si="0"/>
        <v>PRIORITY</v>
      </c>
    </row>
    <row r="60" spans="1:12" x14ac:dyDescent="0.3">
      <c r="A60" s="1" t="s">
        <v>54</v>
      </c>
      <c r="B60" s="1" t="s">
        <v>25</v>
      </c>
      <c r="C60" s="1" t="s">
        <v>13</v>
      </c>
      <c r="D60" s="1" t="s">
        <v>50</v>
      </c>
      <c r="E60" s="1">
        <v>20</v>
      </c>
      <c r="F60" s="1">
        <v>112</v>
      </c>
      <c r="G60" s="1">
        <v>10</v>
      </c>
      <c r="H60" s="2">
        <v>46113</v>
      </c>
      <c r="I60" s="2">
        <v>46122</v>
      </c>
      <c r="J60" s="1" t="s">
        <v>51</v>
      </c>
      <c r="K60" s="1">
        <v>1059</v>
      </c>
      <c r="L60" s="1" t="str">
        <f t="shared" si="0"/>
        <v>PRIORITY</v>
      </c>
    </row>
    <row r="61" spans="1:12" x14ac:dyDescent="0.3">
      <c r="A61" s="1" t="s">
        <v>49</v>
      </c>
      <c r="B61" s="1" t="s">
        <v>12</v>
      </c>
      <c r="C61" s="1" t="s">
        <v>18</v>
      </c>
      <c r="D61" s="1" t="s">
        <v>44</v>
      </c>
      <c r="E61" s="1">
        <v>9</v>
      </c>
      <c r="F61" s="1">
        <v>9727</v>
      </c>
      <c r="G61" s="1">
        <v>2</v>
      </c>
      <c r="H61" s="2">
        <v>46024</v>
      </c>
      <c r="I61" s="2">
        <v>46030</v>
      </c>
      <c r="J61" s="1" t="s">
        <v>20</v>
      </c>
      <c r="K61" s="1">
        <v>1060</v>
      </c>
      <c r="L61" s="1" t="str">
        <f t="shared" si="0"/>
        <v>NORMAL</v>
      </c>
    </row>
    <row r="62" spans="1:12" x14ac:dyDescent="0.3">
      <c r="A62" s="1" t="s">
        <v>57</v>
      </c>
      <c r="B62" s="1" t="s">
        <v>12</v>
      </c>
      <c r="C62" s="1" t="s">
        <v>34</v>
      </c>
      <c r="D62" s="1" t="s">
        <v>41</v>
      </c>
      <c r="E62" s="1">
        <v>16</v>
      </c>
      <c r="F62" s="1">
        <v>59084</v>
      </c>
      <c r="G62" s="1">
        <v>0</v>
      </c>
      <c r="H62" s="2">
        <v>46060</v>
      </c>
      <c r="I62" s="2">
        <v>46069</v>
      </c>
      <c r="J62" s="1" t="s">
        <v>20</v>
      </c>
      <c r="K62" s="1">
        <v>1061</v>
      </c>
      <c r="L62" s="1" t="str">
        <f t="shared" si="0"/>
        <v>PRIORITY</v>
      </c>
    </row>
    <row r="63" spans="1:12" x14ac:dyDescent="0.3">
      <c r="A63" s="1" t="s">
        <v>40</v>
      </c>
      <c r="B63" s="1" t="s">
        <v>43</v>
      </c>
      <c r="C63" s="1" t="s">
        <v>18</v>
      </c>
      <c r="D63" s="1" t="s">
        <v>23</v>
      </c>
      <c r="E63" s="1">
        <v>8</v>
      </c>
      <c r="F63" s="1">
        <v>8360</v>
      </c>
      <c r="G63" s="1">
        <v>2</v>
      </c>
      <c r="H63" s="2">
        <v>46190</v>
      </c>
      <c r="I63" s="2">
        <v>46200</v>
      </c>
      <c r="J63" s="1" t="s">
        <v>51</v>
      </c>
      <c r="K63" s="1">
        <v>1062</v>
      </c>
      <c r="L63" s="1" t="str">
        <f t="shared" si="0"/>
        <v>NORMAL</v>
      </c>
    </row>
    <row r="64" spans="1:12" x14ac:dyDescent="0.3">
      <c r="A64" s="1" t="s">
        <v>54</v>
      </c>
      <c r="B64" s="1" t="s">
        <v>22</v>
      </c>
      <c r="C64" s="1" t="s">
        <v>34</v>
      </c>
      <c r="D64" s="1" t="s">
        <v>45</v>
      </c>
      <c r="E64" s="1">
        <v>7</v>
      </c>
      <c r="F64" s="1">
        <v>66744</v>
      </c>
      <c r="G64" s="1">
        <v>7</v>
      </c>
      <c r="H64" s="2">
        <v>46148</v>
      </c>
      <c r="I64" s="2">
        <v>46155</v>
      </c>
      <c r="J64" s="1" t="s">
        <v>15</v>
      </c>
      <c r="K64" s="1">
        <v>1063</v>
      </c>
      <c r="L64" s="1" t="str">
        <f t="shared" si="0"/>
        <v>NORMAL</v>
      </c>
    </row>
    <row r="65" spans="1:12" x14ac:dyDescent="0.3">
      <c r="A65" s="1" t="s">
        <v>26</v>
      </c>
      <c r="B65" s="1" t="s">
        <v>17</v>
      </c>
      <c r="C65" s="1" t="s">
        <v>13</v>
      </c>
      <c r="D65" s="1" t="s">
        <v>50</v>
      </c>
      <c r="E65" s="1">
        <v>20</v>
      </c>
      <c r="F65" s="1">
        <v>191</v>
      </c>
      <c r="G65" s="1">
        <v>7</v>
      </c>
      <c r="H65" s="2">
        <v>46185</v>
      </c>
      <c r="I65" s="2">
        <v>46195</v>
      </c>
      <c r="J65" s="1" t="s">
        <v>29</v>
      </c>
      <c r="K65" s="1">
        <v>1064</v>
      </c>
      <c r="L65" s="1" t="str">
        <f t="shared" si="0"/>
        <v>PRIORITY</v>
      </c>
    </row>
    <row r="66" spans="1:12" x14ac:dyDescent="0.3">
      <c r="A66" s="1" t="s">
        <v>42</v>
      </c>
      <c r="B66" s="1" t="s">
        <v>43</v>
      </c>
      <c r="C66" s="1" t="s">
        <v>18</v>
      </c>
      <c r="D66" s="1" t="s">
        <v>44</v>
      </c>
      <c r="E66" s="1">
        <v>1</v>
      </c>
      <c r="F66" s="1">
        <v>7730</v>
      </c>
      <c r="G66" s="1">
        <v>5</v>
      </c>
      <c r="H66" s="2">
        <v>46192</v>
      </c>
      <c r="I66" s="2">
        <v>46195</v>
      </c>
      <c r="J66" s="1" t="s">
        <v>51</v>
      </c>
      <c r="K66" s="1">
        <v>1065</v>
      </c>
      <c r="L66" s="1" t="str">
        <f t="shared" si="0"/>
        <v>NORMAL</v>
      </c>
    </row>
    <row r="67" spans="1:12" x14ac:dyDescent="0.3">
      <c r="A67" s="1" t="s">
        <v>47</v>
      </c>
      <c r="B67" s="1" t="s">
        <v>25</v>
      </c>
      <c r="C67" s="1" t="s">
        <v>18</v>
      </c>
      <c r="D67" s="1" t="s">
        <v>44</v>
      </c>
      <c r="E67" s="1">
        <v>15</v>
      </c>
      <c r="F67" s="1">
        <v>11987</v>
      </c>
      <c r="G67" s="1">
        <v>5</v>
      </c>
      <c r="H67" s="2">
        <v>46082</v>
      </c>
      <c r="I67" s="2">
        <v>46083</v>
      </c>
      <c r="J67" s="1" t="s">
        <v>15</v>
      </c>
      <c r="K67" s="1">
        <v>1066</v>
      </c>
      <c r="L67" s="1" t="str">
        <f t="shared" si="0"/>
        <v>PRIORITY</v>
      </c>
    </row>
    <row r="68" spans="1:12" x14ac:dyDescent="0.3">
      <c r="A68" s="1" t="s">
        <v>32</v>
      </c>
      <c r="B68" s="1" t="s">
        <v>43</v>
      </c>
      <c r="C68" s="1" t="s">
        <v>18</v>
      </c>
      <c r="D68" s="1" t="s">
        <v>56</v>
      </c>
      <c r="E68" s="1">
        <v>14</v>
      </c>
      <c r="F68" s="1">
        <v>10869</v>
      </c>
      <c r="G68" s="1">
        <v>0</v>
      </c>
      <c r="H68" s="2">
        <v>46058</v>
      </c>
      <c r="I68" s="2">
        <v>46062</v>
      </c>
      <c r="J68" s="1" t="s">
        <v>29</v>
      </c>
      <c r="K68" s="1">
        <v>1067</v>
      </c>
      <c r="L68" s="1" t="str">
        <f t="shared" si="0"/>
        <v>NORMAL</v>
      </c>
    </row>
    <row r="69" spans="1:12" x14ac:dyDescent="0.3">
      <c r="A69" s="1" t="s">
        <v>52</v>
      </c>
      <c r="B69" s="1" t="s">
        <v>43</v>
      </c>
      <c r="C69" s="1" t="s">
        <v>34</v>
      </c>
      <c r="D69" s="1" t="s">
        <v>60</v>
      </c>
      <c r="E69" s="1">
        <v>15</v>
      </c>
      <c r="F69" s="1">
        <v>14534</v>
      </c>
      <c r="G69" s="1">
        <v>5</v>
      </c>
      <c r="H69" s="2">
        <v>46196</v>
      </c>
      <c r="I69" s="2">
        <v>46199</v>
      </c>
      <c r="J69" s="1" t="s">
        <v>29</v>
      </c>
      <c r="K69" s="1">
        <v>1068</v>
      </c>
      <c r="L69" s="1" t="str">
        <f t="shared" si="0"/>
        <v>PRIORITY</v>
      </c>
    </row>
    <row r="70" spans="1:12" x14ac:dyDescent="0.3">
      <c r="A70" s="1" t="s">
        <v>52</v>
      </c>
      <c r="B70" s="1" t="s">
        <v>31</v>
      </c>
      <c r="C70" s="1" t="s">
        <v>18</v>
      </c>
      <c r="D70" s="1" t="s">
        <v>28</v>
      </c>
      <c r="E70" s="1">
        <v>9</v>
      </c>
      <c r="F70" s="1">
        <v>4415</v>
      </c>
      <c r="G70" s="1">
        <v>5</v>
      </c>
      <c r="H70" s="2">
        <v>46039</v>
      </c>
      <c r="I70" s="2">
        <v>46046</v>
      </c>
      <c r="J70" s="1" t="s">
        <v>15</v>
      </c>
      <c r="K70" s="1">
        <v>1069</v>
      </c>
      <c r="L70" s="1" t="str">
        <f t="shared" si="0"/>
        <v>NORMAL</v>
      </c>
    </row>
    <row r="71" spans="1:12" x14ac:dyDescent="0.3">
      <c r="A71" s="1" t="s">
        <v>52</v>
      </c>
      <c r="B71" s="1" t="s">
        <v>43</v>
      </c>
      <c r="C71" s="1" t="s">
        <v>13</v>
      </c>
      <c r="D71" s="1" t="s">
        <v>36</v>
      </c>
      <c r="E71" s="1">
        <v>10</v>
      </c>
      <c r="F71" s="1">
        <v>233</v>
      </c>
      <c r="G71" s="1">
        <v>7</v>
      </c>
      <c r="H71" s="2">
        <v>46076</v>
      </c>
      <c r="I71" s="2">
        <v>46077</v>
      </c>
      <c r="J71" s="1" t="s">
        <v>29</v>
      </c>
      <c r="K71" s="1">
        <v>1070</v>
      </c>
      <c r="L71" s="1" t="str">
        <f t="shared" si="0"/>
        <v>NORMAL</v>
      </c>
    </row>
    <row r="72" spans="1:12" x14ac:dyDescent="0.3">
      <c r="A72" s="1" t="s">
        <v>59</v>
      </c>
      <c r="B72" s="1" t="s">
        <v>22</v>
      </c>
      <c r="C72" s="1" t="s">
        <v>34</v>
      </c>
      <c r="D72" s="1" t="s">
        <v>61</v>
      </c>
      <c r="E72" s="1">
        <v>18</v>
      </c>
      <c r="F72" s="1">
        <v>32197</v>
      </c>
      <c r="G72" s="1">
        <v>5</v>
      </c>
      <c r="H72" s="2">
        <v>46129</v>
      </c>
      <c r="I72" s="2">
        <v>46137</v>
      </c>
      <c r="J72" s="1" t="s">
        <v>20</v>
      </c>
      <c r="K72" s="1">
        <v>1071</v>
      </c>
      <c r="L72" s="1" t="str">
        <f t="shared" si="0"/>
        <v>PRIORITY</v>
      </c>
    </row>
    <row r="73" spans="1:12" x14ac:dyDescent="0.3">
      <c r="A73" s="1" t="s">
        <v>16</v>
      </c>
      <c r="B73" s="1" t="s">
        <v>25</v>
      </c>
      <c r="C73" s="1" t="s">
        <v>34</v>
      </c>
      <c r="D73" s="1" t="s">
        <v>61</v>
      </c>
      <c r="E73" s="1">
        <v>20</v>
      </c>
      <c r="F73" s="1">
        <v>58779</v>
      </c>
      <c r="G73" s="1">
        <v>0</v>
      </c>
      <c r="H73" s="2">
        <v>46035</v>
      </c>
      <c r="I73" s="2">
        <v>46036</v>
      </c>
      <c r="J73" s="1" t="s">
        <v>24</v>
      </c>
      <c r="K73" s="1">
        <v>1072</v>
      </c>
      <c r="L73" s="1" t="str">
        <f t="shared" si="0"/>
        <v>PRIORITY</v>
      </c>
    </row>
    <row r="74" spans="1:12" x14ac:dyDescent="0.3">
      <c r="A74" s="1" t="s">
        <v>58</v>
      </c>
      <c r="B74" s="1" t="s">
        <v>17</v>
      </c>
      <c r="C74" s="1" t="s">
        <v>18</v>
      </c>
      <c r="D74" s="1" t="s">
        <v>56</v>
      </c>
      <c r="E74" s="1">
        <v>4</v>
      </c>
      <c r="F74" s="1">
        <v>2453</v>
      </c>
      <c r="G74" s="1">
        <v>7</v>
      </c>
      <c r="H74" s="2">
        <v>46126</v>
      </c>
      <c r="I74" s="2">
        <v>46129</v>
      </c>
      <c r="J74" s="1" t="s">
        <v>51</v>
      </c>
      <c r="K74" s="1">
        <v>1073</v>
      </c>
      <c r="L74" s="1" t="str">
        <f t="shared" si="0"/>
        <v>NORMAL</v>
      </c>
    </row>
    <row r="75" spans="1:12" x14ac:dyDescent="0.3">
      <c r="A75" s="1" t="s">
        <v>26</v>
      </c>
      <c r="B75" s="1" t="s">
        <v>31</v>
      </c>
      <c r="C75" s="1" t="s">
        <v>13</v>
      </c>
      <c r="D75" s="1" t="s">
        <v>50</v>
      </c>
      <c r="E75" s="1">
        <v>11</v>
      </c>
      <c r="F75" s="1">
        <v>390</v>
      </c>
      <c r="G75" s="1">
        <v>15</v>
      </c>
      <c r="H75" s="2">
        <v>46114</v>
      </c>
      <c r="I75" s="2">
        <v>46123</v>
      </c>
      <c r="J75" s="1" t="s">
        <v>29</v>
      </c>
      <c r="K75" s="1">
        <v>1074</v>
      </c>
      <c r="L75" s="1" t="str">
        <f t="shared" si="0"/>
        <v>NORMAL</v>
      </c>
    </row>
    <row r="76" spans="1:12" x14ac:dyDescent="0.3">
      <c r="A76" s="1" t="s">
        <v>42</v>
      </c>
      <c r="B76" s="1" t="s">
        <v>43</v>
      </c>
      <c r="C76" s="1" t="s">
        <v>34</v>
      </c>
      <c r="D76" s="1" t="s">
        <v>61</v>
      </c>
      <c r="E76" s="1">
        <v>4</v>
      </c>
      <c r="F76" s="1">
        <v>64773</v>
      </c>
      <c r="G76" s="1">
        <v>10</v>
      </c>
      <c r="H76" s="2">
        <v>46185</v>
      </c>
      <c r="I76" s="2">
        <v>46186</v>
      </c>
      <c r="J76" s="1" t="s">
        <v>51</v>
      </c>
      <c r="K76" s="1">
        <v>1075</v>
      </c>
      <c r="L76" s="1" t="str">
        <f t="shared" si="0"/>
        <v>NORMAL</v>
      </c>
    </row>
    <row r="77" spans="1:12" x14ac:dyDescent="0.3">
      <c r="A77" s="1" t="s">
        <v>29</v>
      </c>
      <c r="B77" s="1" t="s">
        <v>17</v>
      </c>
      <c r="C77" s="1" t="s">
        <v>34</v>
      </c>
      <c r="D77" s="1" t="s">
        <v>35</v>
      </c>
      <c r="E77" s="1">
        <v>19</v>
      </c>
      <c r="F77" s="1">
        <v>26714</v>
      </c>
      <c r="G77" s="1">
        <v>5</v>
      </c>
      <c r="H77" s="2">
        <v>46045</v>
      </c>
      <c r="I77" s="2">
        <v>46055</v>
      </c>
      <c r="J77" s="1" t="s">
        <v>29</v>
      </c>
      <c r="K77" s="1">
        <v>1076</v>
      </c>
      <c r="L77" s="1" t="str">
        <f t="shared" si="0"/>
        <v>PRIORITY</v>
      </c>
    </row>
    <row r="78" spans="1:12" x14ac:dyDescent="0.3">
      <c r="A78" s="1" t="s">
        <v>55</v>
      </c>
      <c r="B78" s="1" t="s">
        <v>25</v>
      </c>
      <c r="C78" s="1" t="s">
        <v>13</v>
      </c>
      <c r="D78" s="1" t="s">
        <v>14</v>
      </c>
      <c r="E78" s="1">
        <v>1</v>
      </c>
      <c r="F78" s="1">
        <v>123</v>
      </c>
      <c r="G78" s="1">
        <v>10</v>
      </c>
      <c r="H78" s="2">
        <v>46113</v>
      </c>
      <c r="I78" s="2">
        <v>46121</v>
      </c>
      <c r="J78" s="1" t="s">
        <v>51</v>
      </c>
      <c r="K78" s="1">
        <v>1077</v>
      </c>
      <c r="L78" s="1" t="str">
        <f t="shared" si="0"/>
        <v>NORMAL</v>
      </c>
    </row>
    <row r="79" spans="1:12" x14ac:dyDescent="0.3">
      <c r="A79" s="1" t="s">
        <v>52</v>
      </c>
      <c r="B79" s="1" t="s">
        <v>17</v>
      </c>
      <c r="C79" s="1" t="s">
        <v>34</v>
      </c>
      <c r="D79" s="1" t="s">
        <v>39</v>
      </c>
      <c r="E79" s="1">
        <v>11</v>
      </c>
      <c r="F79" s="1">
        <v>24278</v>
      </c>
      <c r="G79" s="1">
        <v>12</v>
      </c>
      <c r="H79" s="2">
        <v>46084</v>
      </c>
      <c r="I79" s="2">
        <v>46090</v>
      </c>
      <c r="J79" s="1" t="s">
        <v>29</v>
      </c>
      <c r="K79" s="1">
        <v>1078</v>
      </c>
      <c r="L79" s="1" t="str">
        <f t="shared" si="0"/>
        <v>NORMAL</v>
      </c>
    </row>
    <row r="80" spans="1:12" x14ac:dyDescent="0.3">
      <c r="A80" s="1" t="s">
        <v>26</v>
      </c>
      <c r="B80" s="1" t="s">
        <v>38</v>
      </c>
      <c r="C80" s="1" t="s">
        <v>34</v>
      </c>
      <c r="D80" s="1" t="s">
        <v>41</v>
      </c>
      <c r="E80" s="1">
        <v>19</v>
      </c>
      <c r="F80" s="1">
        <v>48956</v>
      </c>
      <c r="G80" s="1">
        <v>12</v>
      </c>
      <c r="H80" s="2">
        <v>46170</v>
      </c>
      <c r="I80" s="2">
        <v>46177</v>
      </c>
      <c r="J80" s="1" t="s">
        <v>51</v>
      </c>
      <c r="K80" s="1">
        <v>1079</v>
      </c>
      <c r="L80" s="1" t="str">
        <f t="shared" si="0"/>
        <v>PRIORITY</v>
      </c>
    </row>
    <row r="81" spans="1:12" x14ac:dyDescent="0.3">
      <c r="A81" s="1" t="s">
        <v>21</v>
      </c>
      <c r="B81" s="1" t="s">
        <v>22</v>
      </c>
      <c r="C81" s="1" t="s">
        <v>34</v>
      </c>
      <c r="D81" s="1" t="s">
        <v>41</v>
      </c>
      <c r="E81" s="1">
        <v>12</v>
      </c>
      <c r="F81" s="1">
        <v>54161</v>
      </c>
      <c r="G81" s="1">
        <v>15</v>
      </c>
      <c r="H81" s="2">
        <v>46133</v>
      </c>
      <c r="I81" s="2">
        <v>46143</v>
      </c>
      <c r="J81" s="1" t="s">
        <v>24</v>
      </c>
      <c r="K81" s="1">
        <v>1080</v>
      </c>
      <c r="L81" s="1" t="str">
        <f t="shared" si="0"/>
        <v>NORMAL</v>
      </c>
    </row>
    <row r="82" spans="1:12" x14ac:dyDescent="0.3">
      <c r="A82" s="1" t="s">
        <v>47</v>
      </c>
      <c r="B82" s="1" t="s">
        <v>12</v>
      </c>
      <c r="C82" s="1" t="s">
        <v>34</v>
      </c>
      <c r="D82" s="1" t="s">
        <v>35</v>
      </c>
      <c r="E82" s="1">
        <v>15</v>
      </c>
      <c r="F82" s="1">
        <v>59912</v>
      </c>
      <c r="G82" s="1">
        <v>7</v>
      </c>
      <c r="H82" s="2">
        <v>46058</v>
      </c>
      <c r="I82" s="2">
        <v>46060</v>
      </c>
      <c r="J82" s="1" t="s">
        <v>51</v>
      </c>
      <c r="K82" s="1">
        <v>1081</v>
      </c>
      <c r="L82" s="1" t="str">
        <f t="shared" si="0"/>
        <v>PRIORITY</v>
      </c>
    </row>
    <row r="83" spans="1:12" x14ac:dyDescent="0.3">
      <c r="A83" s="1" t="s">
        <v>21</v>
      </c>
      <c r="B83" s="1" t="s">
        <v>12</v>
      </c>
      <c r="C83" s="1" t="s">
        <v>13</v>
      </c>
      <c r="D83" s="1" t="s">
        <v>14</v>
      </c>
      <c r="E83" s="1">
        <v>7</v>
      </c>
      <c r="F83" s="1">
        <v>133</v>
      </c>
      <c r="G83" s="1">
        <v>10</v>
      </c>
      <c r="H83" s="2">
        <v>46075</v>
      </c>
      <c r="I83" s="2">
        <v>46085</v>
      </c>
      <c r="J83" s="1" t="s">
        <v>51</v>
      </c>
      <c r="K83" s="1">
        <v>1082</v>
      </c>
      <c r="L83" s="1" t="str">
        <f t="shared" si="0"/>
        <v>NORMAL</v>
      </c>
    </row>
    <row r="84" spans="1:12" x14ac:dyDescent="0.3">
      <c r="A84" s="1" t="s">
        <v>55</v>
      </c>
      <c r="B84" s="1" t="s">
        <v>33</v>
      </c>
      <c r="C84" s="1" t="s">
        <v>13</v>
      </c>
      <c r="D84" s="1" t="s">
        <v>53</v>
      </c>
      <c r="E84" s="1">
        <v>4</v>
      </c>
      <c r="F84" s="1">
        <v>397</v>
      </c>
      <c r="G84" s="1">
        <v>7</v>
      </c>
      <c r="H84" s="2">
        <v>46185</v>
      </c>
      <c r="I84" s="2">
        <v>46193</v>
      </c>
      <c r="J84" s="1" t="s">
        <v>15</v>
      </c>
      <c r="K84" s="1">
        <v>1083</v>
      </c>
      <c r="L84" s="1" t="str">
        <f t="shared" si="0"/>
        <v>NORMAL</v>
      </c>
    </row>
    <row r="85" spans="1:12" x14ac:dyDescent="0.3">
      <c r="A85" s="1" t="s">
        <v>49</v>
      </c>
      <c r="B85" s="1" t="s">
        <v>31</v>
      </c>
      <c r="C85" s="1" t="s">
        <v>18</v>
      </c>
      <c r="D85" s="1" t="s">
        <v>28</v>
      </c>
      <c r="E85" s="1">
        <v>4</v>
      </c>
      <c r="F85" s="1">
        <v>6901</v>
      </c>
      <c r="G85" s="1">
        <v>10</v>
      </c>
      <c r="H85" s="2">
        <v>46047</v>
      </c>
      <c r="I85" s="2">
        <v>46057</v>
      </c>
      <c r="J85" s="1" t="s">
        <v>20</v>
      </c>
      <c r="K85" s="1">
        <v>1084</v>
      </c>
      <c r="L85" s="1" t="str">
        <f t="shared" si="0"/>
        <v>NORMAL</v>
      </c>
    </row>
    <row r="86" spans="1:12" x14ac:dyDescent="0.3">
      <c r="A86" s="1" t="s">
        <v>32</v>
      </c>
      <c r="B86" s="1" t="s">
        <v>38</v>
      </c>
      <c r="C86" s="1" t="s">
        <v>34</v>
      </c>
      <c r="D86" s="1" t="s">
        <v>60</v>
      </c>
      <c r="E86" s="1">
        <v>19</v>
      </c>
      <c r="F86" s="1">
        <v>45307</v>
      </c>
      <c r="G86" s="1">
        <v>12</v>
      </c>
      <c r="H86" s="2">
        <v>46146</v>
      </c>
      <c r="I86" s="2">
        <v>46150</v>
      </c>
      <c r="J86" s="1" t="s">
        <v>24</v>
      </c>
      <c r="K86" s="1">
        <v>1085</v>
      </c>
      <c r="L86" s="1" t="str">
        <f t="shared" si="0"/>
        <v>PRIORITY</v>
      </c>
    </row>
    <row r="87" spans="1:12" x14ac:dyDescent="0.3">
      <c r="A87" s="1" t="s">
        <v>32</v>
      </c>
      <c r="B87" s="1" t="s">
        <v>12</v>
      </c>
      <c r="C87" s="1" t="s">
        <v>13</v>
      </c>
      <c r="D87" s="1" t="s">
        <v>53</v>
      </c>
      <c r="E87" s="1">
        <v>15</v>
      </c>
      <c r="F87" s="1">
        <v>40</v>
      </c>
      <c r="G87" s="1">
        <v>10</v>
      </c>
      <c r="H87" s="2">
        <v>46045</v>
      </c>
      <c r="I87" s="2">
        <v>46049</v>
      </c>
      <c r="J87" s="1" t="s">
        <v>24</v>
      </c>
      <c r="K87" s="1">
        <v>1086</v>
      </c>
      <c r="L87" s="1" t="str">
        <f t="shared" si="0"/>
        <v>PRIORITY</v>
      </c>
    </row>
    <row r="88" spans="1:12" x14ac:dyDescent="0.3">
      <c r="A88" s="1" t="s">
        <v>11</v>
      </c>
      <c r="B88" s="1" t="s">
        <v>31</v>
      </c>
      <c r="C88" s="1" t="s">
        <v>13</v>
      </c>
      <c r="D88" s="1" t="s">
        <v>37</v>
      </c>
      <c r="E88" s="1">
        <v>13</v>
      </c>
      <c r="F88" s="1">
        <v>387</v>
      </c>
      <c r="G88" s="1">
        <v>7</v>
      </c>
      <c r="H88" s="2">
        <v>46171</v>
      </c>
      <c r="I88" s="2">
        <v>46176</v>
      </c>
      <c r="J88" s="1" t="s">
        <v>24</v>
      </c>
      <c r="K88" s="1">
        <v>1087</v>
      </c>
      <c r="L88" s="1" t="str">
        <f t="shared" si="0"/>
        <v>NORMAL</v>
      </c>
    </row>
    <row r="89" spans="1:12" x14ac:dyDescent="0.3">
      <c r="A89" s="1" t="s">
        <v>40</v>
      </c>
      <c r="B89" s="1" t="s">
        <v>33</v>
      </c>
      <c r="C89" s="1" t="s">
        <v>34</v>
      </c>
      <c r="D89" s="1" t="s">
        <v>41</v>
      </c>
      <c r="E89" s="1">
        <v>20</v>
      </c>
      <c r="F89" s="1">
        <v>41165</v>
      </c>
      <c r="G89" s="1">
        <v>0</v>
      </c>
      <c r="H89" s="2">
        <v>46068</v>
      </c>
      <c r="I89" s="2">
        <v>46069</v>
      </c>
      <c r="J89" s="1" t="s">
        <v>20</v>
      </c>
      <c r="K89" s="1">
        <v>1088</v>
      </c>
      <c r="L89" s="1" t="str">
        <f t="shared" si="0"/>
        <v>PRIORITY</v>
      </c>
    </row>
    <row r="90" spans="1:12" x14ac:dyDescent="0.3">
      <c r="A90" s="1" t="s">
        <v>46</v>
      </c>
      <c r="B90" s="1" t="s">
        <v>12</v>
      </c>
      <c r="C90" s="1" t="s">
        <v>34</v>
      </c>
      <c r="D90" s="1" t="s">
        <v>35</v>
      </c>
      <c r="E90" s="1">
        <v>10</v>
      </c>
      <c r="F90" s="1">
        <v>17041</v>
      </c>
      <c r="G90" s="1">
        <v>2</v>
      </c>
      <c r="H90" s="2">
        <v>46066</v>
      </c>
      <c r="I90" s="2">
        <v>46071</v>
      </c>
      <c r="J90" s="1" t="s">
        <v>24</v>
      </c>
      <c r="K90" s="1">
        <v>1089</v>
      </c>
      <c r="L90" s="1" t="str">
        <f t="shared" si="0"/>
        <v>NORMAL</v>
      </c>
    </row>
    <row r="91" spans="1:12" x14ac:dyDescent="0.3">
      <c r="A91" s="1" t="s">
        <v>49</v>
      </c>
      <c r="B91" s="1" t="s">
        <v>31</v>
      </c>
      <c r="C91" s="1" t="s">
        <v>34</v>
      </c>
      <c r="D91" s="1" t="s">
        <v>45</v>
      </c>
      <c r="E91" s="1">
        <v>19</v>
      </c>
      <c r="F91" s="1">
        <v>66139</v>
      </c>
      <c r="G91" s="1">
        <v>5</v>
      </c>
      <c r="H91" s="2">
        <v>46088</v>
      </c>
      <c r="I91" s="2">
        <v>46095</v>
      </c>
      <c r="J91" s="1" t="s">
        <v>24</v>
      </c>
      <c r="K91" s="1">
        <v>1090</v>
      </c>
      <c r="L91" s="1" t="str">
        <f t="shared" si="0"/>
        <v>PRIORITY</v>
      </c>
    </row>
    <row r="92" spans="1:12" x14ac:dyDescent="0.3">
      <c r="A92" s="1" t="s">
        <v>55</v>
      </c>
      <c r="B92" s="1" t="s">
        <v>17</v>
      </c>
      <c r="C92" s="1" t="s">
        <v>13</v>
      </c>
      <c r="D92" s="1" t="s">
        <v>53</v>
      </c>
      <c r="E92" s="1">
        <v>2</v>
      </c>
      <c r="F92" s="1">
        <v>305</v>
      </c>
      <c r="G92" s="1">
        <v>0</v>
      </c>
      <c r="H92" s="2">
        <v>46136</v>
      </c>
      <c r="I92" s="2">
        <v>46144</v>
      </c>
      <c r="J92" s="1" t="s">
        <v>15</v>
      </c>
      <c r="K92" s="1">
        <v>1091</v>
      </c>
      <c r="L92" s="1" t="str">
        <f t="shared" si="0"/>
        <v>NORMAL</v>
      </c>
    </row>
    <row r="93" spans="1:12" x14ac:dyDescent="0.3">
      <c r="A93" s="1" t="s">
        <v>21</v>
      </c>
      <c r="B93" s="1" t="s">
        <v>22</v>
      </c>
      <c r="C93" s="1" t="s">
        <v>34</v>
      </c>
      <c r="D93" s="1" t="s">
        <v>41</v>
      </c>
      <c r="E93" s="1">
        <v>9</v>
      </c>
      <c r="F93" s="1">
        <v>23438</v>
      </c>
      <c r="G93" s="1">
        <v>2</v>
      </c>
      <c r="H93" s="2">
        <v>46049</v>
      </c>
      <c r="I93" s="2">
        <v>46055</v>
      </c>
      <c r="J93" s="1" t="s">
        <v>29</v>
      </c>
      <c r="K93" s="1">
        <v>1092</v>
      </c>
      <c r="L93" s="1" t="str">
        <f t="shared" si="0"/>
        <v>NORMAL</v>
      </c>
    </row>
    <row r="94" spans="1:12" x14ac:dyDescent="0.3">
      <c r="A94" s="1" t="s">
        <v>47</v>
      </c>
      <c r="B94" s="1" t="s">
        <v>25</v>
      </c>
      <c r="C94" s="1" t="s">
        <v>18</v>
      </c>
      <c r="D94" s="1" t="s">
        <v>23</v>
      </c>
      <c r="E94" s="1">
        <v>6</v>
      </c>
      <c r="F94" s="1">
        <v>8224</v>
      </c>
      <c r="G94" s="1">
        <v>15</v>
      </c>
      <c r="H94" s="2">
        <v>46175</v>
      </c>
      <c r="I94" s="2">
        <v>46185</v>
      </c>
      <c r="J94" s="1" t="s">
        <v>51</v>
      </c>
      <c r="K94" s="1">
        <v>1093</v>
      </c>
      <c r="L94" s="1" t="str">
        <f t="shared" si="0"/>
        <v>NORMAL</v>
      </c>
    </row>
    <row r="95" spans="1:12" x14ac:dyDescent="0.3">
      <c r="A95" s="1" t="s">
        <v>47</v>
      </c>
      <c r="B95" s="1" t="s">
        <v>43</v>
      </c>
      <c r="C95" s="1" t="s">
        <v>34</v>
      </c>
      <c r="D95" s="1" t="s">
        <v>61</v>
      </c>
      <c r="E95" s="1">
        <v>4</v>
      </c>
      <c r="F95" s="1">
        <v>7073</v>
      </c>
      <c r="G95" s="1">
        <v>0</v>
      </c>
      <c r="H95" s="2">
        <v>46101</v>
      </c>
      <c r="I95" s="2">
        <v>46105</v>
      </c>
      <c r="J95" s="1" t="s">
        <v>29</v>
      </c>
      <c r="K95" s="1">
        <v>1094</v>
      </c>
      <c r="L95" s="1" t="str">
        <f t="shared" si="0"/>
        <v>NORMAL</v>
      </c>
    </row>
    <row r="96" spans="1:12" x14ac:dyDescent="0.3">
      <c r="A96" s="1" t="s">
        <v>47</v>
      </c>
      <c r="B96" s="1" t="s">
        <v>25</v>
      </c>
      <c r="C96" s="1" t="s">
        <v>34</v>
      </c>
      <c r="D96" s="1" t="s">
        <v>41</v>
      </c>
      <c r="E96" s="1">
        <v>18</v>
      </c>
      <c r="F96" s="1">
        <v>587</v>
      </c>
      <c r="G96" s="1">
        <v>2</v>
      </c>
      <c r="H96" s="2">
        <v>46167</v>
      </c>
      <c r="I96" s="2">
        <v>46171</v>
      </c>
      <c r="J96" s="1" t="s">
        <v>20</v>
      </c>
      <c r="K96" s="1">
        <v>1095</v>
      </c>
      <c r="L96" s="1" t="str">
        <f t="shared" si="0"/>
        <v>PRIORITY</v>
      </c>
    </row>
    <row r="97" spans="1:12" x14ac:dyDescent="0.3">
      <c r="A97" s="1" t="s">
        <v>49</v>
      </c>
      <c r="B97" s="1" t="s">
        <v>17</v>
      </c>
      <c r="C97" s="1" t="s">
        <v>18</v>
      </c>
      <c r="D97" s="1" t="s">
        <v>23</v>
      </c>
      <c r="E97" s="1">
        <v>15</v>
      </c>
      <c r="F97" s="1">
        <v>14724</v>
      </c>
      <c r="G97" s="1">
        <v>15</v>
      </c>
      <c r="H97" s="2">
        <v>46054</v>
      </c>
      <c r="I97" s="2">
        <v>46061</v>
      </c>
      <c r="J97" s="1" t="s">
        <v>20</v>
      </c>
      <c r="K97" s="1">
        <v>1096</v>
      </c>
      <c r="L97" s="1" t="str">
        <f t="shared" si="0"/>
        <v>PRIORITY</v>
      </c>
    </row>
    <row r="98" spans="1:12" x14ac:dyDescent="0.3">
      <c r="A98" s="1" t="s">
        <v>52</v>
      </c>
      <c r="B98" s="1" t="s">
        <v>22</v>
      </c>
      <c r="C98" s="1" t="s">
        <v>34</v>
      </c>
      <c r="D98" s="1" t="s">
        <v>61</v>
      </c>
      <c r="E98" s="1">
        <v>10</v>
      </c>
      <c r="F98" s="1">
        <v>28980</v>
      </c>
      <c r="G98" s="1">
        <v>10</v>
      </c>
      <c r="H98" s="2">
        <v>46089</v>
      </c>
      <c r="I98" s="2">
        <v>46094</v>
      </c>
      <c r="J98" s="1" t="s">
        <v>24</v>
      </c>
      <c r="K98" s="1">
        <v>1097</v>
      </c>
      <c r="L98" s="1" t="str">
        <f t="shared" si="0"/>
        <v>NORMAL</v>
      </c>
    </row>
    <row r="99" spans="1:12" x14ac:dyDescent="0.3">
      <c r="A99" s="1" t="s">
        <v>26</v>
      </c>
      <c r="B99" s="1" t="s">
        <v>25</v>
      </c>
      <c r="C99" s="1" t="s">
        <v>13</v>
      </c>
      <c r="D99" s="1" t="s">
        <v>53</v>
      </c>
      <c r="E99" s="1">
        <v>17</v>
      </c>
      <c r="F99" s="1">
        <v>345</v>
      </c>
      <c r="G99" s="1">
        <v>2</v>
      </c>
      <c r="H99" s="2">
        <v>46126</v>
      </c>
      <c r="I99" s="2">
        <v>46127</v>
      </c>
      <c r="J99" s="1" t="s">
        <v>51</v>
      </c>
      <c r="K99" s="1">
        <v>1098</v>
      </c>
      <c r="L99" s="1" t="str">
        <f t="shared" si="0"/>
        <v>PRIORITY</v>
      </c>
    </row>
    <row r="100" spans="1:12" x14ac:dyDescent="0.3">
      <c r="A100" s="1" t="s">
        <v>26</v>
      </c>
      <c r="B100" s="1" t="s">
        <v>31</v>
      </c>
      <c r="C100" s="1" t="s">
        <v>18</v>
      </c>
      <c r="D100" s="1" t="s">
        <v>19</v>
      </c>
      <c r="E100" s="1">
        <v>1</v>
      </c>
      <c r="F100" s="1">
        <v>5165</v>
      </c>
      <c r="G100" s="1">
        <v>2</v>
      </c>
      <c r="H100" s="2">
        <v>46058</v>
      </c>
      <c r="I100" s="2">
        <v>46060</v>
      </c>
      <c r="J100" s="1" t="s">
        <v>15</v>
      </c>
      <c r="K100" s="1">
        <v>1099</v>
      </c>
      <c r="L100" s="1" t="str">
        <f t="shared" si="0"/>
        <v>NORMAL</v>
      </c>
    </row>
    <row r="101" spans="1:12" x14ac:dyDescent="0.3">
      <c r="A101" s="1" t="s">
        <v>11</v>
      </c>
      <c r="B101" s="1" t="s">
        <v>31</v>
      </c>
      <c r="C101" s="1" t="s">
        <v>13</v>
      </c>
      <c r="D101" s="1" t="s">
        <v>14</v>
      </c>
      <c r="E101" s="1">
        <v>11</v>
      </c>
      <c r="F101" s="1">
        <v>296</v>
      </c>
      <c r="G101" s="1">
        <v>10</v>
      </c>
      <c r="H101" s="2">
        <v>46027</v>
      </c>
      <c r="I101" s="2">
        <v>46031</v>
      </c>
      <c r="J101" s="1" t="s">
        <v>51</v>
      </c>
      <c r="K101" s="1">
        <v>1100</v>
      </c>
      <c r="L101" s="1" t="str">
        <f t="shared" si="0"/>
        <v>NORMAL</v>
      </c>
    </row>
    <row r="102" spans="1:12" x14ac:dyDescent="0.3">
      <c r="A102" s="1" t="s">
        <v>27</v>
      </c>
      <c r="B102" s="1" t="s">
        <v>22</v>
      </c>
      <c r="C102" s="1" t="s">
        <v>34</v>
      </c>
      <c r="D102" s="1" t="s">
        <v>61</v>
      </c>
      <c r="E102" s="1">
        <v>9</v>
      </c>
      <c r="F102" s="1">
        <v>37361</v>
      </c>
      <c r="G102" s="1">
        <v>10</v>
      </c>
      <c r="H102" s="2">
        <v>46141</v>
      </c>
      <c r="I102" s="2">
        <v>46142</v>
      </c>
      <c r="J102" s="1" t="s">
        <v>24</v>
      </c>
      <c r="K102" s="1">
        <v>1101</v>
      </c>
      <c r="L102" s="1" t="str">
        <f t="shared" si="0"/>
        <v>NORMAL</v>
      </c>
    </row>
    <row r="103" spans="1:12" x14ac:dyDescent="0.3">
      <c r="A103" s="1" t="s">
        <v>54</v>
      </c>
      <c r="B103" s="1" t="s">
        <v>25</v>
      </c>
      <c r="C103" s="1" t="s">
        <v>34</v>
      </c>
      <c r="D103" s="1" t="s">
        <v>45</v>
      </c>
      <c r="E103" s="1">
        <v>12</v>
      </c>
      <c r="F103" s="1">
        <v>63402</v>
      </c>
      <c r="G103" s="1">
        <v>7</v>
      </c>
      <c r="H103" s="2">
        <v>46106</v>
      </c>
      <c r="I103" s="2">
        <v>46113</v>
      </c>
      <c r="J103" s="1" t="s">
        <v>51</v>
      </c>
      <c r="K103" s="1">
        <v>1102</v>
      </c>
      <c r="L103" s="1" t="str">
        <f t="shared" si="0"/>
        <v>NORMAL</v>
      </c>
    </row>
    <row r="104" spans="1:12" x14ac:dyDescent="0.3">
      <c r="A104" s="1" t="s">
        <v>16</v>
      </c>
      <c r="B104" s="1" t="s">
        <v>12</v>
      </c>
      <c r="C104" s="1" t="s">
        <v>18</v>
      </c>
      <c r="D104" s="1" t="s">
        <v>23</v>
      </c>
      <c r="E104" s="1">
        <v>7</v>
      </c>
      <c r="F104" s="1">
        <v>11925</v>
      </c>
      <c r="G104" s="1">
        <v>5</v>
      </c>
      <c r="H104" s="2">
        <v>46040</v>
      </c>
      <c r="I104" s="2">
        <v>46041</v>
      </c>
      <c r="J104" s="1" t="s">
        <v>29</v>
      </c>
      <c r="K104" s="1">
        <v>1103</v>
      </c>
      <c r="L104" s="1" t="str">
        <f t="shared" si="0"/>
        <v>NORMAL</v>
      </c>
    </row>
    <row r="105" spans="1:12" x14ac:dyDescent="0.3">
      <c r="A105" s="1" t="s">
        <v>16</v>
      </c>
      <c r="B105" s="1" t="s">
        <v>43</v>
      </c>
      <c r="C105" s="1" t="s">
        <v>18</v>
      </c>
      <c r="D105" s="1" t="s">
        <v>19</v>
      </c>
      <c r="E105" s="1">
        <v>10</v>
      </c>
      <c r="F105" s="1">
        <v>12848</v>
      </c>
      <c r="G105" s="1">
        <v>15</v>
      </c>
      <c r="H105" s="2">
        <v>46060</v>
      </c>
      <c r="I105" s="2">
        <v>46064</v>
      </c>
      <c r="J105" s="1" t="s">
        <v>29</v>
      </c>
      <c r="K105" s="1">
        <v>1104</v>
      </c>
      <c r="L105" s="1" t="str">
        <f t="shared" si="0"/>
        <v>NORMAL</v>
      </c>
    </row>
    <row r="106" spans="1:12" x14ac:dyDescent="0.3">
      <c r="A106" s="1" t="s">
        <v>59</v>
      </c>
      <c r="B106" s="1" t="s">
        <v>25</v>
      </c>
      <c r="C106" s="1" t="s">
        <v>13</v>
      </c>
      <c r="D106" s="1" t="s">
        <v>50</v>
      </c>
      <c r="E106" s="1">
        <v>2</v>
      </c>
      <c r="F106" s="1">
        <v>493</v>
      </c>
      <c r="G106" s="1">
        <v>12</v>
      </c>
      <c r="H106" s="2">
        <v>46057</v>
      </c>
      <c r="I106" s="2">
        <v>46066</v>
      </c>
      <c r="J106" s="1" t="s">
        <v>51</v>
      </c>
      <c r="K106" s="1">
        <v>1105</v>
      </c>
      <c r="L106" s="1" t="str">
        <f t="shared" si="0"/>
        <v>NORMAL</v>
      </c>
    </row>
    <row r="107" spans="1:12" x14ac:dyDescent="0.3">
      <c r="A107" s="1" t="s">
        <v>27</v>
      </c>
      <c r="B107" s="1" t="s">
        <v>43</v>
      </c>
      <c r="C107" s="1" t="s">
        <v>18</v>
      </c>
      <c r="D107" s="1" t="s">
        <v>23</v>
      </c>
      <c r="E107" s="1">
        <v>20</v>
      </c>
      <c r="F107" s="1">
        <v>2141</v>
      </c>
      <c r="G107" s="1">
        <v>2</v>
      </c>
      <c r="H107" s="2">
        <v>46091</v>
      </c>
      <c r="I107" s="2">
        <v>46097</v>
      </c>
      <c r="J107" s="1" t="s">
        <v>29</v>
      </c>
      <c r="K107" s="1">
        <v>1106</v>
      </c>
      <c r="L107" s="1" t="str">
        <f t="shared" si="0"/>
        <v>PRIORITY</v>
      </c>
    </row>
    <row r="108" spans="1:12" x14ac:dyDescent="0.3">
      <c r="A108" s="1" t="s">
        <v>52</v>
      </c>
      <c r="B108" s="1" t="s">
        <v>17</v>
      </c>
      <c r="C108" s="1" t="s">
        <v>34</v>
      </c>
      <c r="D108" s="1" t="s">
        <v>60</v>
      </c>
      <c r="E108" s="1">
        <v>4</v>
      </c>
      <c r="F108" s="1">
        <v>14291</v>
      </c>
      <c r="G108" s="1">
        <v>2</v>
      </c>
      <c r="H108" s="2">
        <v>46076</v>
      </c>
      <c r="I108" s="2">
        <v>46078</v>
      </c>
      <c r="J108" s="1" t="s">
        <v>15</v>
      </c>
      <c r="K108" s="1">
        <v>1107</v>
      </c>
      <c r="L108" s="1" t="str">
        <f t="shared" si="0"/>
        <v>NORMAL</v>
      </c>
    </row>
    <row r="109" spans="1:12" x14ac:dyDescent="0.3">
      <c r="A109" s="1" t="s">
        <v>42</v>
      </c>
      <c r="B109" s="1" t="s">
        <v>33</v>
      </c>
      <c r="C109" s="1" t="s">
        <v>18</v>
      </c>
      <c r="D109" s="1" t="s">
        <v>28</v>
      </c>
      <c r="E109" s="1">
        <v>15</v>
      </c>
      <c r="F109" s="1">
        <v>13843</v>
      </c>
      <c r="G109" s="1">
        <v>7</v>
      </c>
      <c r="H109" s="2">
        <v>46119</v>
      </c>
      <c r="I109" s="2">
        <v>46127</v>
      </c>
      <c r="J109" s="1" t="s">
        <v>20</v>
      </c>
      <c r="K109" s="1">
        <v>1108</v>
      </c>
      <c r="L109" s="1" t="str">
        <f t="shared" si="0"/>
        <v>PRIORITY</v>
      </c>
    </row>
    <row r="110" spans="1:12" x14ac:dyDescent="0.3">
      <c r="A110" s="1" t="s">
        <v>21</v>
      </c>
      <c r="B110" s="1" t="s">
        <v>31</v>
      </c>
      <c r="C110" s="1" t="s">
        <v>18</v>
      </c>
      <c r="D110" s="1" t="s">
        <v>44</v>
      </c>
      <c r="E110" s="1">
        <v>19</v>
      </c>
      <c r="F110" s="1">
        <v>6512</v>
      </c>
      <c r="G110" s="1">
        <v>10</v>
      </c>
      <c r="H110" s="2">
        <v>46033</v>
      </c>
      <c r="I110" s="2">
        <v>46037</v>
      </c>
      <c r="J110" s="1" t="s">
        <v>20</v>
      </c>
      <c r="K110" s="1">
        <v>1109</v>
      </c>
      <c r="L110" s="1" t="str">
        <f t="shared" si="0"/>
        <v>PRIORITY</v>
      </c>
    </row>
    <row r="111" spans="1:12" x14ac:dyDescent="0.3">
      <c r="A111" s="1" t="s">
        <v>49</v>
      </c>
      <c r="B111" s="1" t="s">
        <v>38</v>
      </c>
      <c r="C111" s="1" t="s">
        <v>18</v>
      </c>
      <c r="D111" s="1" t="s">
        <v>23</v>
      </c>
      <c r="E111" s="1">
        <v>14</v>
      </c>
      <c r="F111" s="1">
        <v>6793</v>
      </c>
      <c r="G111" s="1">
        <v>7</v>
      </c>
      <c r="H111" s="2">
        <v>46077</v>
      </c>
      <c r="I111" s="2">
        <v>46082</v>
      </c>
      <c r="J111" s="1" t="s">
        <v>29</v>
      </c>
      <c r="K111" s="1">
        <v>1110</v>
      </c>
      <c r="L111" s="1" t="str">
        <f t="shared" si="0"/>
        <v>PRIORITY</v>
      </c>
    </row>
    <row r="112" spans="1:12" x14ac:dyDescent="0.3">
      <c r="A112" s="1" t="s">
        <v>47</v>
      </c>
      <c r="B112" s="1" t="s">
        <v>17</v>
      </c>
      <c r="C112" s="1" t="s">
        <v>34</v>
      </c>
      <c r="D112" s="1" t="s">
        <v>35</v>
      </c>
      <c r="E112" s="1">
        <v>5</v>
      </c>
      <c r="F112" s="1">
        <v>49945</v>
      </c>
      <c r="G112" s="1">
        <v>12</v>
      </c>
      <c r="H112" s="2">
        <v>46133</v>
      </c>
      <c r="I112" s="2">
        <v>46141</v>
      </c>
      <c r="J112" s="1" t="s">
        <v>29</v>
      </c>
      <c r="K112" s="1">
        <v>1111</v>
      </c>
      <c r="L112" s="1" t="str">
        <f t="shared" si="0"/>
        <v>NORMAL</v>
      </c>
    </row>
    <row r="113" spans="1:12" x14ac:dyDescent="0.3">
      <c r="A113" s="1" t="s">
        <v>21</v>
      </c>
      <c r="B113" s="1" t="s">
        <v>43</v>
      </c>
      <c r="C113" s="1" t="s">
        <v>18</v>
      </c>
      <c r="D113" s="1" t="s">
        <v>44</v>
      </c>
      <c r="E113" s="1">
        <v>7</v>
      </c>
      <c r="F113" s="1">
        <v>1959</v>
      </c>
      <c r="G113" s="1">
        <v>15</v>
      </c>
      <c r="H113" s="2">
        <v>46090</v>
      </c>
      <c r="I113" s="2">
        <v>46100</v>
      </c>
      <c r="J113" s="1" t="s">
        <v>15</v>
      </c>
      <c r="K113" s="1">
        <v>1112</v>
      </c>
      <c r="L113" s="1" t="str">
        <f t="shared" si="0"/>
        <v>NORMAL</v>
      </c>
    </row>
    <row r="114" spans="1:12" x14ac:dyDescent="0.3">
      <c r="A114" s="1" t="s">
        <v>26</v>
      </c>
      <c r="B114" s="1" t="s">
        <v>43</v>
      </c>
      <c r="C114" s="1" t="s">
        <v>18</v>
      </c>
      <c r="D114" s="1" t="s">
        <v>56</v>
      </c>
      <c r="E114" s="1">
        <v>13</v>
      </c>
      <c r="F114" s="1">
        <v>6719</v>
      </c>
      <c r="G114" s="1">
        <v>15</v>
      </c>
      <c r="H114" s="2">
        <v>46076</v>
      </c>
      <c r="I114" s="2">
        <v>46081</v>
      </c>
      <c r="J114" s="1" t="s">
        <v>24</v>
      </c>
      <c r="K114" s="1">
        <v>1113</v>
      </c>
      <c r="L114" s="1" t="str">
        <f t="shared" si="0"/>
        <v>NORMAL</v>
      </c>
    </row>
    <row r="115" spans="1:12" x14ac:dyDescent="0.3">
      <c r="A115" s="1" t="s">
        <v>16</v>
      </c>
      <c r="B115" s="1" t="s">
        <v>25</v>
      </c>
      <c r="C115" s="1" t="s">
        <v>13</v>
      </c>
      <c r="D115" s="1" t="s">
        <v>50</v>
      </c>
      <c r="E115" s="1">
        <v>13</v>
      </c>
      <c r="F115" s="1">
        <v>32</v>
      </c>
      <c r="G115" s="1">
        <v>15</v>
      </c>
      <c r="H115" s="2">
        <v>46066</v>
      </c>
      <c r="I115" s="2">
        <v>46069</v>
      </c>
      <c r="J115" s="1" t="s">
        <v>15</v>
      </c>
      <c r="K115" s="1">
        <v>1114</v>
      </c>
      <c r="L115" s="1" t="str">
        <f t="shared" si="0"/>
        <v>NORMAL</v>
      </c>
    </row>
    <row r="116" spans="1:12" x14ac:dyDescent="0.3">
      <c r="A116" s="1" t="s">
        <v>59</v>
      </c>
      <c r="B116" s="1" t="s">
        <v>43</v>
      </c>
      <c r="C116" s="1" t="s">
        <v>13</v>
      </c>
      <c r="D116" s="1" t="s">
        <v>50</v>
      </c>
      <c r="E116" s="1">
        <v>9</v>
      </c>
      <c r="F116" s="1">
        <v>303</v>
      </c>
      <c r="G116" s="1">
        <v>10</v>
      </c>
      <c r="H116" s="2">
        <v>46149</v>
      </c>
      <c r="I116" s="2">
        <v>46157</v>
      </c>
      <c r="J116" s="1" t="s">
        <v>29</v>
      </c>
      <c r="K116" s="1">
        <v>1115</v>
      </c>
      <c r="L116" s="1" t="str">
        <f t="shared" si="0"/>
        <v>NORMAL</v>
      </c>
    </row>
    <row r="117" spans="1:12" x14ac:dyDescent="0.3">
      <c r="A117" s="1" t="s">
        <v>16</v>
      </c>
      <c r="B117" s="1" t="s">
        <v>25</v>
      </c>
      <c r="C117" s="1" t="s">
        <v>18</v>
      </c>
      <c r="D117" s="1" t="s">
        <v>56</v>
      </c>
      <c r="E117" s="1">
        <v>2</v>
      </c>
      <c r="F117" s="1">
        <v>12692</v>
      </c>
      <c r="G117" s="1">
        <v>15</v>
      </c>
      <c r="H117" s="2">
        <v>46049</v>
      </c>
      <c r="I117" s="2">
        <v>46051</v>
      </c>
      <c r="J117" s="1" t="s">
        <v>15</v>
      </c>
      <c r="K117" s="1">
        <v>1116</v>
      </c>
      <c r="L117" s="1" t="str">
        <f t="shared" si="0"/>
        <v>NORMAL</v>
      </c>
    </row>
    <row r="118" spans="1:12" x14ac:dyDescent="0.3">
      <c r="A118" s="1" t="s">
        <v>55</v>
      </c>
      <c r="B118" s="1" t="s">
        <v>43</v>
      </c>
      <c r="C118" s="1" t="s">
        <v>34</v>
      </c>
      <c r="D118" s="1" t="s">
        <v>39</v>
      </c>
      <c r="E118" s="1">
        <v>16</v>
      </c>
      <c r="F118" s="1">
        <v>33162</v>
      </c>
      <c r="G118" s="1">
        <v>7</v>
      </c>
      <c r="H118" s="2">
        <v>46147</v>
      </c>
      <c r="I118" s="2">
        <v>46155</v>
      </c>
      <c r="J118" s="1" t="s">
        <v>29</v>
      </c>
      <c r="K118" s="1">
        <v>1117</v>
      </c>
      <c r="L118" s="1" t="str">
        <f t="shared" si="0"/>
        <v>PRIORITY</v>
      </c>
    </row>
    <row r="119" spans="1:12" x14ac:dyDescent="0.3">
      <c r="A119" s="1" t="s">
        <v>21</v>
      </c>
      <c r="B119" s="1" t="s">
        <v>22</v>
      </c>
      <c r="C119" s="1" t="s">
        <v>18</v>
      </c>
      <c r="D119" s="1" t="s">
        <v>23</v>
      </c>
      <c r="E119" s="1">
        <v>18</v>
      </c>
      <c r="F119" s="1">
        <v>9118</v>
      </c>
      <c r="G119" s="1">
        <v>5</v>
      </c>
      <c r="H119" s="2">
        <v>46178</v>
      </c>
      <c r="I119" s="2">
        <v>46187</v>
      </c>
      <c r="J119" s="1" t="s">
        <v>29</v>
      </c>
      <c r="K119" s="1">
        <v>1118</v>
      </c>
      <c r="L119" s="1" t="str">
        <f t="shared" si="0"/>
        <v>PRIORITY</v>
      </c>
    </row>
    <row r="120" spans="1:12" x14ac:dyDescent="0.3">
      <c r="A120" s="1" t="s">
        <v>30</v>
      </c>
      <c r="B120" s="1" t="s">
        <v>43</v>
      </c>
      <c r="C120" s="1" t="s">
        <v>18</v>
      </c>
      <c r="D120" s="1" t="s">
        <v>28</v>
      </c>
      <c r="E120" s="1">
        <v>2</v>
      </c>
      <c r="F120" s="1">
        <v>3706</v>
      </c>
      <c r="G120" s="1">
        <v>5</v>
      </c>
      <c r="H120" s="2">
        <v>46184</v>
      </c>
      <c r="I120" s="2">
        <v>46192</v>
      </c>
      <c r="J120" s="1" t="s">
        <v>51</v>
      </c>
      <c r="K120" s="1">
        <v>1119</v>
      </c>
      <c r="L120" s="1" t="str">
        <f t="shared" si="0"/>
        <v>NORMAL</v>
      </c>
    </row>
    <row r="121" spans="1:12" x14ac:dyDescent="0.3">
      <c r="A121" s="1" t="s">
        <v>32</v>
      </c>
      <c r="B121" s="1" t="s">
        <v>38</v>
      </c>
      <c r="C121" s="1" t="s">
        <v>13</v>
      </c>
      <c r="D121" s="1" t="s">
        <v>36</v>
      </c>
      <c r="E121" s="1">
        <v>10</v>
      </c>
      <c r="F121" s="1">
        <v>438</v>
      </c>
      <c r="G121" s="1">
        <v>10</v>
      </c>
      <c r="H121" s="2">
        <v>46061</v>
      </c>
      <c r="I121" s="2">
        <v>46065</v>
      </c>
      <c r="J121" s="1" t="s">
        <v>51</v>
      </c>
      <c r="K121" s="1">
        <v>1120</v>
      </c>
      <c r="L121" s="1" t="str">
        <f t="shared" si="0"/>
        <v>PRIORITY</v>
      </c>
    </row>
    <row r="122" spans="1:12" x14ac:dyDescent="0.3">
      <c r="A122" s="1" t="s">
        <v>29</v>
      </c>
      <c r="B122" s="1" t="s">
        <v>12</v>
      </c>
      <c r="C122" s="1" t="s">
        <v>34</v>
      </c>
      <c r="D122" s="1" t="s">
        <v>39</v>
      </c>
      <c r="E122" s="1">
        <v>4</v>
      </c>
      <c r="F122" s="1">
        <v>55809</v>
      </c>
      <c r="G122" s="1">
        <v>2</v>
      </c>
      <c r="H122" s="2">
        <v>46103</v>
      </c>
      <c r="I122" s="2">
        <v>46108</v>
      </c>
      <c r="J122" s="1" t="s">
        <v>29</v>
      </c>
      <c r="K122" s="1">
        <v>1121</v>
      </c>
      <c r="L122" s="1" t="str">
        <f t="shared" si="0"/>
        <v>NORMAL</v>
      </c>
    </row>
    <row r="123" spans="1:12" x14ac:dyDescent="0.3">
      <c r="A123" s="1" t="s">
        <v>40</v>
      </c>
      <c r="B123" s="1" t="s">
        <v>22</v>
      </c>
      <c r="C123" s="1" t="s">
        <v>34</v>
      </c>
      <c r="D123" s="1" t="s">
        <v>39</v>
      </c>
      <c r="E123" s="1">
        <v>14</v>
      </c>
      <c r="F123" s="1">
        <v>49990</v>
      </c>
      <c r="G123" s="1">
        <v>10</v>
      </c>
      <c r="H123" s="2">
        <v>46132</v>
      </c>
      <c r="I123" s="2">
        <v>46135</v>
      </c>
      <c r="J123" s="1" t="s">
        <v>29</v>
      </c>
      <c r="K123" s="1">
        <v>1122</v>
      </c>
      <c r="L123" s="1" t="str">
        <f t="shared" si="0"/>
        <v>NORMAL</v>
      </c>
    </row>
    <row r="124" spans="1:12" x14ac:dyDescent="0.3">
      <c r="A124" s="1" t="s">
        <v>32</v>
      </c>
      <c r="B124" s="1" t="s">
        <v>31</v>
      </c>
      <c r="C124" s="1" t="s">
        <v>34</v>
      </c>
      <c r="D124" s="1" t="s">
        <v>45</v>
      </c>
      <c r="E124" s="1">
        <v>16</v>
      </c>
      <c r="F124" s="1">
        <v>1332</v>
      </c>
      <c r="G124" s="1">
        <v>7</v>
      </c>
      <c r="H124" s="2">
        <v>46107</v>
      </c>
      <c r="I124" s="2">
        <v>46109</v>
      </c>
      <c r="J124" s="1" t="s">
        <v>29</v>
      </c>
      <c r="K124" s="1">
        <v>1123</v>
      </c>
      <c r="L124" s="1" t="str">
        <f t="shared" si="0"/>
        <v>PRIORITY</v>
      </c>
    </row>
    <row r="125" spans="1:12" x14ac:dyDescent="0.3">
      <c r="A125" s="1" t="s">
        <v>27</v>
      </c>
      <c r="B125" s="1" t="s">
        <v>38</v>
      </c>
      <c r="C125" s="1" t="s">
        <v>18</v>
      </c>
      <c r="D125" s="1" t="s">
        <v>56</v>
      </c>
      <c r="E125" s="1">
        <v>4</v>
      </c>
      <c r="F125" s="1">
        <v>14195</v>
      </c>
      <c r="G125" s="1">
        <v>15</v>
      </c>
      <c r="H125" s="2">
        <v>46182</v>
      </c>
      <c r="I125" s="2">
        <v>46189</v>
      </c>
      <c r="J125" s="1" t="s">
        <v>51</v>
      </c>
      <c r="K125" s="1">
        <v>1124</v>
      </c>
      <c r="L125" s="1" t="str">
        <f t="shared" si="0"/>
        <v>PRIORITY</v>
      </c>
    </row>
    <row r="126" spans="1:12" x14ac:dyDescent="0.3">
      <c r="A126" s="1" t="s">
        <v>49</v>
      </c>
      <c r="B126" s="1" t="s">
        <v>33</v>
      </c>
      <c r="C126" s="1" t="s">
        <v>13</v>
      </c>
      <c r="D126" s="1" t="s">
        <v>14</v>
      </c>
      <c r="E126" s="1">
        <v>6</v>
      </c>
      <c r="F126" s="1">
        <v>30</v>
      </c>
      <c r="G126" s="1">
        <v>2</v>
      </c>
      <c r="H126" s="2">
        <v>46133</v>
      </c>
      <c r="I126" s="2">
        <v>46138</v>
      </c>
      <c r="J126" s="1" t="s">
        <v>24</v>
      </c>
      <c r="K126" s="1">
        <v>1125</v>
      </c>
      <c r="L126" s="1" t="str">
        <f t="shared" si="0"/>
        <v>NORMAL</v>
      </c>
    </row>
    <row r="127" spans="1:12" x14ac:dyDescent="0.3">
      <c r="A127" s="1" t="s">
        <v>46</v>
      </c>
      <c r="B127" s="1" t="s">
        <v>22</v>
      </c>
      <c r="C127" s="1" t="s">
        <v>34</v>
      </c>
      <c r="D127" s="1" t="s">
        <v>39</v>
      </c>
      <c r="E127" s="1">
        <v>17</v>
      </c>
      <c r="F127" s="1">
        <v>19390</v>
      </c>
      <c r="G127" s="1">
        <v>12</v>
      </c>
      <c r="H127" s="2">
        <v>46201</v>
      </c>
      <c r="I127" s="2">
        <v>46206</v>
      </c>
      <c r="J127" s="1" t="s">
        <v>29</v>
      </c>
      <c r="K127" s="1">
        <v>1126</v>
      </c>
      <c r="L127" s="1" t="str">
        <f t="shared" si="0"/>
        <v>PRIORITY</v>
      </c>
    </row>
    <row r="128" spans="1:12" x14ac:dyDescent="0.3">
      <c r="A128" s="1" t="s">
        <v>26</v>
      </c>
      <c r="B128" s="1" t="s">
        <v>33</v>
      </c>
      <c r="C128" s="1" t="s">
        <v>18</v>
      </c>
      <c r="D128" s="1" t="s">
        <v>28</v>
      </c>
      <c r="E128" s="1">
        <v>15</v>
      </c>
      <c r="F128" s="1">
        <v>11694</v>
      </c>
      <c r="G128" s="1">
        <v>12</v>
      </c>
      <c r="H128" s="2">
        <v>46170</v>
      </c>
      <c r="I128" s="2">
        <v>46179</v>
      </c>
      <c r="J128" s="1" t="s">
        <v>29</v>
      </c>
      <c r="K128" s="1">
        <v>1127</v>
      </c>
      <c r="L128" s="1" t="str">
        <f t="shared" si="0"/>
        <v>PRIORITY</v>
      </c>
    </row>
    <row r="129" spans="1:12" x14ac:dyDescent="0.3">
      <c r="A129" s="1" t="s">
        <v>30</v>
      </c>
      <c r="B129" s="1" t="s">
        <v>22</v>
      </c>
      <c r="C129" s="1" t="s">
        <v>34</v>
      </c>
      <c r="D129" s="1" t="s">
        <v>61</v>
      </c>
      <c r="E129" s="1">
        <v>6</v>
      </c>
      <c r="F129" s="1">
        <v>5001</v>
      </c>
      <c r="G129" s="1">
        <v>7</v>
      </c>
      <c r="H129" s="2">
        <v>46044</v>
      </c>
      <c r="I129" s="2">
        <v>46050</v>
      </c>
      <c r="J129" s="1" t="s">
        <v>29</v>
      </c>
      <c r="K129" s="1">
        <v>1128</v>
      </c>
      <c r="L129" s="1" t="str">
        <f t="shared" si="0"/>
        <v>NORMAL</v>
      </c>
    </row>
    <row r="130" spans="1:12" x14ac:dyDescent="0.3">
      <c r="A130" s="1" t="s">
        <v>58</v>
      </c>
      <c r="B130" s="1" t="s">
        <v>17</v>
      </c>
      <c r="C130" s="1" t="s">
        <v>13</v>
      </c>
      <c r="D130" s="1" t="s">
        <v>50</v>
      </c>
      <c r="E130" s="1">
        <v>15</v>
      </c>
      <c r="F130" s="1">
        <v>75</v>
      </c>
      <c r="G130" s="1">
        <v>7</v>
      </c>
      <c r="H130" s="2">
        <v>46160</v>
      </c>
      <c r="I130" s="2">
        <v>46164</v>
      </c>
      <c r="J130" s="1" t="s">
        <v>29</v>
      </c>
      <c r="K130" s="1">
        <v>1129</v>
      </c>
      <c r="L130" s="1" t="str">
        <f t="shared" si="0"/>
        <v>PRIORITY</v>
      </c>
    </row>
    <row r="131" spans="1:12" x14ac:dyDescent="0.3">
      <c r="A131" s="1" t="s">
        <v>48</v>
      </c>
      <c r="B131" s="1" t="s">
        <v>33</v>
      </c>
      <c r="C131" s="1" t="s">
        <v>13</v>
      </c>
      <c r="D131" s="1" t="s">
        <v>14</v>
      </c>
      <c r="E131" s="1">
        <v>12</v>
      </c>
      <c r="F131" s="1">
        <v>50</v>
      </c>
      <c r="G131" s="1">
        <v>2</v>
      </c>
      <c r="H131" s="2">
        <v>46125</v>
      </c>
      <c r="I131" s="2">
        <v>46131</v>
      </c>
      <c r="J131" s="1" t="s">
        <v>24</v>
      </c>
      <c r="K131" s="1">
        <v>1130</v>
      </c>
      <c r="L131" s="1" t="str">
        <f t="shared" si="0"/>
        <v>NORMAL</v>
      </c>
    </row>
    <row r="132" spans="1:12" x14ac:dyDescent="0.3">
      <c r="A132" s="1" t="s">
        <v>21</v>
      </c>
      <c r="B132" s="1" t="s">
        <v>31</v>
      </c>
      <c r="C132" s="1" t="s">
        <v>18</v>
      </c>
      <c r="D132" s="1" t="s">
        <v>23</v>
      </c>
      <c r="E132" s="1">
        <v>13</v>
      </c>
      <c r="F132" s="1">
        <v>3083</v>
      </c>
      <c r="G132" s="1">
        <v>7</v>
      </c>
      <c r="H132" s="2">
        <v>46168</v>
      </c>
      <c r="I132" s="2">
        <v>46173</v>
      </c>
      <c r="J132" s="1" t="s">
        <v>51</v>
      </c>
      <c r="K132" s="1">
        <v>1131</v>
      </c>
      <c r="L132" s="1" t="str">
        <f t="shared" si="0"/>
        <v>NORMAL</v>
      </c>
    </row>
    <row r="133" spans="1:12" x14ac:dyDescent="0.3">
      <c r="A133" s="1" t="s">
        <v>11</v>
      </c>
      <c r="B133" s="1" t="s">
        <v>31</v>
      </c>
      <c r="C133" s="1" t="s">
        <v>13</v>
      </c>
      <c r="D133" s="1" t="s">
        <v>50</v>
      </c>
      <c r="E133" s="1">
        <v>10</v>
      </c>
      <c r="F133" s="1">
        <v>270</v>
      </c>
      <c r="G133" s="1">
        <v>7</v>
      </c>
      <c r="H133" s="2">
        <v>46024</v>
      </c>
      <c r="I133" s="2">
        <v>46034</v>
      </c>
      <c r="J133" s="1" t="s">
        <v>24</v>
      </c>
      <c r="K133" s="1">
        <v>1132</v>
      </c>
      <c r="L133" s="1" t="str">
        <f t="shared" si="0"/>
        <v>NORMAL</v>
      </c>
    </row>
    <row r="134" spans="1:12" x14ac:dyDescent="0.3">
      <c r="A134" s="1" t="s">
        <v>11</v>
      </c>
      <c r="B134" s="1" t="s">
        <v>12</v>
      </c>
      <c r="C134" s="1" t="s">
        <v>18</v>
      </c>
      <c r="D134" s="1" t="s">
        <v>56</v>
      </c>
      <c r="E134" s="1">
        <v>6</v>
      </c>
      <c r="F134" s="1">
        <v>9037</v>
      </c>
      <c r="G134" s="1">
        <v>2</v>
      </c>
      <c r="H134" s="2">
        <v>46112</v>
      </c>
      <c r="I134" s="2">
        <v>46121</v>
      </c>
      <c r="J134" s="1" t="s">
        <v>51</v>
      </c>
      <c r="K134" s="1">
        <v>1133</v>
      </c>
      <c r="L134" s="1" t="str">
        <f t="shared" si="0"/>
        <v>NORMAL</v>
      </c>
    </row>
    <row r="135" spans="1:12" x14ac:dyDescent="0.3">
      <c r="A135" s="1" t="s">
        <v>57</v>
      </c>
      <c r="B135" s="1" t="s">
        <v>31</v>
      </c>
      <c r="C135" s="1" t="s">
        <v>34</v>
      </c>
      <c r="D135" s="1" t="s">
        <v>61</v>
      </c>
      <c r="E135" s="1">
        <v>10</v>
      </c>
      <c r="F135" s="1">
        <v>29217</v>
      </c>
      <c r="G135" s="1">
        <v>15</v>
      </c>
      <c r="H135" s="2">
        <v>46148</v>
      </c>
      <c r="I135" s="2">
        <v>46150</v>
      </c>
      <c r="J135" s="1" t="s">
        <v>24</v>
      </c>
      <c r="K135" s="1">
        <v>1134</v>
      </c>
      <c r="L135" s="1" t="str">
        <f t="shared" si="0"/>
        <v>NORMAL</v>
      </c>
    </row>
    <row r="136" spans="1:12" x14ac:dyDescent="0.3">
      <c r="A136" s="1" t="s">
        <v>49</v>
      </c>
      <c r="B136" s="1" t="s">
        <v>43</v>
      </c>
      <c r="C136" s="1" t="s">
        <v>34</v>
      </c>
      <c r="D136" s="1" t="s">
        <v>39</v>
      </c>
      <c r="E136" s="1">
        <v>14</v>
      </c>
      <c r="F136" s="1">
        <v>68534</v>
      </c>
      <c r="G136" s="1">
        <v>0</v>
      </c>
      <c r="H136" s="2">
        <v>46041</v>
      </c>
      <c r="I136" s="2">
        <v>46042</v>
      </c>
      <c r="J136" s="1" t="s">
        <v>15</v>
      </c>
      <c r="K136" s="1">
        <v>1135</v>
      </c>
      <c r="L136" s="1" t="str">
        <f t="shared" si="0"/>
        <v>NORMAL</v>
      </c>
    </row>
    <row r="137" spans="1:12" x14ac:dyDescent="0.3">
      <c r="A137" s="1" t="s">
        <v>27</v>
      </c>
      <c r="B137" s="1" t="s">
        <v>43</v>
      </c>
      <c r="C137" s="1" t="s">
        <v>18</v>
      </c>
      <c r="D137" s="1" t="s">
        <v>56</v>
      </c>
      <c r="E137" s="1">
        <v>19</v>
      </c>
      <c r="F137" s="1">
        <v>14528</v>
      </c>
      <c r="G137" s="1">
        <v>12</v>
      </c>
      <c r="H137" s="2">
        <v>46056</v>
      </c>
      <c r="I137" s="2">
        <v>46062</v>
      </c>
      <c r="J137" s="1" t="s">
        <v>24</v>
      </c>
      <c r="K137" s="1">
        <v>1136</v>
      </c>
      <c r="L137" s="1" t="str">
        <f t="shared" si="0"/>
        <v>PRIORITY</v>
      </c>
    </row>
    <row r="138" spans="1:12" x14ac:dyDescent="0.3">
      <c r="A138" s="1" t="s">
        <v>52</v>
      </c>
      <c r="B138" s="1" t="s">
        <v>12</v>
      </c>
      <c r="C138" s="1" t="s">
        <v>13</v>
      </c>
      <c r="D138" s="1" t="s">
        <v>37</v>
      </c>
      <c r="E138" s="1">
        <v>16</v>
      </c>
      <c r="F138" s="1">
        <v>270</v>
      </c>
      <c r="G138" s="1">
        <v>10</v>
      </c>
      <c r="H138" s="2">
        <v>46184</v>
      </c>
      <c r="I138" s="2">
        <v>46190</v>
      </c>
      <c r="J138" s="1" t="s">
        <v>29</v>
      </c>
      <c r="K138" s="1">
        <v>1137</v>
      </c>
      <c r="L138" s="1" t="str">
        <f t="shared" si="0"/>
        <v>PRIORITY</v>
      </c>
    </row>
    <row r="139" spans="1:12" x14ac:dyDescent="0.3">
      <c r="A139" s="1" t="s">
        <v>55</v>
      </c>
      <c r="B139" s="1" t="s">
        <v>43</v>
      </c>
      <c r="C139" s="1" t="s">
        <v>18</v>
      </c>
      <c r="D139" s="1" t="s">
        <v>19</v>
      </c>
      <c r="E139" s="1">
        <v>5</v>
      </c>
      <c r="F139" s="1">
        <v>14466</v>
      </c>
      <c r="G139" s="1">
        <v>2</v>
      </c>
      <c r="H139" s="2">
        <v>46084</v>
      </c>
      <c r="I139" s="2">
        <v>46092</v>
      </c>
      <c r="J139" s="1" t="s">
        <v>51</v>
      </c>
      <c r="K139" s="1">
        <v>1138</v>
      </c>
      <c r="L139" s="1" t="str">
        <f t="shared" si="0"/>
        <v>NORMAL</v>
      </c>
    </row>
    <row r="140" spans="1:12" x14ac:dyDescent="0.3">
      <c r="A140" s="1" t="s">
        <v>55</v>
      </c>
      <c r="B140" s="1" t="s">
        <v>33</v>
      </c>
      <c r="C140" s="1" t="s">
        <v>34</v>
      </c>
      <c r="D140" s="1" t="s">
        <v>61</v>
      </c>
      <c r="E140" s="1">
        <v>17</v>
      </c>
      <c r="F140" s="1">
        <v>28839</v>
      </c>
      <c r="G140" s="1">
        <v>10</v>
      </c>
      <c r="H140" s="2">
        <v>46093</v>
      </c>
      <c r="I140" s="2">
        <v>46099</v>
      </c>
      <c r="J140" s="1" t="s">
        <v>15</v>
      </c>
      <c r="K140" s="1">
        <v>1139</v>
      </c>
      <c r="L140" s="1" t="str">
        <f t="shared" si="0"/>
        <v>PRIORITY</v>
      </c>
    </row>
    <row r="141" spans="1:12" x14ac:dyDescent="0.3">
      <c r="A141" s="1" t="s">
        <v>57</v>
      </c>
      <c r="B141" s="1" t="s">
        <v>38</v>
      </c>
      <c r="C141" s="1" t="s">
        <v>34</v>
      </c>
      <c r="D141" s="1" t="s">
        <v>41</v>
      </c>
      <c r="E141" s="1">
        <v>5</v>
      </c>
      <c r="F141" s="1">
        <v>68012</v>
      </c>
      <c r="G141" s="1">
        <v>5</v>
      </c>
      <c r="H141" s="2">
        <v>46061</v>
      </c>
      <c r="I141" s="2">
        <v>46065</v>
      </c>
      <c r="J141" s="1" t="s">
        <v>15</v>
      </c>
      <c r="K141" s="1">
        <v>1140</v>
      </c>
      <c r="L141" s="1" t="str">
        <f t="shared" si="0"/>
        <v>PRIORITY</v>
      </c>
    </row>
    <row r="142" spans="1:12" x14ac:dyDescent="0.3">
      <c r="A142" s="1" t="s">
        <v>11</v>
      </c>
      <c r="B142" s="1" t="s">
        <v>17</v>
      </c>
      <c r="C142" s="1" t="s">
        <v>18</v>
      </c>
      <c r="D142" s="1" t="s">
        <v>44</v>
      </c>
      <c r="E142" s="1">
        <v>20</v>
      </c>
      <c r="F142" s="1">
        <v>6835</v>
      </c>
      <c r="G142" s="1">
        <v>2</v>
      </c>
      <c r="H142" s="2">
        <v>46043</v>
      </c>
      <c r="I142" s="2">
        <v>46053</v>
      </c>
      <c r="J142" s="1" t="s">
        <v>15</v>
      </c>
      <c r="K142" s="1">
        <v>1141</v>
      </c>
      <c r="L142" s="1" t="str">
        <f t="shared" si="0"/>
        <v>PRIORITY</v>
      </c>
    </row>
    <row r="143" spans="1:12" x14ac:dyDescent="0.3">
      <c r="A143" s="1" t="s">
        <v>40</v>
      </c>
      <c r="B143" s="1" t="s">
        <v>25</v>
      </c>
      <c r="C143" s="1" t="s">
        <v>34</v>
      </c>
      <c r="D143" s="1" t="s">
        <v>60</v>
      </c>
      <c r="E143" s="1">
        <v>9</v>
      </c>
      <c r="F143" s="1">
        <v>59788</v>
      </c>
      <c r="G143" s="1">
        <v>7</v>
      </c>
      <c r="H143" s="2">
        <v>46064</v>
      </c>
      <c r="I143" s="2">
        <v>46071</v>
      </c>
      <c r="J143" s="1" t="s">
        <v>29</v>
      </c>
      <c r="K143" s="1">
        <v>1142</v>
      </c>
      <c r="L143" s="1" t="str">
        <f t="shared" si="0"/>
        <v>NORMAL</v>
      </c>
    </row>
    <row r="144" spans="1:12" x14ac:dyDescent="0.3">
      <c r="A144" s="1" t="s">
        <v>29</v>
      </c>
      <c r="B144" s="1" t="s">
        <v>17</v>
      </c>
      <c r="C144" s="1" t="s">
        <v>13</v>
      </c>
      <c r="D144" s="1" t="s">
        <v>37</v>
      </c>
      <c r="E144" s="1">
        <v>13</v>
      </c>
      <c r="F144" s="1">
        <v>456</v>
      </c>
      <c r="G144" s="1">
        <v>2</v>
      </c>
      <c r="H144" s="2">
        <v>46160</v>
      </c>
      <c r="I144" s="2">
        <v>46167</v>
      </c>
      <c r="J144" s="1" t="s">
        <v>24</v>
      </c>
      <c r="K144" s="1">
        <v>1143</v>
      </c>
      <c r="L144" s="1" t="str">
        <f t="shared" si="0"/>
        <v>NORMAL</v>
      </c>
    </row>
    <row r="145" spans="1:12" x14ac:dyDescent="0.3">
      <c r="A145" s="1" t="s">
        <v>42</v>
      </c>
      <c r="B145" s="1" t="s">
        <v>25</v>
      </c>
      <c r="C145" s="1" t="s">
        <v>13</v>
      </c>
      <c r="D145" s="1" t="s">
        <v>14</v>
      </c>
      <c r="E145" s="1">
        <v>16</v>
      </c>
      <c r="F145" s="1">
        <v>219</v>
      </c>
      <c r="G145" s="1">
        <v>7</v>
      </c>
      <c r="H145" s="2">
        <v>46138</v>
      </c>
      <c r="I145" s="2">
        <v>46140</v>
      </c>
      <c r="J145" s="1" t="s">
        <v>20</v>
      </c>
      <c r="K145" s="1">
        <v>1144</v>
      </c>
      <c r="L145" s="1" t="str">
        <f t="shared" si="0"/>
        <v>PRIORITY</v>
      </c>
    </row>
    <row r="146" spans="1:12" x14ac:dyDescent="0.3">
      <c r="A146" s="1" t="s">
        <v>42</v>
      </c>
      <c r="B146" s="1" t="s">
        <v>33</v>
      </c>
      <c r="C146" s="1" t="s">
        <v>34</v>
      </c>
      <c r="D146" s="1" t="s">
        <v>39</v>
      </c>
      <c r="E146" s="1">
        <v>2</v>
      </c>
      <c r="F146" s="1">
        <v>34429</v>
      </c>
      <c r="G146" s="1">
        <v>12</v>
      </c>
      <c r="H146" s="2">
        <v>46102</v>
      </c>
      <c r="I146" s="2">
        <v>46112</v>
      </c>
      <c r="J146" s="1" t="s">
        <v>24</v>
      </c>
      <c r="K146" s="1">
        <v>1145</v>
      </c>
      <c r="L146" s="1" t="str">
        <f t="shared" si="0"/>
        <v>NORMAL</v>
      </c>
    </row>
    <row r="147" spans="1:12" x14ac:dyDescent="0.3">
      <c r="A147" s="1" t="s">
        <v>16</v>
      </c>
      <c r="B147" s="1" t="s">
        <v>43</v>
      </c>
      <c r="C147" s="1" t="s">
        <v>34</v>
      </c>
      <c r="D147" s="1" t="s">
        <v>45</v>
      </c>
      <c r="E147" s="1">
        <v>7</v>
      </c>
      <c r="F147" s="1">
        <v>68217</v>
      </c>
      <c r="G147" s="1">
        <v>0</v>
      </c>
      <c r="H147" s="2">
        <v>46190</v>
      </c>
      <c r="I147" s="2">
        <v>46197</v>
      </c>
      <c r="J147" s="1" t="s">
        <v>29</v>
      </c>
      <c r="K147" s="1">
        <v>1146</v>
      </c>
      <c r="L147" s="1" t="str">
        <f t="shared" si="0"/>
        <v>NORMAL</v>
      </c>
    </row>
    <row r="148" spans="1:12" x14ac:dyDescent="0.3">
      <c r="A148" s="1" t="s">
        <v>11</v>
      </c>
      <c r="B148" s="1" t="s">
        <v>22</v>
      </c>
      <c r="C148" s="1" t="s">
        <v>18</v>
      </c>
      <c r="D148" s="1" t="s">
        <v>28</v>
      </c>
      <c r="E148" s="1">
        <v>7</v>
      </c>
      <c r="F148" s="1">
        <v>9581</v>
      </c>
      <c r="G148" s="1">
        <v>5</v>
      </c>
      <c r="H148" s="2">
        <v>46154</v>
      </c>
      <c r="I148" s="2">
        <v>46155</v>
      </c>
      <c r="J148" s="1" t="s">
        <v>20</v>
      </c>
      <c r="K148" s="1">
        <v>1147</v>
      </c>
      <c r="L148" s="1" t="str">
        <f t="shared" si="0"/>
        <v>NORMAL</v>
      </c>
    </row>
    <row r="149" spans="1:12" x14ac:dyDescent="0.3">
      <c r="A149" s="1" t="s">
        <v>59</v>
      </c>
      <c r="B149" s="1" t="s">
        <v>33</v>
      </c>
      <c r="C149" s="1" t="s">
        <v>18</v>
      </c>
      <c r="D149" s="1" t="s">
        <v>28</v>
      </c>
      <c r="E149" s="1">
        <v>11</v>
      </c>
      <c r="F149" s="1">
        <v>3023</v>
      </c>
      <c r="G149" s="1">
        <v>7</v>
      </c>
      <c r="H149" s="2">
        <v>46030</v>
      </c>
      <c r="I149" s="2">
        <v>46032</v>
      </c>
      <c r="J149" s="1" t="s">
        <v>24</v>
      </c>
      <c r="K149" s="1">
        <v>1148</v>
      </c>
      <c r="L149" s="1" t="str">
        <f t="shared" si="0"/>
        <v>NORMAL</v>
      </c>
    </row>
    <row r="150" spans="1:12" x14ac:dyDescent="0.3">
      <c r="A150" s="1" t="s">
        <v>26</v>
      </c>
      <c r="B150" s="1" t="s">
        <v>38</v>
      </c>
      <c r="C150" s="1" t="s">
        <v>34</v>
      </c>
      <c r="D150" s="1" t="s">
        <v>35</v>
      </c>
      <c r="E150" s="1">
        <v>10</v>
      </c>
      <c r="F150" s="1">
        <v>22853</v>
      </c>
      <c r="G150" s="1">
        <v>7</v>
      </c>
      <c r="H150" s="2">
        <v>46053</v>
      </c>
      <c r="I150" s="2">
        <v>46054</v>
      </c>
      <c r="J150" s="1" t="s">
        <v>29</v>
      </c>
      <c r="K150" s="1">
        <v>1149</v>
      </c>
      <c r="L150" s="1" t="str">
        <f t="shared" si="0"/>
        <v>PRIORITY</v>
      </c>
    </row>
    <row r="151" spans="1:12" x14ac:dyDescent="0.3">
      <c r="A151" s="1" t="s">
        <v>42</v>
      </c>
      <c r="B151" s="1" t="s">
        <v>12</v>
      </c>
      <c r="C151" s="1" t="s">
        <v>18</v>
      </c>
      <c r="D151" s="1" t="s">
        <v>56</v>
      </c>
      <c r="E151" s="1">
        <v>10</v>
      </c>
      <c r="F151" s="1">
        <v>5323</v>
      </c>
      <c r="G151" s="1">
        <v>7</v>
      </c>
      <c r="H151" s="2">
        <v>46143</v>
      </c>
      <c r="I151" s="2">
        <v>46153</v>
      </c>
      <c r="J151" s="1" t="s">
        <v>24</v>
      </c>
      <c r="K151" s="1">
        <v>1150</v>
      </c>
      <c r="L151" s="1" t="str">
        <f t="shared" si="0"/>
        <v>NORMAL</v>
      </c>
    </row>
    <row r="152" spans="1:12" x14ac:dyDescent="0.3">
      <c r="A152" s="1" t="s">
        <v>46</v>
      </c>
      <c r="B152" s="1" t="s">
        <v>43</v>
      </c>
      <c r="C152" s="1" t="s">
        <v>13</v>
      </c>
      <c r="D152" s="1" t="s">
        <v>50</v>
      </c>
      <c r="E152" s="1">
        <v>20</v>
      </c>
      <c r="F152" s="1">
        <v>272</v>
      </c>
      <c r="G152" s="1">
        <v>15</v>
      </c>
      <c r="H152" s="2">
        <v>46024</v>
      </c>
      <c r="I152" s="2">
        <v>46029</v>
      </c>
      <c r="J152" s="1" t="s">
        <v>51</v>
      </c>
      <c r="K152" s="1">
        <v>1151</v>
      </c>
      <c r="L152" s="1" t="str">
        <f t="shared" si="0"/>
        <v>PRIORITY</v>
      </c>
    </row>
    <row r="153" spans="1:12" x14ac:dyDescent="0.3">
      <c r="A153" s="1" t="s">
        <v>27</v>
      </c>
      <c r="B153" s="1" t="s">
        <v>31</v>
      </c>
      <c r="C153" s="1" t="s">
        <v>34</v>
      </c>
      <c r="D153" s="1" t="s">
        <v>61</v>
      </c>
      <c r="E153" s="1">
        <v>14</v>
      </c>
      <c r="F153" s="1">
        <v>8150</v>
      </c>
      <c r="G153" s="1">
        <v>10</v>
      </c>
      <c r="H153" s="2">
        <v>46062</v>
      </c>
      <c r="I153" s="2">
        <v>46070</v>
      </c>
      <c r="J153" s="1" t="s">
        <v>15</v>
      </c>
      <c r="K153" s="1">
        <v>1152</v>
      </c>
      <c r="L153" s="1" t="str">
        <f t="shared" si="0"/>
        <v>NORMAL</v>
      </c>
    </row>
    <row r="154" spans="1:12" x14ac:dyDescent="0.3">
      <c r="A154" s="1" t="s">
        <v>42</v>
      </c>
      <c r="B154" s="1" t="s">
        <v>25</v>
      </c>
      <c r="C154" s="1" t="s">
        <v>18</v>
      </c>
      <c r="D154" s="1" t="s">
        <v>23</v>
      </c>
      <c r="E154" s="1">
        <v>19</v>
      </c>
      <c r="F154" s="1">
        <v>10273</v>
      </c>
      <c r="G154" s="1">
        <v>12</v>
      </c>
      <c r="H154" s="2">
        <v>46069</v>
      </c>
      <c r="I154" s="2">
        <v>46072</v>
      </c>
      <c r="J154" s="1" t="s">
        <v>29</v>
      </c>
      <c r="K154" s="1">
        <v>1153</v>
      </c>
      <c r="L154" s="1" t="str">
        <f t="shared" si="0"/>
        <v>PRIORITY</v>
      </c>
    </row>
    <row r="155" spans="1:12" x14ac:dyDescent="0.3">
      <c r="A155" s="1" t="s">
        <v>32</v>
      </c>
      <c r="B155" s="1" t="s">
        <v>17</v>
      </c>
      <c r="C155" s="1" t="s">
        <v>18</v>
      </c>
      <c r="D155" s="1" t="s">
        <v>56</v>
      </c>
      <c r="E155" s="1">
        <v>15</v>
      </c>
      <c r="F155" s="1">
        <v>6101</v>
      </c>
      <c r="G155" s="1">
        <v>0</v>
      </c>
      <c r="H155" s="2">
        <v>46178</v>
      </c>
      <c r="I155" s="2">
        <v>46183</v>
      </c>
      <c r="J155" s="1" t="s">
        <v>51</v>
      </c>
      <c r="K155" s="1">
        <v>1154</v>
      </c>
      <c r="L155" s="1" t="str">
        <f t="shared" si="0"/>
        <v>PRIORITY</v>
      </c>
    </row>
    <row r="156" spans="1:12" x14ac:dyDescent="0.3">
      <c r="A156" s="1" t="s">
        <v>11</v>
      </c>
      <c r="B156" s="1" t="s">
        <v>31</v>
      </c>
      <c r="C156" s="1" t="s">
        <v>18</v>
      </c>
      <c r="D156" s="1" t="s">
        <v>28</v>
      </c>
      <c r="E156" s="1">
        <v>13</v>
      </c>
      <c r="F156" s="1">
        <v>4341</v>
      </c>
      <c r="G156" s="1">
        <v>15</v>
      </c>
      <c r="H156" s="2">
        <v>46093</v>
      </c>
      <c r="I156" s="2">
        <v>46096</v>
      </c>
      <c r="J156" s="1" t="s">
        <v>24</v>
      </c>
      <c r="K156" s="1">
        <v>1155</v>
      </c>
      <c r="L156" s="1" t="str">
        <f t="shared" si="0"/>
        <v>NORMAL</v>
      </c>
    </row>
    <row r="157" spans="1:12" x14ac:dyDescent="0.3">
      <c r="A157" s="1" t="s">
        <v>54</v>
      </c>
      <c r="B157" s="1" t="s">
        <v>38</v>
      </c>
      <c r="C157" s="1" t="s">
        <v>13</v>
      </c>
      <c r="D157" s="1" t="s">
        <v>36</v>
      </c>
      <c r="E157" s="1">
        <v>5</v>
      </c>
      <c r="F157" s="1">
        <v>466</v>
      </c>
      <c r="G157" s="1">
        <v>15</v>
      </c>
      <c r="H157" s="2">
        <v>46025</v>
      </c>
      <c r="I157" s="2">
        <v>46029</v>
      </c>
      <c r="J157" s="1" t="s">
        <v>15</v>
      </c>
      <c r="K157" s="1">
        <v>1156</v>
      </c>
      <c r="L157" s="1" t="str">
        <f t="shared" si="0"/>
        <v>PRIORITY</v>
      </c>
    </row>
    <row r="158" spans="1:12" x14ac:dyDescent="0.3">
      <c r="A158" s="1" t="s">
        <v>52</v>
      </c>
      <c r="B158" s="1" t="s">
        <v>33</v>
      </c>
      <c r="C158" s="1" t="s">
        <v>13</v>
      </c>
      <c r="D158" s="1" t="s">
        <v>50</v>
      </c>
      <c r="E158" s="1">
        <v>3</v>
      </c>
      <c r="F158" s="1">
        <v>203</v>
      </c>
      <c r="G158" s="1">
        <v>15</v>
      </c>
      <c r="H158" s="2">
        <v>46076</v>
      </c>
      <c r="I158" s="2">
        <v>46080</v>
      </c>
      <c r="J158" s="1" t="s">
        <v>29</v>
      </c>
      <c r="K158" s="1">
        <v>1157</v>
      </c>
      <c r="L158" s="1" t="str">
        <f t="shared" si="0"/>
        <v>NORMAL</v>
      </c>
    </row>
    <row r="159" spans="1:12" x14ac:dyDescent="0.3">
      <c r="A159" s="1" t="s">
        <v>26</v>
      </c>
      <c r="B159" s="1" t="s">
        <v>38</v>
      </c>
      <c r="C159" s="1" t="s">
        <v>34</v>
      </c>
      <c r="D159" s="1" t="s">
        <v>41</v>
      </c>
      <c r="E159" s="1">
        <v>13</v>
      </c>
      <c r="F159" s="1">
        <v>12518</v>
      </c>
      <c r="G159" s="1">
        <v>2</v>
      </c>
      <c r="H159" s="2">
        <v>46079</v>
      </c>
      <c r="I159" s="2">
        <v>46082</v>
      </c>
      <c r="J159" s="1" t="s">
        <v>51</v>
      </c>
      <c r="K159" s="1">
        <v>1158</v>
      </c>
      <c r="L159" s="1" t="str">
        <f t="shared" si="0"/>
        <v>PRIORITY</v>
      </c>
    </row>
    <row r="160" spans="1:12" x14ac:dyDescent="0.3">
      <c r="A160" s="1" t="s">
        <v>32</v>
      </c>
      <c r="B160" s="1" t="s">
        <v>43</v>
      </c>
      <c r="C160" s="1" t="s">
        <v>18</v>
      </c>
      <c r="D160" s="1" t="s">
        <v>28</v>
      </c>
      <c r="E160" s="1">
        <v>20</v>
      </c>
      <c r="F160" s="1">
        <v>14000</v>
      </c>
      <c r="G160" s="1">
        <v>15</v>
      </c>
      <c r="H160" s="2">
        <v>46184</v>
      </c>
      <c r="I160" s="2">
        <v>46187</v>
      </c>
      <c r="J160" s="1" t="s">
        <v>15</v>
      </c>
      <c r="K160" s="1">
        <v>1159</v>
      </c>
      <c r="L160" s="1" t="str">
        <f t="shared" si="0"/>
        <v>PRIORITY</v>
      </c>
    </row>
    <row r="161" spans="1:12" x14ac:dyDescent="0.3">
      <c r="A161" s="1" t="s">
        <v>59</v>
      </c>
      <c r="B161" s="1" t="s">
        <v>22</v>
      </c>
      <c r="C161" s="1" t="s">
        <v>34</v>
      </c>
      <c r="D161" s="1" t="s">
        <v>39</v>
      </c>
      <c r="E161" s="1">
        <v>7</v>
      </c>
      <c r="F161" s="1">
        <v>53986</v>
      </c>
      <c r="G161" s="1">
        <v>10</v>
      </c>
      <c r="H161" s="2">
        <v>46142</v>
      </c>
      <c r="I161" s="2">
        <v>46147</v>
      </c>
      <c r="J161" s="1" t="s">
        <v>51</v>
      </c>
      <c r="K161" s="1">
        <v>1160</v>
      </c>
      <c r="L161" s="1" t="str">
        <f t="shared" si="0"/>
        <v>NORMAL</v>
      </c>
    </row>
    <row r="162" spans="1:12" x14ac:dyDescent="0.3">
      <c r="A162" s="1" t="s">
        <v>27</v>
      </c>
      <c r="B162" s="1" t="s">
        <v>25</v>
      </c>
      <c r="C162" s="1" t="s">
        <v>34</v>
      </c>
      <c r="D162" s="1" t="s">
        <v>39</v>
      </c>
      <c r="E162" s="1">
        <v>4</v>
      </c>
      <c r="F162" s="1">
        <v>54659</v>
      </c>
      <c r="G162" s="1">
        <v>7</v>
      </c>
      <c r="H162" s="2">
        <v>46105</v>
      </c>
      <c r="I162" s="2">
        <v>46109</v>
      </c>
      <c r="J162" s="1" t="s">
        <v>20</v>
      </c>
      <c r="K162" s="1">
        <v>1161</v>
      </c>
      <c r="L162" s="1" t="str">
        <f t="shared" si="0"/>
        <v>NORMAL</v>
      </c>
    </row>
    <row r="163" spans="1:12" x14ac:dyDescent="0.3">
      <c r="A163" s="1" t="s">
        <v>57</v>
      </c>
      <c r="B163" s="1" t="s">
        <v>31</v>
      </c>
      <c r="C163" s="1" t="s">
        <v>34</v>
      </c>
      <c r="D163" s="1" t="s">
        <v>45</v>
      </c>
      <c r="E163" s="1">
        <v>2</v>
      </c>
      <c r="F163" s="1">
        <v>28176</v>
      </c>
      <c r="G163" s="1">
        <v>10</v>
      </c>
      <c r="H163" s="2">
        <v>46100</v>
      </c>
      <c r="I163" s="2">
        <v>46101</v>
      </c>
      <c r="J163" s="1" t="s">
        <v>20</v>
      </c>
      <c r="K163" s="1">
        <v>1162</v>
      </c>
      <c r="L163" s="1" t="str">
        <f t="shared" si="0"/>
        <v>NORMAL</v>
      </c>
    </row>
    <row r="164" spans="1:12" x14ac:dyDescent="0.3">
      <c r="A164" s="1" t="s">
        <v>29</v>
      </c>
      <c r="B164" s="1" t="s">
        <v>38</v>
      </c>
      <c r="C164" s="1" t="s">
        <v>34</v>
      </c>
      <c r="D164" s="1" t="s">
        <v>39</v>
      </c>
      <c r="E164" s="1">
        <v>9</v>
      </c>
      <c r="F164" s="1">
        <v>62440</v>
      </c>
      <c r="G164" s="1">
        <v>2</v>
      </c>
      <c r="H164" s="2">
        <v>46081</v>
      </c>
      <c r="I164" s="2">
        <v>46086</v>
      </c>
      <c r="J164" s="1" t="s">
        <v>29</v>
      </c>
      <c r="K164" s="1">
        <v>1163</v>
      </c>
      <c r="L164" s="1" t="str">
        <f t="shared" si="0"/>
        <v>PRIORITY</v>
      </c>
    </row>
    <row r="165" spans="1:12" x14ac:dyDescent="0.3">
      <c r="A165" s="1" t="s">
        <v>40</v>
      </c>
      <c r="B165" s="1" t="s">
        <v>43</v>
      </c>
      <c r="C165" s="1" t="s">
        <v>34</v>
      </c>
      <c r="D165" s="1" t="s">
        <v>61</v>
      </c>
      <c r="E165" s="1">
        <v>7</v>
      </c>
      <c r="F165" s="1">
        <v>24615</v>
      </c>
      <c r="G165" s="1">
        <v>12</v>
      </c>
      <c r="H165" s="2">
        <v>46196</v>
      </c>
      <c r="I165" s="2">
        <v>46203</v>
      </c>
      <c r="J165" s="1" t="s">
        <v>51</v>
      </c>
      <c r="K165" s="1">
        <v>1164</v>
      </c>
      <c r="L165" s="1" t="str">
        <f t="shared" si="0"/>
        <v>NORMAL</v>
      </c>
    </row>
    <row r="166" spans="1:12" x14ac:dyDescent="0.3">
      <c r="A166" s="1" t="s">
        <v>48</v>
      </c>
      <c r="B166" s="1" t="s">
        <v>25</v>
      </c>
      <c r="C166" s="1" t="s">
        <v>13</v>
      </c>
      <c r="D166" s="1" t="s">
        <v>37</v>
      </c>
      <c r="E166" s="1">
        <v>1</v>
      </c>
      <c r="F166" s="1">
        <v>427</v>
      </c>
      <c r="G166" s="1">
        <v>0</v>
      </c>
      <c r="H166" s="2">
        <v>46042</v>
      </c>
      <c r="I166" s="2">
        <v>46050</v>
      </c>
      <c r="J166" s="1" t="s">
        <v>51</v>
      </c>
      <c r="K166" s="1">
        <v>1165</v>
      </c>
      <c r="L166" s="1" t="str">
        <f t="shared" si="0"/>
        <v>NORMAL</v>
      </c>
    </row>
    <row r="167" spans="1:12" x14ac:dyDescent="0.3">
      <c r="A167" s="1" t="s">
        <v>32</v>
      </c>
      <c r="B167" s="1" t="s">
        <v>31</v>
      </c>
      <c r="C167" s="1" t="s">
        <v>13</v>
      </c>
      <c r="D167" s="1" t="s">
        <v>37</v>
      </c>
      <c r="E167" s="1">
        <v>1</v>
      </c>
      <c r="F167" s="1">
        <v>396</v>
      </c>
      <c r="G167" s="1">
        <v>5</v>
      </c>
      <c r="H167" s="2">
        <v>46092</v>
      </c>
      <c r="I167" s="2">
        <v>46093</v>
      </c>
      <c r="J167" s="1" t="s">
        <v>20</v>
      </c>
      <c r="K167" s="1">
        <v>1166</v>
      </c>
      <c r="L167" s="1" t="str">
        <f t="shared" si="0"/>
        <v>NORMAL</v>
      </c>
    </row>
    <row r="168" spans="1:12" x14ac:dyDescent="0.3">
      <c r="A168" s="1" t="s">
        <v>48</v>
      </c>
      <c r="B168" s="1" t="s">
        <v>17</v>
      </c>
      <c r="C168" s="1" t="s">
        <v>13</v>
      </c>
      <c r="D168" s="1" t="s">
        <v>37</v>
      </c>
      <c r="E168" s="1">
        <v>20</v>
      </c>
      <c r="F168" s="1">
        <v>251</v>
      </c>
      <c r="G168" s="1">
        <v>5</v>
      </c>
      <c r="H168" s="2">
        <v>46160</v>
      </c>
      <c r="I168" s="2">
        <v>46170</v>
      </c>
      <c r="J168" s="1" t="s">
        <v>29</v>
      </c>
      <c r="K168" s="1">
        <v>1167</v>
      </c>
      <c r="L168" s="1" t="str">
        <f t="shared" si="0"/>
        <v>PRIORITY</v>
      </c>
    </row>
    <row r="169" spans="1:12" x14ac:dyDescent="0.3">
      <c r="A169" s="1" t="s">
        <v>54</v>
      </c>
      <c r="B169" s="1" t="s">
        <v>12</v>
      </c>
      <c r="C169" s="1" t="s">
        <v>13</v>
      </c>
      <c r="D169" s="1" t="s">
        <v>37</v>
      </c>
      <c r="E169" s="1">
        <v>18</v>
      </c>
      <c r="F169" s="1">
        <v>335</v>
      </c>
      <c r="G169" s="1">
        <v>15</v>
      </c>
      <c r="H169" s="2">
        <v>46130</v>
      </c>
      <c r="I169" s="2">
        <v>46140</v>
      </c>
      <c r="J169" s="1" t="s">
        <v>29</v>
      </c>
      <c r="K169" s="1">
        <v>1168</v>
      </c>
      <c r="L169" s="1" t="str">
        <f t="shared" si="0"/>
        <v>PRIORITY</v>
      </c>
    </row>
    <row r="170" spans="1:12" x14ac:dyDescent="0.3">
      <c r="A170" s="1" t="s">
        <v>47</v>
      </c>
      <c r="B170" s="1" t="s">
        <v>12</v>
      </c>
      <c r="C170" s="1" t="s">
        <v>18</v>
      </c>
      <c r="D170" s="1" t="s">
        <v>56</v>
      </c>
      <c r="E170" s="1">
        <v>12</v>
      </c>
      <c r="F170" s="1">
        <v>12104</v>
      </c>
      <c r="G170" s="1">
        <v>7</v>
      </c>
      <c r="H170" s="2">
        <v>46121</v>
      </c>
      <c r="I170" s="2">
        <v>46130</v>
      </c>
      <c r="J170" s="1" t="s">
        <v>24</v>
      </c>
      <c r="K170" s="1">
        <v>1169</v>
      </c>
      <c r="L170" s="1" t="str">
        <f t="shared" si="0"/>
        <v>NORMAL</v>
      </c>
    </row>
    <row r="171" spans="1:12" x14ac:dyDescent="0.3">
      <c r="A171" s="1" t="s">
        <v>49</v>
      </c>
      <c r="B171" s="1" t="s">
        <v>38</v>
      </c>
      <c r="C171" s="1" t="s">
        <v>13</v>
      </c>
      <c r="D171" s="1" t="s">
        <v>14</v>
      </c>
      <c r="E171" s="1">
        <v>6</v>
      </c>
      <c r="F171" s="1">
        <v>339</v>
      </c>
      <c r="G171" s="1">
        <v>12</v>
      </c>
      <c r="H171" s="2">
        <v>46105</v>
      </c>
      <c r="I171" s="2">
        <v>46106</v>
      </c>
      <c r="J171" s="1" t="s">
        <v>24</v>
      </c>
      <c r="K171" s="1">
        <v>1170</v>
      </c>
      <c r="L171" s="1" t="str">
        <f t="shared" si="0"/>
        <v>PRIORITY</v>
      </c>
    </row>
    <row r="172" spans="1:12" x14ac:dyDescent="0.3">
      <c r="A172" s="1" t="s">
        <v>57</v>
      </c>
      <c r="B172" s="1" t="s">
        <v>25</v>
      </c>
      <c r="C172" s="1" t="s">
        <v>13</v>
      </c>
      <c r="D172" s="1" t="s">
        <v>50</v>
      </c>
      <c r="E172" s="1">
        <v>17</v>
      </c>
      <c r="F172" s="1">
        <v>147</v>
      </c>
      <c r="G172" s="1">
        <v>12</v>
      </c>
      <c r="H172" s="2">
        <v>46155</v>
      </c>
      <c r="I172" s="2">
        <v>46160</v>
      </c>
      <c r="J172" s="1" t="s">
        <v>20</v>
      </c>
      <c r="K172" s="1">
        <v>1171</v>
      </c>
      <c r="L172" s="1" t="str">
        <f t="shared" si="0"/>
        <v>PRIORITY</v>
      </c>
    </row>
    <row r="173" spans="1:12" x14ac:dyDescent="0.3">
      <c r="A173" s="1" t="s">
        <v>16</v>
      </c>
      <c r="B173" s="1" t="s">
        <v>12</v>
      </c>
      <c r="C173" s="1" t="s">
        <v>34</v>
      </c>
      <c r="D173" s="1" t="s">
        <v>45</v>
      </c>
      <c r="E173" s="1">
        <v>13</v>
      </c>
      <c r="F173" s="1">
        <v>43163</v>
      </c>
      <c r="G173" s="1">
        <v>12</v>
      </c>
      <c r="H173" s="2">
        <v>46120</v>
      </c>
      <c r="I173" s="2">
        <v>46129</v>
      </c>
      <c r="J173" s="1" t="s">
        <v>24</v>
      </c>
      <c r="K173" s="1">
        <v>1172</v>
      </c>
      <c r="L173" s="1" t="str">
        <f t="shared" si="0"/>
        <v>NORMAL</v>
      </c>
    </row>
    <row r="174" spans="1:12" x14ac:dyDescent="0.3">
      <c r="A174" s="1" t="s">
        <v>40</v>
      </c>
      <c r="B174" s="1" t="s">
        <v>17</v>
      </c>
      <c r="C174" s="1" t="s">
        <v>13</v>
      </c>
      <c r="D174" s="1" t="s">
        <v>37</v>
      </c>
      <c r="E174" s="1">
        <v>15</v>
      </c>
      <c r="F174" s="1">
        <v>214</v>
      </c>
      <c r="G174" s="1">
        <v>10</v>
      </c>
      <c r="H174" s="2">
        <v>46050</v>
      </c>
      <c r="I174" s="2">
        <v>46060</v>
      </c>
      <c r="J174" s="1" t="s">
        <v>51</v>
      </c>
      <c r="K174" s="1">
        <v>1173</v>
      </c>
      <c r="L174" s="1" t="str">
        <f t="shared" si="0"/>
        <v>PRIORITY</v>
      </c>
    </row>
    <row r="175" spans="1:12" x14ac:dyDescent="0.3">
      <c r="A175" s="1" t="s">
        <v>58</v>
      </c>
      <c r="B175" s="1" t="s">
        <v>38</v>
      </c>
      <c r="C175" s="1" t="s">
        <v>13</v>
      </c>
      <c r="D175" s="1" t="s">
        <v>14</v>
      </c>
      <c r="E175" s="1">
        <v>13</v>
      </c>
      <c r="F175" s="1">
        <v>155</v>
      </c>
      <c r="G175" s="1">
        <v>2</v>
      </c>
      <c r="H175" s="2">
        <v>46066</v>
      </c>
      <c r="I175" s="2">
        <v>46069</v>
      </c>
      <c r="J175" s="1" t="s">
        <v>24</v>
      </c>
      <c r="K175" s="1">
        <v>1174</v>
      </c>
      <c r="L175" s="1" t="str">
        <f t="shared" si="0"/>
        <v>PRIORITY</v>
      </c>
    </row>
    <row r="176" spans="1:12" x14ac:dyDescent="0.3">
      <c r="A176" s="1" t="s">
        <v>26</v>
      </c>
      <c r="B176" s="1" t="s">
        <v>17</v>
      </c>
      <c r="C176" s="1" t="s">
        <v>34</v>
      </c>
      <c r="D176" s="1" t="s">
        <v>41</v>
      </c>
      <c r="E176" s="1">
        <v>10</v>
      </c>
      <c r="F176" s="1">
        <v>20339</v>
      </c>
      <c r="G176" s="1">
        <v>2</v>
      </c>
      <c r="H176" s="2">
        <v>46088</v>
      </c>
      <c r="I176" s="2">
        <v>46094</v>
      </c>
      <c r="J176" s="1" t="s">
        <v>20</v>
      </c>
      <c r="K176" s="1">
        <v>1175</v>
      </c>
      <c r="L176" s="1" t="str">
        <f t="shared" si="0"/>
        <v>NORMAL</v>
      </c>
    </row>
    <row r="177" spans="1:12" x14ac:dyDescent="0.3">
      <c r="A177" s="1" t="s">
        <v>58</v>
      </c>
      <c r="B177" s="1" t="s">
        <v>38</v>
      </c>
      <c r="C177" s="1" t="s">
        <v>34</v>
      </c>
      <c r="D177" s="1" t="s">
        <v>41</v>
      </c>
      <c r="E177" s="1">
        <v>17</v>
      </c>
      <c r="F177" s="1">
        <v>46937</v>
      </c>
      <c r="G177" s="1">
        <v>12</v>
      </c>
      <c r="H177" s="2">
        <v>46048</v>
      </c>
      <c r="I177" s="2">
        <v>46056</v>
      </c>
      <c r="J177" s="1" t="s">
        <v>29</v>
      </c>
      <c r="K177" s="1">
        <v>1176</v>
      </c>
      <c r="L177" s="1" t="str">
        <f t="shared" si="0"/>
        <v>PRIORITY</v>
      </c>
    </row>
    <row r="178" spans="1:12" x14ac:dyDescent="0.3">
      <c r="A178" s="1" t="s">
        <v>29</v>
      </c>
      <c r="B178" s="1" t="s">
        <v>22</v>
      </c>
      <c r="C178" s="1" t="s">
        <v>18</v>
      </c>
      <c r="D178" s="1" t="s">
        <v>19</v>
      </c>
      <c r="E178" s="1">
        <v>14</v>
      </c>
      <c r="F178" s="1">
        <v>7501</v>
      </c>
      <c r="G178" s="1">
        <v>7</v>
      </c>
      <c r="H178" s="2">
        <v>46169</v>
      </c>
      <c r="I178" s="2">
        <v>46179</v>
      </c>
      <c r="J178" s="1" t="s">
        <v>20</v>
      </c>
      <c r="K178" s="1">
        <v>1177</v>
      </c>
      <c r="L178" s="1" t="str">
        <f t="shared" si="0"/>
        <v>NORMAL</v>
      </c>
    </row>
    <row r="179" spans="1:12" x14ac:dyDescent="0.3">
      <c r="A179" s="1" t="s">
        <v>57</v>
      </c>
      <c r="B179" s="1" t="s">
        <v>17</v>
      </c>
      <c r="C179" s="1" t="s">
        <v>13</v>
      </c>
      <c r="D179" s="1" t="s">
        <v>50</v>
      </c>
      <c r="E179" s="1">
        <v>5</v>
      </c>
      <c r="F179" s="1">
        <v>50</v>
      </c>
      <c r="G179" s="1">
        <v>0</v>
      </c>
      <c r="H179" s="2">
        <v>46111</v>
      </c>
      <c r="I179" s="2">
        <v>46117</v>
      </c>
      <c r="J179" s="1" t="s">
        <v>20</v>
      </c>
      <c r="K179" s="1">
        <v>1178</v>
      </c>
      <c r="L179" s="1" t="str">
        <f t="shared" si="0"/>
        <v>NORMAL</v>
      </c>
    </row>
    <row r="180" spans="1:12" x14ac:dyDescent="0.3">
      <c r="A180" s="1" t="s">
        <v>47</v>
      </c>
      <c r="B180" s="1" t="s">
        <v>17</v>
      </c>
      <c r="C180" s="1" t="s">
        <v>34</v>
      </c>
      <c r="D180" s="1" t="s">
        <v>39</v>
      </c>
      <c r="E180" s="1">
        <v>6</v>
      </c>
      <c r="F180" s="1">
        <v>10400</v>
      </c>
      <c r="G180" s="1">
        <v>2</v>
      </c>
      <c r="H180" s="2">
        <v>46155</v>
      </c>
      <c r="I180" s="2">
        <v>46158</v>
      </c>
      <c r="J180" s="1" t="s">
        <v>15</v>
      </c>
      <c r="K180" s="1">
        <v>1179</v>
      </c>
      <c r="L180" s="1" t="str">
        <f t="shared" si="0"/>
        <v>NORMAL</v>
      </c>
    </row>
    <row r="181" spans="1:12" x14ac:dyDescent="0.3">
      <c r="A181" s="1" t="s">
        <v>40</v>
      </c>
      <c r="B181" s="1" t="s">
        <v>31</v>
      </c>
      <c r="C181" s="1" t="s">
        <v>18</v>
      </c>
      <c r="D181" s="1" t="s">
        <v>28</v>
      </c>
      <c r="E181" s="1">
        <v>2</v>
      </c>
      <c r="F181" s="1">
        <v>2076</v>
      </c>
      <c r="G181" s="1">
        <v>2</v>
      </c>
      <c r="H181" s="2">
        <v>46111</v>
      </c>
      <c r="I181" s="2">
        <v>46121</v>
      </c>
      <c r="J181" s="1" t="s">
        <v>29</v>
      </c>
      <c r="K181" s="1">
        <v>1180</v>
      </c>
      <c r="L181" s="1" t="str">
        <f t="shared" si="0"/>
        <v>NORMAL</v>
      </c>
    </row>
    <row r="182" spans="1:12" x14ac:dyDescent="0.3">
      <c r="A182" s="1" t="s">
        <v>58</v>
      </c>
      <c r="B182" s="1" t="s">
        <v>33</v>
      </c>
      <c r="C182" s="1" t="s">
        <v>13</v>
      </c>
      <c r="D182" s="1" t="s">
        <v>36</v>
      </c>
      <c r="E182" s="1">
        <v>4</v>
      </c>
      <c r="F182" s="1">
        <v>357</v>
      </c>
      <c r="G182" s="1">
        <v>2</v>
      </c>
      <c r="H182" s="2">
        <v>46033</v>
      </c>
      <c r="I182" s="2">
        <v>46035</v>
      </c>
      <c r="J182" s="1" t="s">
        <v>15</v>
      </c>
      <c r="K182" s="1">
        <v>1181</v>
      </c>
      <c r="L182" s="1" t="str">
        <f t="shared" si="0"/>
        <v>NORMAL</v>
      </c>
    </row>
    <row r="183" spans="1:12" x14ac:dyDescent="0.3">
      <c r="A183" s="1" t="s">
        <v>42</v>
      </c>
      <c r="B183" s="1" t="s">
        <v>12</v>
      </c>
      <c r="C183" s="1" t="s">
        <v>34</v>
      </c>
      <c r="D183" s="1" t="s">
        <v>39</v>
      </c>
      <c r="E183" s="1">
        <v>8</v>
      </c>
      <c r="F183" s="1">
        <v>66022</v>
      </c>
      <c r="G183" s="1">
        <v>12</v>
      </c>
      <c r="H183" s="2">
        <v>46108</v>
      </c>
      <c r="I183" s="2">
        <v>46114</v>
      </c>
      <c r="J183" s="1" t="s">
        <v>24</v>
      </c>
      <c r="K183" s="1">
        <v>1182</v>
      </c>
      <c r="L183" s="1" t="str">
        <f t="shared" si="0"/>
        <v>NORMAL</v>
      </c>
    </row>
    <row r="184" spans="1:12" x14ac:dyDescent="0.3">
      <c r="A184" s="1" t="s">
        <v>52</v>
      </c>
      <c r="B184" s="1" t="s">
        <v>43</v>
      </c>
      <c r="C184" s="1" t="s">
        <v>13</v>
      </c>
      <c r="D184" s="1" t="s">
        <v>14</v>
      </c>
      <c r="E184" s="1">
        <v>2</v>
      </c>
      <c r="F184" s="1">
        <v>309</v>
      </c>
      <c r="G184" s="1">
        <v>2</v>
      </c>
      <c r="H184" s="2">
        <v>46109</v>
      </c>
      <c r="I184" s="2">
        <v>46111</v>
      </c>
      <c r="J184" s="1" t="s">
        <v>20</v>
      </c>
      <c r="K184" s="1">
        <v>1183</v>
      </c>
      <c r="L184" s="1" t="str">
        <f t="shared" si="0"/>
        <v>NORMAL</v>
      </c>
    </row>
    <row r="185" spans="1:12" x14ac:dyDescent="0.3">
      <c r="A185" s="1" t="s">
        <v>40</v>
      </c>
      <c r="B185" s="1" t="s">
        <v>31</v>
      </c>
      <c r="C185" s="1" t="s">
        <v>34</v>
      </c>
      <c r="D185" s="1" t="s">
        <v>39</v>
      </c>
      <c r="E185" s="1">
        <v>12</v>
      </c>
      <c r="F185" s="1">
        <v>50517</v>
      </c>
      <c r="G185" s="1">
        <v>15</v>
      </c>
      <c r="H185" s="2">
        <v>46145</v>
      </c>
      <c r="I185" s="2">
        <v>46153</v>
      </c>
      <c r="J185" s="1" t="s">
        <v>29</v>
      </c>
      <c r="K185" s="1">
        <v>1184</v>
      </c>
      <c r="L185" s="1" t="str">
        <f t="shared" si="0"/>
        <v>NORMAL</v>
      </c>
    </row>
    <row r="186" spans="1:12" x14ac:dyDescent="0.3">
      <c r="A186" s="1" t="s">
        <v>58</v>
      </c>
      <c r="B186" s="1" t="s">
        <v>22</v>
      </c>
      <c r="C186" s="1" t="s">
        <v>34</v>
      </c>
      <c r="D186" s="1" t="s">
        <v>60</v>
      </c>
      <c r="E186" s="1">
        <v>16</v>
      </c>
      <c r="F186" s="1">
        <v>15536</v>
      </c>
      <c r="G186" s="1">
        <v>2</v>
      </c>
      <c r="H186" s="2">
        <v>46153</v>
      </c>
      <c r="I186" s="2">
        <v>46156</v>
      </c>
      <c r="J186" s="1" t="s">
        <v>15</v>
      </c>
      <c r="K186" s="1">
        <v>1185</v>
      </c>
      <c r="L186" s="1" t="str">
        <f t="shared" si="0"/>
        <v>PRIORITY</v>
      </c>
    </row>
    <row r="187" spans="1:12" x14ac:dyDescent="0.3">
      <c r="A187" s="1" t="s">
        <v>16</v>
      </c>
      <c r="B187" s="1" t="s">
        <v>25</v>
      </c>
      <c r="C187" s="1" t="s">
        <v>18</v>
      </c>
      <c r="D187" s="1" t="s">
        <v>44</v>
      </c>
      <c r="E187" s="1">
        <v>10</v>
      </c>
      <c r="F187" s="1">
        <v>14951</v>
      </c>
      <c r="G187" s="1">
        <v>2</v>
      </c>
      <c r="H187" s="2">
        <v>46188</v>
      </c>
      <c r="I187" s="2">
        <v>46196</v>
      </c>
      <c r="J187" s="1" t="s">
        <v>24</v>
      </c>
      <c r="K187" s="1">
        <v>1186</v>
      </c>
      <c r="L187" s="1" t="str">
        <f t="shared" si="0"/>
        <v>NORMAL</v>
      </c>
    </row>
    <row r="188" spans="1:12" x14ac:dyDescent="0.3">
      <c r="A188" s="1" t="s">
        <v>54</v>
      </c>
      <c r="B188" s="1" t="s">
        <v>22</v>
      </c>
      <c r="C188" s="1" t="s">
        <v>34</v>
      </c>
      <c r="D188" s="1" t="s">
        <v>45</v>
      </c>
      <c r="E188" s="1">
        <v>18</v>
      </c>
      <c r="F188" s="1">
        <v>68527</v>
      </c>
      <c r="G188" s="1">
        <v>12</v>
      </c>
      <c r="H188" s="2">
        <v>46178</v>
      </c>
      <c r="I188" s="2">
        <v>46184</v>
      </c>
      <c r="J188" s="1" t="s">
        <v>51</v>
      </c>
      <c r="K188" s="1">
        <v>1187</v>
      </c>
      <c r="L188" s="1" t="str">
        <f t="shared" si="0"/>
        <v>PRIORITY</v>
      </c>
    </row>
    <row r="189" spans="1:12" x14ac:dyDescent="0.3">
      <c r="A189" s="1" t="s">
        <v>29</v>
      </c>
      <c r="B189" s="1" t="s">
        <v>22</v>
      </c>
      <c r="C189" s="1" t="s">
        <v>18</v>
      </c>
      <c r="D189" s="1" t="s">
        <v>56</v>
      </c>
      <c r="E189" s="1">
        <v>6</v>
      </c>
      <c r="F189" s="1">
        <v>10368</v>
      </c>
      <c r="G189" s="1">
        <v>7</v>
      </c>
      <c r="H189" s="2">
        <v>46137</v>
      </c>
      <c r="I189" s="2">
        <v>46142</v>
      </c>
      <c r="J189" s="1" t="s">
        <v>15</v>
      </c>
      <c r="K189" s="1">
        <v>1188</v>
      </c>
      <c r="L189" s="1" t="str">
        <f t="shared" si="0"/>
        <v>NORMAL</v>
      </c>
    </row>
    <row r="190" spans="1:12" x14ac:dyDescent="0.3">
      <c r="A190" s="1" t="s">
        <v>49</v>
      </c>
      <c r="B190" s="1" t="s">
        <v>31</v>
      </c>
      <c r="C190" s="1" t="s">
        <v>18</v>
      </c>
      <c r="D190" s="1" t="s">
        <v>56</v>
      </c>
      <c r="E190" s="1">
        <v>12</v>
      </c>
      <c r="F190" s="1">
        <v>8327</v>
      </c>
      <c r="G190" s="1">
        <v>10</v>
      </c>
      <c r="H190" s="2">
        <v>46184</v>
      </c>
      <c r="I190" s="2">
        <v>46185</v>
      </c>
      <c r="J190" s="1" t="s">
        <v>29</v>
      </c>
      <c r="K190" s="1">
        <v>1189</v>
      </c>
      <c r="L190" s="1" t="str">
        <f t="shared" si="0"/>
        <v>NORMAL</v>
      </c>
    </row>
    <row r="191" spans="1:12" x14ac:dyDescent="0.3">
      <c r="A191" s="1" t="s">
        <v>57</v>
      </c>
      <c r="B191" s="1" t="s">
        <v>17</v>
      </c>
      <c r="C191" s="1" t="s">
        <v>18</v>
      </c>
      <c r="D191" s="1" t="s">
        <v>28</v>
      </c>
      <c r="E191" s="1">
        <v>4</v>
      </c>
      <c r="F191" s="1">
        <v>10154</v>
      </c>
      <c r="G191" s="1">
        <v>7</v>
      </c>
      <c r="H191" s="2">
        <v>46052</v>
      </c>
      <c r="I191" s="2">
        <v>46062</v>
      </c>
      <c r="J191" s="1" t="s">
        <v>20</v>
      </c>
      <c r="K191" s="1">
        <v>1190</v>
      </c>
      <c r="L191" s="1" t="str">
        <f t="shared" si="0"/>
        <v>NORMAL</v>
      </c>
    </row>
    <row r="192" spans="1:12" x14ac:dyDescent="0.3">
      <c r="A192" s="1" t="s">
        <v>52</v>
      </c>
      <c r="B192" s="1" t="s">
        <v>33</v>
      </c>
      <c r="C192" s="1" t="s">
        <v>18</v>
      </c>
      <c r="D192" s="1" t="s">
        <v>56</v>
      </c>
      <c r="E192" s="1">
        <v>9</v>
      </c>
      <c r="F192" s="1">
        <v>8631</v>
      </c>
      <c r="G192" s="1">
        <v>10</v>
      </c>
      <c r="H192" s="2">
        <v>46149</v>
      </c>
      <c r="I192" s="2">
        <v>46156</v>
      </c>
      <c r="J192" s="1" t="s">
        <v>20</v>
      </c>
      <c r="K192" s="1">
        <v>1191</v>
      </c>
      <c r="L192" s="1" t="str">
        <f t="shared" si="0"/>
        <v>NORMAL</v>
      </c>
    </row>
    <row r="193" spans="1:12" x14ac:dyDescent="0.3">
      <c r="A193" s="1" t="s">
        <v>21</v>
      </c>
      <c r="B193" s="1" t="s">
        <v>33</v>
      </c>
      <c r="C193" s="1" t="s">
        <v>13</v>
      </c>
      <c r="D193" s="1" t="s">
        <v>53</v>
      </c>
      <c r="E193" s="1">
        <v>18</v>
      </c>
      <c r="F193" s="1">
        <v>49</v>
      </c>
      <c r="G193" s="1">
        <v>12</v>
      </c>
      <c r="H193" s="2">
        <v>46089</v>
      </c>
      <c r="I193" s="2">
        <v>46095</v>
      </c>
      <c r="J193" s="1" t="s">
        <v>24</v>
      </c>
      <c r="K193" s="1">
        <v>1192</v>
      </c>
      <c r="L193" s="1" t="str">
        <f t="shared" si="0"/>
        <v>PRIORITY</v>
      </c>
    </row>
    <row r="194" spans="1:12" x14ac:dyDescent="0.3">
      <c r="A194" s="1" t="s">
        <v>57</v>
      </c>
      <c r="B194" s="1" t="s">
        <v>12</v>
      </c>
      <c r="C194" s="1" t="s">
        <v>18</v>
      </c>
      <c r="D194" s="1" t="s">
        <v>23</v>
      </c>
      <c r="E194" s="1">
        <v>19</v>
      </c>
      <c r="F194" s="1">
        <v>2699</v>
      </c>
      <c r="G194" s="1">
        <v>7</v>
      </c>
      <c r="H194" s="2">
        <v>46110</v>
      </c>
      <c r="I194" s="2">
        <v>46112</v>
      </c>
      <c r="J194" s="1" t="s">
        <v>29</v>
      </c>
      <c r="K194" s="1">
        <v>1193</v>
      </c>
      <c r="L194" s="1" t="str">
        <f t="shared" si="0"/>
        <v>PRIORITY</v>
      </c>
    </row>
    <row r="195" spans="1:12" x14ac:dyDescent="0.3">
      <c r="A195" s="1" t="s">
        <v>57</v>
      </c>
      <c r="B195" s="1" t="s">
        <v>43</v>
      </c>
      <c r="C195" s="1" t="s">
        <v>18</v>
      </c>
      <c r="D195" s="1" t="s">
        <v>28</v>
      </c>
      <c r="E195" s="1">
        <v>13</v>
      </c>
      <c r="F195" s="1">
        <v>12856</v>
      </c>
      <c r="G195" s="1">
        <v>15</v>
      </c>
      <c r="H195" s="2">
        <v>46129</v>
      </c>
      <c r="I195" s="2">
        <v>46133</v>
      </c>
      <c r="J195" s="1" t="s">
        <v>51</v>
      </c>
      <c r="K195" s="1">
        <v>1194</v>
      </c>
      <c r="L195" s="1" t="str">
        <f t="shared" si="0"/>
        <v>NORMAL</v>
      </c>
    </row>
    <row r="196" spans="1:12" x14ac:dyDescent="0.3">
      <c r="A196" s="1" t="s">
        <v>59</v>
      </c>
      <c r="B196" s="1" t="s">
        <v>17</v>
      </c>
      <c r="C196" s="1" t="s">
        <v>13</v>
      </c>
      <c r="D196" s="1" t="s">
        <v>50</v>
      </c>
      <c r="E196" s="1">
        <v>19</v>
      </c>
      <c r="F196" s="1">
        <v>313</v>
      </c>
      <c r="G196" s="1">
        <v>2</v>
      </c>
      <c r="H196" s="2">
        <v>46198</v>
      </c>
      <c r="I196" s="2">
        <v>46206</v>
      </c>
      <c r="J196" s="1" t="s">
        <v>51</v>
      </c>
      <c r="K196" s="1">
        <v>1195</v>
      </c>
      <c r="L196" s="1" t="str">
        <f t="shared" si="0"/>
        <v>PRIORITY</v>
      </c>
    </row>
    <row r="197" spans="1:12" x14ac:dyDescent="0.3">
      <c r="A197" s="1" t="s">
        <v>48</v>
      </c>
      <c r="B197" s="1" t="s">
        <v>22</v>
      </c>
      <c r="C197" s="1" t="s">
        <v>34</v>
      </c>
      <c r="D197" s="1" t="s">
        <v>35</v>
      </c>
      <c r="E197" s="1">
        <v>20</v>
      </c>
      <c r="F197" s="1">
        <v>3172</v>
      </c>
      <c r="G197" s="1">
        <v>5</v>
      </c>
      <c r="H197" s="2">
        <v>46155</v>
      </c>
      <c r="I197" s="2">
        <v>46159</v>
      </c>
      <c r="J197" s="1" t="s">
        <v>20</v>
      </c>
      <c r="K197" s="1">
        <v>1196</v>
      </c>
      <c r="L197" s="1" t="str">
        <f t="shared" si="0"/>
        <v>PRIORITY</v>
      </c>
    </row>
    <row r="198" spans="1:12" x14ac:dyDescent="0.3">
      <c r="A198" s="1" t="s">
        <v>52</v>
      </c>
      <c r="B198" s="1" t="s">
        <v>31</v>
      </c>
      <c r="C198" s="1" t="s">
        <v>34</v>
      </c>
      <c r="D198" s="1" t="s">
        <v>35</v>
      </c>
      <c r="E198" s="1">
        <v>5</v>
      </c>
      <c r="F198" s="1">
        <v>45352</v>
      </c>
      <c r="G198" s="1">
        <v>12</v>
      </c>
      <c r="H198" s="2">
        <v>46045</v>
      </c>
      <c r="I198" s="2">
        <v>46048</v>
      </c>
      <c r="J198" s="1" t="s">
        <v>15</v>
      </c>
      <c r="K198" s="1">
        <v>1197</v>
      </c>
      <c r="L198" s="1" t="str">
        <f t="shared" si="0"/>
        <v>NORMAL</v>
      </c>
    </row>
    <row r="199" spans="1:12" x14ac:dyDescent="0.3">
      <c r="A199" s="1" t="s">
        <v>58</v>
      </c>
      <c r="B199" s="1" t="s">
        <v>12</v>
      </c>
      <c r="C199" s="1" t="s">
        <v>13</v>
      </c>
      <c r="D199" s="1" t="s">
        <v>14</v>
      </c>
      <c r="E199" s="1">
        <v>12</v>
      </c>
      <c r="F199" s="1">
        <v>491</v>
      </c>
      <c r="G199" s="1">
        <v>2</v>
      </c>
      <c r="H199" s="2">
        <v>46106</v>
      </c>
      <c r="I199" s="2">
        <v>46109</v>
      </c>
      <c r="J199" s="1" t="s">
        <v>51</v>
      </c>
      <c r="K199" s="1">
        <v>1198</v>
      </c>
      <c r="L199" s="1" t="str">
        <f t="shared" si="0"/>
        <v>NORMAL</v>
      </c>
    </row>
    <row r="200" spans="1:12" x14ac:dyDescent="0.3">
      <c r="A200" s="1" t="s">
        <v>11</v>
      </c>
      <c r="B200" s="1" t="s">
        <v>25</v>
      </c>
      <c r="C200" s="1" t="s">
        <v>34</v>
      </c>
      <c r="D200" s="1" t="s">
        <v>45</v>
      </c>
      <c r="E200" s="1">
        <v>2</v>
      </c>
      <c r="F200" s="1">
        <v>4375</v>
      </c>
      <c r="G200" s="1">
        <v>7</v>
      </c>
      <c r="H200" s="2">
        <v>46178</v>
      </c>
      <c r="I200" s="2">
        <v>46180</v>
      </c>
      <c r="J200" s="1" t="s">
        <v>24</v>
      </c>
      <c r="K200" s="1">
        <v>1199</v>
      </c>
      <c r="L200" s="1" t="str">
        <f t="shared" si="0"/>
        <v>NORMAL</v>
      </c>
    </row>
    <row r="201" spans="1:12" x14ac:dyDescent="0.3">
      <c r="A201" s="1" t="s">
        <v>29</v>
      </c>
      <c r="B201" s="1" t="s">
        <v>31</v>
      </c>
      <c r="C201" s="1" t="s">
        <v>34</v>
      </c>
      <c r="D201" s="1" t="s">
        <v>45</v>
      </c>
      <c r="E201" s="1">
        <v>13</v>
      </c>
      <c r="F201" s="1">
        <v>69422</v>
      </c>
      <c r="G201" s="1">
        <v>0</v>
      </c>
      <c r="H201" s="2">
        <v>46134</v>
      </c>
      <c r="I201" s="2">
        <v>46143</v>
      </c>
      <c r="J201" s="1" t="s">
        <v>29</v>
      </c>
      <c r="K201" s="1">
        <v>1200</v>
      </c>
      <c r="L201" s="1" t="str">
        <f t="shared" si="0"/>
        <v>NORMAL</v>
      </c>
    </row>
    <row r="202" spans="1:12" x14ac:dyDescent="0.3">
      <c r="A202" s="1" t="s">
        <v>54</v>
      </c>
      <c r="B202" s="1" t="s">
        <v>31</v>
      </c>
      <c r="C202" s="1" t="s">
        <v>13</v>
      </c>
      <c r="D202" s="1" t="s">
        <v>53</v>
      </c>
      <c r="E202" s="1">
        <v>18</v>
      </c>
      <c r="F202" s="1">
        <v>139</v>
      </c>
      <c r="G202" s="1">
        <v>12</v>
      </c>
      <c r="H202" s="2">
        <v>46075</v>
      </c>
      <c r="I202" s="2">
        <v>46076</v>
      </c>
      <c r="J202" s="1" t="s">
        <v>20</v>
      </c>
      <c r="K202" s="1">
        <v>1201</v>
      </c>
      <c r="L202" s="1" t="str">
        <f t="shared" si="0"/>
        <v>PRIORITY</v>
      </c>
    </row>
    <row r="203" spans="1:12" x14ac:dyDescent="0.3">
      <c r="A203" s="1" t="s">
        <v>57</v>
      </c>
      <c r="B203" s="1" t="s">
        <v>22</v>
      </c>
      <c r="C203" s="1" t="s">
        <v>34</v>
      </c>
      <c r="D203" s="1" t="s">
        <v>35</v>
      </c>
      <c r="E203" s="1">
        <v>2</v>
      </c>
      <c r="F203" s="1">
        <v>20312</v>
      </c>
      <c r="G203" s="1">
        <v>12</v>
      </c>
      <c r="H203" s="2">
        <v>46082</v>
      </c>
      <c r="I203" s="2">
        <v>46091</v>
      </c>
      <c r="J203" s="1" t="s">
        <v>15</v>
      </c>
      <c r="K203" s="1">
        <v>1202</v>
      </c>
      <c r="L203" s="1" t="str">
        <f t="shared" si="0"/>
        <v>NORMAL</v>
      </c>
    </row>
    <row r="204" spans="1:12" x14ac:dyDescent="0.3">
      <c r="A204" s="1" t="s">
        <v>40</v>
      </c>
      <c r="B204" s="1" t="s">
        <v>22</v>
      </c>
      <c r="C204" s="1" t="s">
        <v>18</v>
      </c>
      <c r="D204" s="1" t="s">
        <v>23</v>
      </c>
      <c r="E204" s="1">
        <v>17</v>
      </c>
      <c r="F204" s="1">
        <v>6695</v>
      </c>
      <c r="G204" s="1">
        <v>2</v>
      </c>
      <c r="H204" s="2">
        <v>46119</v>
      </c>
      <c r="I204" s="2">
        <v>46122</v>
      </c>
      <c r="J204" s="1" t="s">
        <v>51</v>
      </c>
      <c r="K204" s="1">
        <v>1203</v>
      </c>
      <c r="L204" s="1" t="str">
        <f t="shared" si="0"/>
        <v>PRIORITY</v>
      </c>
    </row>
    <row r="205" spans="1:12" x14ac:dyDescent="0.3">
      <c r="A205" s="1" t="s">
        <v>16</v>
      </c>
      <c r="B205" s="1" t="s">
        <v>31</v>
      </c>
      <c r="C205" s="1" t="s">
        <v>13</v>
      </c>
      <c r="D205" s="1" t="s">
        <v>37</v>
      </c>
      <c r="E205" s="1">
        <v>13</v>
      </c>
      <c r="F205" s="1">
        <v>416</v>
      </c>
      <c r="G205" s="1">
        <v>10</v>
      </c>
      <c r="H205" s="2">
        <v>46123</v>
      </c>
      <c r="I205" s="2">
        <v>46132</v>
      </c>
      <c r="J205" s="1" t="s">
        <v>20</v>
      </c>
      <c r="K205" s="1">
        <v>1204</v>
      </c>
      <c r="L205" s="1" t="str">
        <f t="shared" si="0"/>
        <v>NORMAL</v>
      </c>
    </row>
    <row r="206" spans="1:12" x14ac:dyDescent="0.3">
      <c r="A206" s="1" t="s">
        <v>21</v>
      </c>
      <c r="B206" s="1" t="s">
        <v>38</v>
      </c>
      <c r="C206" s="1" t="s">
        <v>13</v>
      </c>
      <c r="D206" s="1" t="s">
        <v>36</v>
      </c>
      <c r="E206" s="1">
        <v>1</v>
      </c>
      <c r="F206" s="1">
        <v>112</v>
      </c>
      <c r="G206" s="1">
        <v>7</v>
      </c>
      <c r="H206" s="2">
        <v>46033</v>
      </c>
      <c r="I206" s="2">
        <v>46040</v>
      </c>
      <c r="J206" s="1" t="s">
        <v>51</v>
      </c>
      <c r="K206" s="1">
        <v>1205</v>
      </c>
      <c r="L206" s="1" t="str">
        <f t="shared" si="0"/>
        <v>PRIORITY</v>
      </c>
    </row>
    <row r="207" spans="1:12" x14ac:dyDescent="0.3">
      <c r="A207" s="1" t="s">
        <v>55</v>
      </c>
      <c r="B207" s="1" t="s">
        <v>33</v>
      </c>
      <c r="C207" s="1" t="s">
        <v>13</v>
      </c>
      <c r="D207" s="1" t="s">
        <v>14</v>
      </c>
      <c r="E207" s="1">
        <v>9</v>
      </c>
      <c r="F207" s="1">
        <v>60</v>
      </c>
      <c r="G207" s="1">
        <v>0</v>
      </c>
      <c r="H207" s="2">
        <v>46166</v>
      </c>
      <c r="I207" s="2">
        <v>46174</v>
      </c>
      <c r="J207" s="1" t="s">
        <v>15</v>
      </c>
      <c r="K207" s="1">
        <v>1206</v>
      </c>
      <c r="L207" s="1" t="str">
        <f t="shared" si="0"/>
        <v>NORMAL</v>
      </c>
    </row>
    <row r="208" spans="1:12" x14ac:dyDescent="0.3">
      <c r="A208" s="1" t="s">
        <v>55</v>
      </c>
      <c r="B208" s="1" t="s">
        <v>25</v>
      </c>
      <c r="C208" s="1" t="s">
        <v>13</v>
      </c>
      <c r="D208" s="1" t="s">
        <v>53</v>
      </c>
      <c r="E208" s="1">
        <v>7</v>
      </c>
      <c r="F208" s="1">
        <v>244</v>
      </c>
      <c r="G208" s="1">
        <v>2</v>
      </c>
      <c r="H208" s="2">
        <v>46164</v>
      </c>
      <c r="I208" s="2">
        <v>46173</v>
      </c>
      <c r="J208" s="1" t="s">
        <v>24</v>
      </c>
      <c r="K208" s="1">
        <v>1207</v>
      </c>
      <c r="L208" s="1" t="str">
        <f t="shared" si="0"/>
        <v>NORMAL</v>
      </c>
    </row>
    <row r="209" spans="1:12" x14ac:dyDescent="0.3">
      <c r="A209" s="1" t="s">
        <v>54</v>
      </c>
      <c r="B209" s="1" t="s">
        <v>43</v>
      </c>
      <c r="C209" s="1" t="s">
        <v>18</v>
      </c>
      <c r="D209" s="1" t="s">
        <v>44</v>
      </c>
      <c r="E209" s="1">
        <v>6</v>
      </c>
      <c r="F209" s="1">
        <v>7627</v>
      </c>
      <c r="G209" s="1">
        <v>10</v>
      </c>
      <c r="H209" s="2">
        <v>46042</v>
      </c>
      <c r="I209" s="2">
        <v>46047</v>
      </c>
      <c r="J209" s="1" t="s">
        <v>20</v>
      </c>
      <c r="K209" s="1">
        <v>1208</v>
      </c>
      <c r="L209" s="1" t="str">
        <f t="shared" si="0"/>
        <v>NORMAL</v>
      </c>
    </row>
    <row r="210" spans="1:12" x14ac:dyDescent="0.3">
      <c r="A210" s="1" t="s">
        <v>48</v>
      </c>
      <c r="B210" s="1" t="s">
        <v>38</v>
      </c>
      <c r="C210" s="1" t="s">
        <v>34</v>
      </c>
      <c r="D210" s="1" t="s">
        <v>35</v>
      </c>
      <c r="E210" s="1">
        <v>19</v>
      </c>
      <c r="F210" s="1">
        <v>20284</v>
      </c>
      <c r="G210" s="1">
        <v>10</v>
      </c>
      <c r="H210" s="2">
        <v>46103</v>
      </c>
      <c r="I210" s="2">
        <v>46110</v>
      </c>
      <c r="J210" s="1" t="s">
        <v>20</v>
      </c>
      <c r="K210" s="1">
        <v>1209</v>
      </c>
      <c r="L210" s="1" t="str">
        <f t="shared" si="0"/>
        <v>PRIORITY</v>
      </c>
    </row>
    <row r="211" spans="1:12" x14ac:dyDescent="0.3">
      <c r="A211" s="1" t="s">
        <v>30</v>
      </c>
      <c r="B211" s="1" t="s">
        <v>31</v>
      </c>
      <c r="C211" s="1" t="s">
        <v>13</v>
      </c>
      <c r="D211" s="1" t="s">
        <v>53</v>
      </c>
      <c r="E211" s="1">
        <v>10</v>
      </c>
      <c r="F211" s="1">
        <v>349</v>
      </c>
      <c r="G211" s="1">
        <v>0</v>
      </c>
      <c r="H211" s="2">
        <v>46052</v>
      </c>
      <c r="I211" s="2">
        <v>46060</v>
      </c>
      <c r="J211" s="1" t="s">
        <v>29</v>
      </c>
      <c r="K211" s="1">
        <v>1210</v>
      </c>
      <c r="L211" s="1" t="str">
        <f t="shared" si="0"/>
        <v>NORMAL</v>
      </c>
    </row>
    <row r="212" spans="1:12" x14ac:dyDescent="0.3">
      <c r="A212" s="1" t="s">
        <v>48</v>
      </c>
      <c r="B212" s="1" t="s">
        <v>17</v>
      </c>
      <c r="C212" s="1" t="s">
        <v>34</v>
      </c>
      <c r="D212" s="1" t="s">
        <v>35</v>
      </c>
      <c r="E212" s="1">
        <v>3</v>
      </c>
      <c r="F212" s="1">
        <v>5962</v>
      </c>
      <c r="G212" s="1">
        <v>7</v>
      </c>
      <c r="H212" s="2">
        <v>46175</v>
      </c>
      <c r="I212" s="2">
        <v>46183</v>
      </c>
      <c r="J212" s="1" t="s">
        <v>15</v>
      </c>
      <c r="K212" s="1">
        <v>1211</v>
      </c>
      <c r="L212" s="1" t="str">
        <f t="shared" si="0"/>
        <v>NORMAL</v>
      </c>
    </row>
    <row r="213" spans="1:12" x14ac:dyDescent="0.3">
      <c r="A213" s="1" t="s">
        <v>59</v>
      </c>
      <c r="B213" s="1" t="s">
        <v>25</v>
      </c>
      <c r="C213" s="1" t="s">
        <v>34</v>
      </c>
      <c r="D213" s="1" t="s">
        <v>60</v>
      </c>
      <c r="E213" s="1">
        <v>10</v>
      </c>
      <c r="F213" s="1">
        <v>34380</v>
      </c>
      <c r="G213" s="1">
        <v>7</v>
      </c>
      <c r="H213" s="2">
        <v>46194</v>
      </c>
      <c r="I213" s="2">
        <v>46195</v>
      </c>
      <c r="J213" s="1" t="s">
        <v>29</v>
      </c>
      <c r="K213" s="1">
        <v>1212</v>
      </c>
      <c r="L213" s="1" t="str">
        <f t="shared" si="0"/>
        <v>NORMAL</v>
      </c>
    </row>
    <row r="214" spans="1:12" x14ac:dyDescent="0.3">
      <c r="A214" s="1" t="s">
        <v>32</v>
      </c>
      <c r="B214" s="1" t="s">
        <v>38</v>
      </c>
      <c r="C214" s="1" t="s">
        <v>34</v>
      </c>
      <c r="D214" s="1" t="s">
        <v>45</v>
      </c>
      <c r="E214" s="1">
        <v>16</v>
      </c>
      <c r="F214" s="1">
        <v>27741</v>
      </c>
      <c r="G214" s="1">
        <v>12</v>
      </c>
      <c r="H214" s="2">
        <v>46116</v>
      </c>
      <c r="I214" s="2">
        <v>46119</v>
      </c>
      <c r="J214" s="1" t="s">
        <v>15</v>
      </c>
      <c r="K214" s="1">
        <v>1213</v>
      </c>
      <c r="L214" s="1" t="str">
        <f t="shared" si="0"/>
        <v>PRIORITY</v>
      </c>
    </row>
    <row r="215" spans="1:12" x14ac:dyDescent="0.3">
      <c r="A215" s="1" t="s">
        <v>42</v>
      </c>
      <c r="B215" s="1" t="s">
        <v>25</v>
      </c>
      <c r="C215" s="1" t="s">
        <v>18</v>
      </c>
      <c r="D215" s="1" t="s">
        <v>28</v>
      </c>
      <c r="E215" s="1">
        <v>19</v>
      </c>
      <c r="F215" s="1">
        <v>13832</v>
      </c>
      <c r="G215" s="1">
        <v>0</v>
      </c>
      <c r="H215" s="2">
        <v>46140</v>
      </c>
      <c r="I215" s="2">
        <v>46145</v>
      </c>
      <c r="J215" s="1" t="s">
        <v>51</v>
      </c>
      <c r="K215" s="1">
        <v>1214</v>
      </c>
      <c r="L215" s="1" t="str">
        <f t="shared" si="0"/>
        <v>PRIORITY</v>
      </c>
    </row>
    <row r="216" spans="1:12" x14ac:dyDescent="0.3">
      <c r="A216" s="1" t="s">
        <v>27</v>
      </c>
      <c r="B216" s="1" t="s">
        <v>12</v>
      </c>
      <c r="C216" s="1" t="s">
        <v>18</v>
      </c>
      <c r="D216" s="1" t="s">
        <v>28</v>
      </c>
      <c r="E216" s="1">
        <v>6</v>
      </c>
      <c r="F216" s="1">
        <v>1254</v>
      </c>
      <c r="G216" s="1">
        <v>0</v>
      </c>
      <c r="H216" s="2">
        <v>46131</v>
      </c>
      <c r="I216" s="2">
        <v>46136</v>
      </c>
      <c r="J216" s="1" t="s">
        <v>29</v>
      </c>
      <c r="K216" s="1">
        <v>1215</v>
      </c>
      <c r="L216" s="1" t="str">
        <f t="shared" si="0"/>
        <v>NORMAL</v>
      </c>
    </row>
    <row r="217" spans="1:12" x14ac:dyDescent="0.3">
      <c r="A217" s="1" t="s">
        <v>40</v>
      </c>
      <c r="B217" s="1" t="s">
        <v>22</v>
      </c>
      <c r="C217" s="1" t="s">
        <v>34</v>
      </c>
      <c r="D217" s="1" t="s">
        <v>45</v>
      </c>
      <c r="E217" s="1">
        <v>10</v>
      </c>
      <c r="F217" s="1">
        <v>56709</v>
      </c>
      <c r="G217" s="1">
        <v>15</v>
      </c>
      <c r="H217" s="2">
        <v>46135</v>
      </c>
      <c r="I217" s="2">
        <v>46139</v>
      </c>
      <c r="J217" s="1" t="s">
        <v>29</v>
      </c>
      <c r="K217" s="1">
        <v>1216</v>
      </c>
      <c r="L217" s="1" t="str">
        <f t="shared" si="0"/>
        <v>NORMAL</v>
      </c>
    </row>
    <row r="218" spans="1:12" x14ac:dyDescent="0.3">
      <c r="A218" s="1" t="s">
        <v>30</v>
      </c>
      <c r="B218" s="1" t="s">
        <v>22</v>
      </c>
      <c r="C218" s="1" t="s">
        <v>13</v>
      </c>
      <c r="D218" s="1" t="s">
        <v>50</v>
      </c>
      <c r="E218" s="1">
        <v>18</v>
      </c>
      <c r="F218" s="1">
        <v>60</v>
      </c>
      <c r="G218" s="1">
        <v>0</v>
      </c>
      <c r="H218" s="2">
        <v>46171</v>
      </c>
      <c r="I218" s="2">
        <v>46172</v>
      </c>
      <c r="J218" s="1" t="s">
        <v>29</v>
      </c>
      <c r="K218" s="1">
        <v>1217</v>
      </c>
      <c r="L218" s="1" t="str">
        <f t="shared" si="0"/>
        <v>PRIORITY</v>
      </c>
    </row>
    <row r="219" spans="1:12" x14ac:dyDescent="0.3">
      <c r="A219" s="1" t="s">
        <v>55</v>
      </c>
      <c r="B219" s="1" t="s">
        <v>38</v>
      </c>
      <c r="C219" s="1" t="s">
        <v>13</v>
      </c>
      <c r="D219" s="1" t="s">
        <v>14</v>
      </c>
      <c r="E219" s="1">
        <v>1</v>
      </c>
      <c r="F219" s="1">
        <v>134</v>
      </c>
      <c r="G219" s="1">
        <v>10</v>
      </c>
      <c r="H219" s="2">
        <v>46143</v>
      </c>
      <c r="I219" s="2">
        <v>46151</v>
      </c>
      <c r="J219" s="1" t="s">
        <v>51</v>
      </c>
      <c r="K219" s="1">
        <v>1218</v>
      </c>
      <c r="L219" s="1" t="str">
        <f t="shared" si="0"/>
        <v>PRIORITY</v>
      </c>
    </row>
    <row r="220" spans="1:12" x14ac:dyDescent="0.3">
      <c r="A220" s="1" t="s">
        <v>46</v>
      </c>
      <c r="B220" s="1" t="s">
        <v>22</v>
      </c>
      <c r="C220" s="1" t="s">
        <v>13</v>
      </c>
      <c r="D220" s="1" t="s">
        <v>14</v>
      </c>
      <c r="E220" s="1">
        <v>4</v>
      </c>
      <c r="F220" s="1">
        <v>117</v>
      </c>
      <c r="G220" s="1">
        <v>15</v>
      </c>
      <c r="H220" s="2">
        <v>46202</v>
      </c>
      <c r="I220" s="2">
        <v>46206</v>
      </c>
      <c r="J220" s="1" t="s">
        <v>29</v>
      </c>
      <c r="K220" s="1">
        <v>1219</v>
      </c>
      <c r="L220" s="1" t="str">
        <f t="shared" si="0"/>
        <v>NORMAL</v>
      </c>
    </row>
    <row r="221" spans="1:12" x14ac:dyDescent="0.3">
      <c r="A221" s="1" t="s">
        <v>11</v>
      </c>
      <c r="B221" s="1" t="s">
        <v>25</v>
      </c>
      <c r="C221" s="1" t="s">
        <v>18</v>
      </c>
      <c r="D221" s="1" t="s">
        <v>56</v>
      </c>
      <c r="E221" s="1">
        <v>2</v>
      </c>
      <c r="F221" s="1">
        <v>8861</v>
      </c>
      <c r="G221" s="1">
        <v>2</v>
      </c>
      <c r="H221" s="2">
        <v>46170</v>
      </c>
      <c r="I221" s="2">
        <v>46174</v>
      </c>
      <c r="J221" s="1" t="s">
        <v>24</v>
      </c>
      <c r="K221" s="1">
        <v>1220</v>
      </c>
      <c r="L221" s="1" t="str">
        <f t="shared" si="0"/>
        <v>NORMAL</v>
      </c>
    </row>
    <row r="222" spans="1:12" x14ac:dyDescent="0.3">
      <c r="A222" s="1" t="s">
        <v>11</v>
      </c>
      <c r="B222" s="1" t="s">
        <v>31</v>
      </c>
      <c r="C222" s="1" t="s">
        <v>18</v>
      </c>
      <c r="D222" s="1" t="s">
        <v>56</v>
      </c>
      <c r="E222" s="1">
        <v>18</v>
      </c>
      <c r="F222" s="1">
        <v>2681</v>
      </c>
      <c r="G222" s="1">
        <v>10</v>
      </c>
      <c r="H222" s="2">
        <v>46122</v>
      </c>
      <c r="I222" s="2">
        <v>46125</v>
      </c>
      <c r="J222" s="1" t="s">
        <v>51</v>
      </c>
      <c r="K222" s="1">
        <v>1221</v>
      </c>
      <c r="L222" s="1" t="str">
        <f t="shared" si="0"/>
        <v>PRIORITY</v>
      </c>
    </row>
    <row r="223" spans="1:12" x14ac:dyDescent="0.3">
      <c r="A223" s="1" t="s">
        <v>30</v>
      </c>
      <c r="B223" s="1" t="s">
        <v>33</v>
      </c>
      <c r="C223" s="1" t="s">
        <v>18</v>
      </c>
      <c r="D223" s="1" t="s">
        <v>23</v>
      </c>
      <c r="E223" s="1">
        <v>9</v>
      </c>
      <c r="F223" s="1">
        <v>2712</v>
      </c>
      <c r="G223" s="1">
        <v>12</v>
      </c>
      <c r="H223" s="2">
        <v>46154</v>
      </c>
      <c r="I223" s="2">
        <v>46163</v>
      </c>
      <c r="J223" s="1" t="s">
        <v>15</v>
      </c>
      <c r="K223" s="1">
        <v>1222</v>
      </c>
      <c r="L223" s="1" t="str">
        <f t="shared" si="0"/>
        <v>NORMAL</v>
      </c>
    </row>
    <row r="224" spans="1:12" x14ac:dyDescent="0.3">
      <c r="A224" s="1" t="s">
        <v>59</v>
      </c>
      <c r="B224" s="1" t="s">
        <v>17</v>
      </c>
      <c r="C224" s="1" t="s">
        <v>18</v>
      </c>
      <c r="D224" s="1" t="s">
        <v>23</v>
      </c>
      <c r="E224" s="1">
        <v>4</v>
      </c>
      <c r="F224" s="1">
        <v>2249</v>
      </c>
      <c r="G224" s="1">
        <v>7</v>
      </c>
      <c r="H224" s="2">
        <v>46077</v>
      </c>
      <c r="I224" s="2">
        <v>46084</v>
      </c>
      <c r="J224" s="1" t="s">
        <v>15</v>
      </c>
      <c r="K224" s="1">
        <v>1223</v>
      </c>
      <c r="L224" s="1" t="str">
        <f t="shared" si="0"/>
        <v>NORMAL</v>
      </c>
    </row>
    <row r="225" spans="1:12" x14ac:dyDescent="0.3">
      <c r="A225" s="1" t="s">
        <v>30</v>
      </c>
      <c r="B225" s="1" t="s">
        <v>38</v>
      </c>
      <c r="C225" s="1" t="s">
        <v>34</v>
      </c>
      <c r="D225" s="1" t="s">
        <v>45</v>
      </c>
      <c r="E225" s="1">
        <v>16</v>
      </c>
      <c r="F225" s="1">
        <v>18378</v>
      </c>
      <c r="G225" s="1">
        <v>10</v>
      </c>
      <c r="H225" s="2">
        <v>46045</v>
      </c>
      <c r="I225" s="2">
        <v>46052</v>
      </c>
      <c r="J225" s="1" t="s">
        <v>24</v>
      </c>
      <c r="K225" s="1">
        <v>1224</v>
      </c>
      <c r="L225" s="1" t="str">
        <f t="shared" si="0"/>
        <v>PRIORITY</v>
      </c>
    </row>
    <row r="226" spans="1:12" x14ac:dyDescent="0.3">
      <c r="A226" s="1" t="s">
        <v>42</v>
      </c>
      <c r="B226" s="1" t="s">
        <v>31</v>
      </c>
      <c r="C226" s="1" t="s">
        <v>34</v>
      </c>
      <c r="D226" s="1" t="s">
        <v>35</v>
      </c>
      <c r="E226" s="1">
        <v>16</v>
      </c>
      <c r="F226" s="1">
        <v>32262</v>
      </c>
      <c r="G226" s="1">
        <v>12</v>
      </c>
      <c r="H226" s="2">
        <v>46125</v>
      </c>
      <c r="I226" s="2">
        <v>46126</v>
      </c>
      <c r="J226" s="1" t="s">
        <v>20</v>
      </c>
      <c r="K226" s="1">
        <v>1225</v>
      </c>
      <c r="L226" s="1" t="str">
        <f t="shared" si="0"/>
        <v>PRIORITY</v>
      </c>
    </row>
    <row r="227" spans="1:12" x14ac:dyDescent="0.3">
      <c r="A227" s="1" t="s">
        <v>29</v>
      </c>
      <c r="B227" s="1" t="s">
        <v>31</v>
      </c>
      <c r="C227" s="1" t="s">
        <v>34</v>
      </c>
      <c r="D227" s="1" t="s">
        <v>41</v>
      </c>
      <c r="E227" s="1">
        <v>13</v>
      </c>
      <c r="F227" s="1">
        <v>21332</v>
      </c>
      <c r="G227" s="1">
        <v>0</v>
      </c>
      <c r="H227" s="2">
        <v>46044</v>
      </c>
      <c r="I227" s="2">
        <v>46048</v>
      </c>
      <c r="J227" s="1" t="s">
        <v>29</v>
      </c>
      <c r="K227" s="1">
        <v>1226</v>
      </c>
      <c r="L227" s="1" t="str">
        <f t="shared" si="0"/>
        <v>NORMAL</v>
      </c>
    </row>
    <row r="228" spans="1:12" x14ac:dyDescent="0.3">
      <c r="A228" s="1" t="s">
        <v>58</v>
      </c>
      <c r="B228" s="1" t="s">
        <v>22</v>
      </c>
      <c r="C228" s="1" t="s">
        <v>34</v>
      </c>
      <c r="D228" s="1" t="s">
        <v>45</v>
      </c>
      <c r="E228" s="1">
        <v>16</v>
      </c>
      <c r="F228" s="1">
        <v>1321</v>
      </c>
      <c r="G228" s="1">
        <v>12</v>
      </c>
      <c r="H228" s="2">
        <v>46113</v>
      </c>
      <c r="I228" s="2">
        <v>46116</v>
      </c>
      <c r="J228" s="1" t="s">
        <v>15</v>
      </c>
      <c r="K228" s="1">
        <v>1227</v>
      </c>
      <c r="L228" s="1" t="str">
        <f t="shared" si="0"/>
        <v>PRIORITY</v>
      </c>
    </row>
    <row r="229" spans="1:12" x14ac:dyDescent="0.3">
      <c r="A229" s="1" t="s">
        <v>29</v>
      </c>
      <c r="B229" s="1" t="s">
        <v>25</v>
      </c>
      <c r="C229" s="1" t="s">
        <v>34</v>
      </c>
      <c r="D229" s="1" t="s">
        <v>45</v>
      </c>
      <c r="E229" s="1">
        <v>16</v>
      </c>
      <c r="F229" s="1">
        <v>17477</v>
      </c>
      <c r="G229" s="1">
        <v>10</v>
      </c>
      <c r="H229" s="2">
        <v>46041</v>
      </c>
      <c r="I229" s="2">
        <v>46043</v>
      </c>
      <c r="J229" s="1" t="s">
        <v>24</v>
      </c>
      <c r="K229" s="1">
        <v>1228</v>
      </c>
      <c r="L229" s="1" t="str">
        <f t="shared" si="0"/>
        <v>PRIORITY</v>
      </c>
    </row>
    <row r="230" spans="1:12" x14ac:dyDescent="0.3">
      <c r="A230" s="1" t="s">
        <v>57</v>
      </c>
      <c r="B230" s="1" t="s">
        <v>12</v>
      </c>
      <c r="C230" s="1" t="s">
        <v>18</v>
      </c>
      <c r="D230" s="1" t="s">
        <v>56</v>
      </c>
      <c r="E230" s="1">
        <v>14</v>
      </c>
      <c r="F230" s="1">
        <v>5859</v>
      </c>
      <c r="G230" s="1">
        <v>12</v>
      </c>
      <c r="H230" s="2">
        <v>46027</v>
      </c>
      <c r="I230" s="2">
        <v>46036</v>
      </c>
      <c r="J230" s="1" t="s">
        <v>20</v>
      </c>
      <c r="K230" s="1">
        <v>1229</v>
      </c>
      <c r="L230" s="1" t="str">
        <f t="shared" si="0"/>
        <v>NORMAL</v>
      </c>
    </row>
    <row r="231" spans="1:12" x14ac:dyDescent="0.3">
      <c r="A231" s="1" t="s">
        <v>59</v>
      </c>
      <c r="B231" s="1" t="s">
        <v>33</v>
      </c>
      <c r="C231" s="1" t="s">
        <v>34</v>
      </c>
      <c r="D231" s="1" t="s">
        <v>60</v>
      </c>
      <c r="E231" s="1">
        <v>7</v>
      </c>
      <c r="F231" s="1">
        <v>2932</v>
      </c>
      <c r="G231" s="1">
        <v>7</v>
      </c>
      <c r="H231" s="2">
        <v>46050</v>
      </c>
      <c r="I231" s="2">
        <v>46059</v>
      </c>
      <c r="J231" s="1" t="s">
        <v>24</v>
      </c>
      <c r="K231" s="1">
        <v>1230</v>
      </c>
      <c r="L231" s="1" t="str">
        <f t="shared" si="0"/>
        <v>NORMAL</v>
      </c>
    </row>
    <row r="232" spans="1:12" x14ac:dyDescent="0.3">
      <c r="A232" s="1" t="s">
        <v>48</v>
      </c>
      <c r="B232" s="1" t="s">
        <v>38</v>
      </c>
      <c r="C232" s="1" t="s">
        <v>18</v>
      </c>
      <c r="D232" s="1" t="s">
        <v>19</v>
      </c>
      <c r="E232" s="1">
        <v>13</v>
      </c>
      <c r="F232" s="1">
        <v>10297</v>
      </c>
      <c r="G232" s="1">
        <v>12</v>
      </c>
      <c r="H232" s="2">
        <v>46178</v>
      </c>
      <c r="I232" s="2">
        <v>46186</v>
      </c>
      <c r="J232" s="1" t="s">
        <v>20</v>
      </c>
      <c r="K232" s="1">
        <v>1231</v>
      </c>
      <c r="L232" s="1" t="str">
        <f t="shared" si="0"/>
        <v>PRIORITY</v>
      </c>
    </row>
    <row r="233" spans="1:12" x14ac:dyDescent="0.3">
      <c r="A233" s="1" t="s">
        <v>21</v>
      </c>
      <c r="B233" s="1" t="s">
        <v>12</v>
      </c>
      <c r="C233" s="1" t="s">
        <v>34</v>
      </c>
      <c r="D233" s="1" t="s">
        <v>60</v>
      </c>
      <c r="E233" s="1">
        <v>3</v>
      </c>
      <c r="F233" s="1">
        <v>13272</v>
      </c>
      <c r="G233" s="1">
        <v>2</v>
      </c>
      <c r="H233" s="2">
        <v>46060</v>
      </c>
      <c r="I233" s="2">
        <v>46065</v>
      </c>
      <c r="J233" s="1" t="s">
        <v>15</v>
      </c>
      <c r="K233" s="1">
        <v>1232</v>
      </c>
      <c r="L233" s="1" t="str">
        <f t="shared" si="0"/>
        <v>NORMAL</v>
      </c>
    </row>
    <row r="234" spans="1:12" x14ac:dyDescent="0.3">
      <c r="A234" s="1" t="s">
        <v>58</v>
      </c>
      <c r="B234" s="1" t="s">
        <v>22</v>
      </c>
      <c r="C234" s="1" t="s">
        <v>18</v>
      </c>
      <c r="D234" s="1" t="s">
        <v>19</v>
      </c>
      <c r="E234" s="1">
        <v>20</v>
      </c>
      <c r="F234" s="1">
        <v>13941</v>
      </c>
      <c r="G234" s="1">
        <v>15</v>
      </c>
      <c r="H234" s="2">
        <v>46198</v>
      </c>
      <c r="I234" s="2">
        <v>46202</v>
      </c>
      <c r="J234" s="1" t="s">
        <v>24</v>
      </c>
      <c r="K234" s="1">
        <v>1233</v>
      </c>
      <c r="L234" s="1" t="str">
        <f t="shared" si="0"/>
        <v>PRIORITY</v>
      </c>
    </row>
    <row r="235" spans="1:12" x14ac:dyDescent="0.3">
      <c r="A235" s="1" t="s">
        <v>11</v>
      </c>
      <c r="B235" s="1" t="s">
        <v>25</v>
      </c>
      <c r="C235" s="1" t="s">
        <v>18</v>
      </c>
      <c r="D235" s="1" t="s">
        <v>28</v>
      </c>
      <c r="E235" s="1">
        <v>1</v>
      </c>
      <c r="F235" s="1">
        <v>14320</v>
      </c>
      <c r="G235" s="1">
        <v>12</v>
      </c>
      <c r="H235" s="2">
        <v>46114</v>
      </c>
      <c r="I235" s="2">
        <v>46121</v>
      </c>
      <c r="J235" s="1" t="s">
        <v>51</v>
      </c>
      <c r="K235" s="1">
        <v>1234</v>
      </c>
      <c r="L235" s="1" t="str">
        <f t="shared" si="0"/>
        <v>NORMAL</v>
      </c>
    </row>
    <row r="236" spans="1:12" x14ac:dyDescent="0.3">
      <c r="A236" s="1" t="s">
        <v>57</v>
      </c>
      <c r="B236" s="1" t="s">
        <v>25</v>
      </c>
      <c r="C236" s="1" t="s">
        <v>13</v>
      </c>
      <c r="D236" s="1" t="s">
        <v>50</v>
      </c>
      <c r="E236" s="1">
        <v>15</v>
      </c>
      <c r="F236" s="1">
        <v>267</v>
      </c>
      <c r="G236" s="1">
        <v>15</v>
      </c>
      <c r="H236" s="2">
        <v>46172</v>
      </c>
      <c r="I236" s="2">
        <v>46177</v>
      </c>
      <c r="J236" s="1" t="s">
        <v>29</v>
      </c>
      <c r="K236" s="1">
        <v>1235</v>
      </c>
      <c r="L236" s="1" t="str">
        <f t="shared" si="0"/>
        <v>PRIORITY</v>
      </c>
    </row>
    <row r="237" spans="1:12" x14ac:dyDescent="0.3">
      <c r="A237" s="1" t="s">
        <v>54</v>
      </c>
      <c r="B237" s="1" t="s">
        <v>43</v>
      </c>
      <c r="C237" s="1" t="s">
        <v>13</v>
      </c>
      <c r="D237" s="1" t="s">
        <v>37</v>
      </c>
      <c r="E237" s="1">
        <v>12</v>
      </c>
      <c r="F237" s="1">
        <v>189</v>
      </c>
      <c r="G237" s="1">
        <v>7</v>
      </c>
      <c r="H237" s="2">
        <v>46164</v>
      </c>
      <c r="I237" s="2">
        <v>46169</v>
      </c>
      <c r="J237" s="1" t="s">
        <v>29</v>
      </c>
      <c r="K237" s="1">
        <v>1236</v>
      </c>
      <c r="L237" s="1" t="str">
        <f t="shared" si="0"/>
        <v>NORMAL</v>
      </c>
    </row>
    <row r="238" spans="1:12" x14ac:dyDescent="0.3">
      <c r="A238" s="1" t="s">
        <v>46</v>
      </c>
      <c r="B238" s="1" t="s">
        <v>38</v>
      </c>
      <c r="C238" s="1" t="s">
        <v>18</v>
      </c>
      <c r="D238" s="1" t="s">
        <v>56</v>
      </c>
      <c r="E238" s="1">
        <v>8</v>
      </c>
      <c r="F238" s="1">
        <v>12123</v>
      </c>
      <c r="G238" s="1">
        <v>2</v>
      </c>
      <c r="H238" s="2">
        <v>46137</v>
      </c>
      <c r="I238" s="2">
        <v>46145</v>
      </c>
      <c r="J238" s="1" t="s">
        <v>15</v>
      </c>
      <c r="K238" s="1">
        <v>1237</v>
      </c>
      <c r="L238" s="1" t="str">
        <f t="shared" si="0"/>
        <v>PRIORITY</v>
      </c>
    </row>
    <row r="239" spans="1:12" x14ac:dyDescent="0.3">
      <c r="A239" s="1" t="s">
        <v>30</v>
      </c>
      <c r="B239" s="1" t="s">
        <v>31</v>
      </c>
      <c r="C239" s="1" t="s">
        <v>13</v>
      </c>
      <c r="D239" s="1" t="s">
        <v>14</v>
      </c>
      <c r="E239" s="1">
        <v>6</v>
      </c>
      <c r="F239" s="1">
        <v>180</v>
      </c>
      <c r="G239" s="1">
        <v>12</v>
      </c>
      <c r="H239" s="2">
        <v>46096</v>
      </c>
      <c r="I239" s="2">
        <v>46097</v>
      </c>
      <c r="J239" s="1" t="s">
        <v>51</v>
      </c>
      <c r="K239" s="1">
        <v>1238</v>
      </c>
      <c r="L239" s="1" t="str">
        <f t="shared" si="0"/>
        <v>NORMAL</v>
      </c>
    </row>
    <row r="240" spans="1:12" x14ac:dyDescent="0.3">
      <c r="A240" s="1" t="s">
        <v>48</v>
      </c>
      <c r="B240" s="1" t="s">
        <v>17</v>
      </c>
      <c r="C240" s="1" t="s">
        <v>18</v>
      </c>
      <c r="D240" s="1" t="s">
        <v>56</v>
      </c>
      <c r="E240" s="1">
        <v>2</v>
      </c>
      <c r="F240" s="1">
        <v>12330</v>
      </c>
      <c r="G240" s="1">
        <v>12</v>
      </c>
      <c r="H240" s="2">
        <v>46122</v>
      </c>
      <c r="I240" s="2">
        <v>46125</v>
      </c>
      <c r="J240" s="1" t="s">
        <v>15</v>
      </c>
      <c r="K240" s="1">
        <v>1239</v>
      </c>
      <c r="L240" s="1" t="str">
        <f t="shared" si="0"/>
        <v>NORMAL</v>
      </c>
    </row>
    <row r="241" spans="1:12" x14ac:dyDescent="0.3">
      <c r="A241" s="1" t="s">
        <v>55</v>
      </c>
      <c r="B241" s="1" t="s">
        <v>33</v>
      </c>
      <c r="C241" s="1" t="s">
        <v>18</v>
      </c>
      <c r="D241" s="1" t="s">
        <v>23</v>
      </c>
      <c r="E241" s="1">
        <v>2</v>
      </c>
      <c r="F241" s="1">
        <v>5475</v>
      </c>
      <c r="G241" s="1">
        <v>2</v>
      </c>
      <c r="H241" s="2">
        <v>46142</v>
      </c>
      <c r="I241" s="2">
        <v>46146</v>
      </c>
      <c r="J241" s="1" t="s">
        <v>29</v>
      </c>
      <c r="K241" s="1">
        <v>1240</v>
      </c>
      <c r="L241" s="1" t="str">
        <f t="shared" si="0"/>
        <v>NORMAL</v>
      </c>
    </row>
    <row r="242" spans="1:12" x14ac:dyDescent="0.3">
      <c r="A242" s="1" t="s">
        <v>46</v>
      </c>
      <c r="B242" s="1" t="s">
        <v>31</v>
      </c>
      <c r="C242" s="1" t="s">
        <v>18</v>
      </c>
      <c r="D242" s="1" t="s">
        <v>44</v>
      </c>
      <c r="E242" s="1">
        <v>1</v>
      </c>
      <c r="F242" s="1">
        <v>12537</v>
      </c>
      <c r="G242" s="1">
        <v>0</v>
      </c>
      <c r="H242" s="2">
        <v>46119</v>
      </c>
      <c r="I242" s="2">
        <v>46122</v>
      </c>
      <c r="J242" s="1" t="s">
        <v>15</v>
      </c>
      <c r="K242" s="1">
        <v>1241</v>
      </c>
      <c r="L242" s="1" t="str">
        <f t="shared" si="0"/>
        <v>NORMAL</v>
      </c>
    </row>
    <row r="243" spans="1:12" x14ac:dyDescent="0.3">
      <c r="A243" s="1" t="s">
        <v>54</v>
      </c>
      <c r="B243" s="1" t="s">
        <v>38</v>
      </c>
      <c r="C243" s="1" t="s">
        <v>13</v>
      </c>
      <c r="D243" s="1" t="s">
        <v>50</v>
      </c>
      <c r="E243" s="1">
        <v>7</v>
      </c>
      <c r="F243" s="1">
        <v>168</v>
      </c>
      <c r="G243" s="1">
        <v>10</v>
      </c>
      <c r="H243" s="2">
        <v>46191</v>
      </c>
      <c r="I243" s="2">
        <v>46196</v>
      </c>
      <c r="J243" s="1" t="s">
        <v>51</v>
      </c>
      <c r="K243" s="1">
        <v>1242</v>
      </c>
      <c r="L243" s="1" t="str">
        <f t="shared" si="0"/>
        <v>PRIORITY</v>
      </c>
    </row>
    <row r="244" spans="1:12" x14ac:dyDescent="0.3">
      <c r="A244" s="1" t="s">
        <v>30</v>
      </c>
      <c r="B244" s="1" t="s">
        <v>31</v>
      </c>
      <c r="C244" s="1" t="s">
        <v>34</v>
      </c>
      <c r="D244" s="1" t="s">
        <v>41</v>
      </c>
      <c r="E244" s="1">
        <v>5</v>
      </c>
      <c r="F244" s="1">
        <v>11570</v>
      </c>
      <c r="G244" s="1">
        <v>15</v>
      </c>
      <c r="H244" s="2">
        <v>46069</v>
      </c>
      <c r="I244" s="2">
        <v>46077</v>
      </c>
      <c r="J244" s="1" t="s">
        <v>24</v>
      </c>
      <c r="K244" s="1">
        <v>1243</v>
      </c>
      <c r="L244" s="1" t="str">
        <f t="shared" si="0"/>
        <v>NORMAL</v>
      </c>
    </row>
    <row r="245" spans="1:12" x14ac:dyDescent="0.3">
      <c r="A245" s="1" t="s">
        <v>57</v>
      </c>
      <c r="B245" s="1" t="s">
        <v>38</v>
      </c>
      <c r="C245" s="1" t="s">
        <v>18</v>
      </c>
      <c r="D245" s="1" t="s">
        <v>28</v>
      </c>
      <c r="E245" s="1">
        <v>10</v>
      </c>
      <c r="F245" s="1">
        <v>6339</v>
      </c>
      <c r="G245" s="1">
        <v>12</v>
      </c>
      <c r="H245" s="2">
        <v>46200</v>
      </c>
      <c r="I245" s="2">
        <v>46205</v>
      </c>
      <c r="J245" s="1" t="s">
        <v>15</v>
      </c>
      <c r="K245" s="1">
        <v>1244</v>
      </c>
      <c r="L245" s="1" t="str">
        <f t="shared" si="0"/>
        <v>PRIORITY</v>
      </c>
    </row>
    <row r="246" spans="1:12" x14ac:dyDescent="0.3">
      <c r="A246" s="1" t="s">
        <v>55</v>
      </c>
      <c r="B246" s="1" t="s">
        <v>43</v>
      </c>
      <c r="C246" s="1" t="s">
        <v>34</v>
      </c>
      <c r="D246" s="1" t="s">
        <v>41</v>
      </c>
      <c r="E246" s="1">
        <v>19</v>
      </c>
      <c r="F246" s="1">
        <v>69029</v>
      </c>
      <c r="G246" s="1">
        <v>7</v>
      </c>
      <c r="H246" s="2">
        <v>46176</v>
      </c>
      <c r="I246" s="2">
        <v>46179</v>
      </c>
      <c r="J246" s="1" t="s">
        <v>29</v>
      </c>
      <c r="K246" s="1">
        <v>1245</v>
      </c>
      <c r="L246" s="1" t="str">
        <f t="shared" si="0"/>
        <v>PRIORITY</v>
      </c>
    </row>
    <row r="247" spans="1:12" x14ac:dyDescent="0.3">
      <c r="A247" s="1" t="s">
        <v>55</v>
      </c>
      <c r="B247" s="1" t="s">
        <v>22</v>
      </c>
      <c r="C247" s="1" t="s">
        <v>34</v>
      </c>
      <c r="D247" s="1" t="s">
        <v>35</v>
      </c>
      <c r="E247" s="1">
        <v>13</v>
      </c>
      <c r="F247" s="1">
        <v>1825</v>
      </c>
      <c r="G247" s="1">
        <v>2</v>
      </c>
      <c r="H247" s="2">
        <v>46039</v>
      </c>
      <c r="I247" s="2">
        <v>46045</v>
      </c>
      <c r="J247" s="1" t="s">
        <v>51</v>
      </c>
      <c r="K247" s="1">
        <v>1246</v>
      </c>
      <c r="L247" s="1" t="str">
        <f t="shared" si="0"/>
        <v>NORMAL</v>
      </c>
    </row>
    <row r="248" spans="1:12" x14ac:dyDescent="0.3">
      <c r="A248" s="1" t="s">
        <v>26</v>
      </c>
      <c r="B248" s="1" t="s">
        <v>12</v>
      </c>
      <c r="C248" s="1" t="s">
        <v>13</v>
      </c>
      <c r="D248" s="1" t="s">
        <v>50</v>
      </c>
      <c r="E248" s="1">
        <v>10</v>
      </c>
      <c r="F248" s="1">
        <v>336</v>
      </c>
      <c r="G248" s="1">
        <v>7</v>
      </c>
      <c r="H248" s="2">
        <v>46173</v>
      </c>
      <c r="I248" s="2">
        <v>46175</v>
      </c>
      <c r="J248" s="1" t="s">
        <v>20</v>
      </c>
      <c r="K248" s="1">
        <v>1247</v>
      </c>
      <c r="L248" s="1" t="str">
        <f t="shared" si="0"/>
        <v>NORMAL</v>
      </c>
    </row>
    <row r="249" spans="1:12" x14ac:dyDescent="0.3">
      <c r="A249" s="1" t="s">
        <v>27</v>
      </c>
      <c r="B249" s="1" t="s">
        <v>43</v>
      </c>
      <c r="C249" s="1" t="s">
        <v>13</v>
      </c>
      <c r="D249" s="1" t="s">
        <v>37</v>
      </c>
      <c r="E249" s="1">
        <v>5</v>
      </c>
      <c r="F249" s="1">
        <v>398</v>
      </c>
      <c r="G249" s="1">
        <v>7</v>
      </c>
      <c r="H249" s="2">
        <v>46161</v>
      </c>
      <c r="I249" s="2">
        <v>46171</v>
      </c>
      <c r="J249" s="1" t="s">
        <v>29</v>
      </c>
      <c r="K249" s="1">
        <v>1248</v>
      </c>
      <c r="L249" s="1" t="str">
        <f t="shared" si="0"/>
        <v>NORMAL</v>
      </c>
    </row>
    <row r="250" spans="1:12" x14ac:dyDescent="0.3">
      <c r="A250" s="1" t="s">
        <v>16</v>
      </c>
      <c r="B250" s="1" t="s">
        <v>25</v>
      </c>
      <c r="C250" s="1" t="s">
        <v>34</v>
      </c>
      <c r="D250" s="1" t="s">
        <v>41</v>
      </c>
      <c r="E250" s="1">
        <v>18</v>
      </c>
      <c r="F250" s="1">
        <v>6360</v>
      </c>
      <c r="G250" s="1">
        <v>12</v>
      </c>
      <c r="H250" s="2">
        <v>46163</v>
      </c>
      <c r="I250" s="2">
        <v>46165</v>
      </c>
      <c r="J250" s="1" t="s">
        <v>20</v>
      </c>
      <c r="K250" s="1">
        <v>1249</v>
      </c>
      <c r="L250" s="1" t="str">
        <f t="shared" si="0"/>
        <v>PRIORITY</v>
      </c>
    </row>
    <row r="251" spans="1:12" x14ac:dyDescent="0.3">
      <c r="A251" s="1" t="s">
        <v>11</v>
      </c>
      <c r="B251" s="1" t="s">
        <v>17</v>
      </c>
      <c r="C251" s="1" t="s">
        <v>34</v>
      </c>
      <c r="D251" s="1" t="s">
        <v>45</v>
      </c>
      <c r="E251" s="1">
        <v>2</v>
      </c>
      <c r="F251" s="1">
        <v>65953</v>
      </c>
      <c r="G251" s="1">
        <v>7</v>
      </c>
      <c r="H251" s="2">
        <v>46051</v>
      </c>
      <c r="I251" s="2">
        <v>46053</v>
      </c>
      <c r="J251" s="1" t="s">
        <v>29</v>
      </c>
      <c r="K251" s="1">
        <v>1250</v>
      </c>
      <c r="L251" s="1" t="str">
        <f t="shared" si="0"/>
        <v>NORMAL</v>
      </c>
    </row>
    <row r="252" spans="1:12" x14ac:dyDescent="0.3">
      <c r="A252" s="1" t="s">
        <v>55</v>
      </c>
      <c r="B252" s="1" t="s">
        <v>38</v>
      </c>
      <c r="C252" s="1" t="s">
        <v>34</v>
      </c>
      <c r="D252" s="1" t="s">
        <v>61</v>
      </c>
      <c r="E252" s="1">
        <v>19</v>
      </c>
      <c r="F252" s="1">
        <v>48548</v>
      </c>
      <c r="G252" s="1">
        <v>0</v>
      </c>
      <c r="H252" s="2">
        <v>46112</v>
      </c>
      <c r="I252" s="2">
        <v>46121</v>
      </c>
      <c r="J252" s="1" t="s">
        <v>51</v>
      </c>
      <c r="K252" s="1">
        <v>1251</v>
      </c>
      <c r="L252" s="1" t="str">
        <f t="shared" si="0"/>
        <v>PRIORITY</v>
      </c>
    </row>
    <row r="253" spans="1:12" x14ac:dyDescent="0.3">
      <c r="A253" s="1" t="s">
        <v>47</v>
      </c>
      <c r="B253" s="1" t="s">
        <v>25</v>
      </c>
      <c r="C253" s="1" t="s">
        <v>13</v>
      </c>
      <c r="D253" s="1" t="s">
        <v>36</v>
      </c>
      <c r="E253" s="1">
        <v>15</v>
      </c>
      <c r="F253" s="1">
        <v>257</v>
      </c>
      <c r="G253" s="1">
        <v>5</v>
      </c>
      <c r="H253" s="2">
        <v>46166</v>
      </c>
      <c r="I253" s="2">
        <v>46173</v>
      </c>
      <c r="J253" s="1" t="s">
        <v>20</v>
      </c>
      <c r="K253" s="1">
        <v>1252</v>
      </c>
      <c r="L253" s="1" t="str">
        <f t="shared" si="0"/>
        <v>PRIORITY</v>
      </c>
    </row>
    <row r="254" spans="1:12" x14ac:dyDescent="0.3">
      <c r="A254" s="1" t="s">
        <v>21</v>
      </c>
      <c r="B254" s="1" t="s">
        <v>31</v>
      </c>
      <c r="C254" s="1" t="s">
        <v>34</v>
      </c>
      <c r="D254" s="1" t="s">
        <v>45</v>
      </c>
      <c r="E254" s="1">
        <v>20</v>
      </c>
      <c r="F254" s="1">
        <v>47880</v>
      </c>
      <c r="G254" s="1">
        <v>7</v>
      </c>
      <c r="H254" s="2">
        <v>46074</v>
      </c>
      <c r="I254" s="2">
        <v>46075</v>
      </c>
      <c r="J254" s="1" t="s">
        <v>29</v>
      </c>
      <c r="K254" s="1">
        <v>1253</v>
      </c>
      <c r="L254" s="1" t="str">
        <f t="shared" si="0"/>
        <v>PRIORITY</v>
      </c>
    </row>
    <row r="255" spans="1:12" x14ac:dyDescent="0.3">
      <c r="A255" s="1" t="s">
        <v>52</v>
      </c>
      <c r="B255" s="1" t="s">
        <v>22</v>
      </c>
      <c r="C255" s="1" t="s">
        <v>13</v>
      </c>
      <c r="D255" s="1" t="s">
        <v>50</v>
      </c>
      <c r="E255" s="1">
        <v>18</v>
      </c>
      <c r="F255" s="1">
        <v>447</v>
      </c>
      <c r="G255" s="1">
        <v>15</v>
      </c>
      <c r="H255" s="2">
        <v>46141</v>
      </c>
      <c r="I255" s="2">
        <v>46149</v>
      </c>
      <c r="J255" s="1" t="s">
        <v>24</v>
      </c>
      <c r="K255" s="1">
        <v>1254</v>
      </c>
      <c r="L255" s="1" t="str">
        <f t="shared" si="0"/>
        <v>PRIORITY</v>
      </c>
    </row>
    <row r="256" spans="1:12" x14ac:dyDescent="0.3">
      <c r="A256" s="1" t="s">
        <v>32</v>
      </c>
      <c r="B256" s="1" t="s">
        <v>17</v>
      </c>
      <c r="C256" s="1" t="s">
        <v>18</v>
      </c>
      <c r="D256" s="1" t="s">
        <v>19</v>
      </c>
      <c r="E256" s="1">
        <v>1</v>
      </c>
      <c r="F256" s="1">
        <v>2240</v>
      </c>
      <c r="G256" s="1">
        <v>5</v>
      </c>
      <c r="H256" s="2">
        <v>46091</v>
      </c>
      <c r="I256" s="2">
        <v>46095</v>
      </c>
      <c r="J256" s="1" t="s">
        <v>20</v>
      </c>
      <c r="K256" s="1">
        <v>1255</v>
      </c>
      <c r="L256" s="1" t="str">
        <f t="shared" si="0"/>
        <v>NORMAL</v>
      </c>
    </row>
    <row r="257" spans="1:12" x14ac:dyDescent="0.3">
      <c r="A257" s="1" t="s">
        <v>48</v>
      </c>
      <c r="B257" s="1" t="s">
        <v>31</v>
      </c>
      <c r="C257" s="1" t="s">
        <v>13</v>
      </c>
      <c r="D257" s="1" t="s">
        <v>50</v>
      </c>
      <c r="E257" s="1">
        <v>19</v>
      </c>
      <c r="F257" s="1">
        <v>406</v>
      </c>
      <c r="G257" s="1">
        <v>7</v>
      </c>
      <c r="H257" s="2">
        <v>46057</v>
      </c>
      <c r="I257" s="2">
        <v>46061</v>
      </c>
      <c r="J257" s="1" t="s">
        <v>15</v>
      </c>
      <c r="K257" s="1">
        <v>1256</v>
      </c>
      <c r="L257" s="1" t="str">
        <f t="shared" ref="L257:L401" si="1">IF(OR(B257="MUMBAI",E257&gt;=15),"PRIORITY","NORMAL")</f>
        <v>PRIORITY</v>
      </c>
    </row>
    <row r="258" spans="1:12" x14ac:dyDescent="0.3">
      <c r="A258" s="1" t="s">
        <v>54</v>
      </c>
      <c r="B258" s="1" t="s">
        <v>25</v>
      </c>
      <c r="C258" s="1" t="s">
        <v>34</v>
      </c>
      <c r="D258" s="1" t="s">
        <v>61</v>
      </c>
      <c r="E258" s="1">
        <v>7</v>
      </c>
      <c r="F258" s="1">
        <v>53243</v>
      </c>
      <c r="G258" s="1">
        <v>12</v>
      </c>
      <c r="H258" s="2">
        <v>46161</v>
      </c>
      <c r="I258" s="2">
        <v>46171</v>
      </c>
      <c r="J258" s="1" t="s">
        <v>15</v>
      </c>
      <c r="K258" s="1">
        <v>1257</v>
      </c>
      <c r="L258" s="1" t="str">
        <f t="shared" si="1"/>
        <v>NORMAL</v>
      </c>
    </row>
    <row r="259" spans="1:12" x14ac:dyDescent="0.3">
      <c r="A259" s="1" t="s">
        <v>32</v>
      </c>
      <c r="B259" s="1" t="s">
        <v>31</v>
      </c>
      <c r="C259" s="1" t="s">
        <v>34</v>
      </c>
      <c r="D259" s="1" t="s">
        <v>60</v>
      </c>
      <c r="E259" s="1">
        <v>1</v>
      </c>
      <c r="F259" s="1">
        <v>10600</v>
      </c>
      <c r="G259" s="1">
        <v>5</v>
      </c>
      <c r="H259" s="2">
        <v>46137</v>
      </c>
      <c r="I259" s="2">
        <v>46138</v>
      </c>
      <c r="J259" s="1" t="s">
        <v>29</v>
      </c>
      <c r="K259" s="1">
        <v>1258</v>
      </c>
      <c r="L259" s="1" t="str">
        <f t="shared" si="1"/>
        <v>NORMAL</v>
      </c>
    </row>
    <row r="260" spans="1:12" x14ac:dyDescent="0.3">
      <c r="A260" s="1" t="s">
        <v>42</v>
      </c>
      <c r="B260" s="1" t="s">
        <v>22</v>
      </c>
      <c r="C260" s="1" t="s">
        <v>34</v>
      </c>
      <c r="D260" s="1" t="s">
        <v>45</v>
      </c>
      <c r="E260" s="1">
        <v>10</v>
      </c>
      <c r="F260" s="1">
        <v>38771</v>
      </c>
      <c r="G260" s="1">
        <v>15</v>
      </c>
      <c r="H260" s="2">
        <v>46172</v>
      </c>
      <c r="I260" s="2">
        <v>46182</v>
      </c>
      <c r="J260" s="1" t="s">
        <v>15</v>
      </c>
      <c r="K260" s="1">
        <v>1259</v>
      </c>
      <c r="L260" s="1" t="str">
        <f t="shared" si="1"/>
        <v>NORMAL</v>
      </c>
    </row>
    <row r="261" spans="1:12" x14ac:dyDescent="0.3">
      <c r="A261" s="1" t="s">
        <v>54</v>
      </c>
      <c r="B261" s="1" t="s">
        <v>38</v>
      </c>
      <c r="C261" s="1" t="s">
        <v>34</v>
      </c>
      <c r="D261" s="1" t="s">
        <v>41</v>
      </c>
      <c r="E261" s="1">
        <v>19</v>
      </c>
      <c r="F261" s="1">
        <v>54981</v>
      </c>
      <c r="G261" s="1">
        <v>10</v>
      </c>
      <c r="H261" s="2">
        <v>46040</v>
      </c>
      <c r="I261" s="2">
        <v>46045</v>
      </c>
      <c r="J261" s="1" t="s">
        <v>29</v>
      </c>
      <c r="K261" s="1">
        <v>1260</v>
      </c>
      <c r="L261" s="1" t="str">
        <f t="shared" si="1"/>
        <v>PRIORITY</v>
      </c>
    </row>
    <row r="262" spans="1:12" x14ac:dyDescent="0.3">
      <c r="A262" s="1" t="s">
        <v>40</v>
      </c>
      <c r="B262" s="1" t="s">
        <v>17</v>
      </c>
      <c r="C262" s="1" t="s">
        <v>13</v>
      </c>
      <c r="D262" s="1" t="s">
        <v>50</v>
      </c>
      <c r="E262" s="1">
        <v>20</v>
      </c>
      <c r="F262" s="1">
        <v>162</v>
      </c>
      <c r="G262" s="1">
        <v>7</v>
      </c>
      <c r="H262" s="2">
        <v>46119</v>
      </c>
      <c r="I262" s="2">
        <v>46120</v>
      </c>
      <c r="J262" s="1" t="s">
        <v>51</v>
      </c>
      <c r="K262" s="1">
        <v>1261</v>
      </c>
      <c r="L262" s="1" t="str">
        <f t="shared" si="1"/>
        <v>PRIORITY</v>
      </c>
    </row>
    <row r="263" spans="1:12" x14ac:dyDescent="0.3">
      <c r="A263" s="1" t="s">
        <v>16</v>
      </c>
      <c r="B263" s="1" t="s">
        <v>22</v>
      </c>
      <c r="C263" s="1" t="s">
        <v>18</v>
      </c>
      <c r="D263" s="1" t="s">
        <v>28</v>
      </c>
      <c r="E263" s="1">
        <v>9</v>
      </c>
      <c r="F263" s="1">
        <v>2231</v>
      </c>
      <c r="G263" s="1">
        <v>15</v>
      </c>
      <c r="H263" s="2">
        <v>46174</v>
      </c>
      <c r="I263" s="2">
        <v>46183</v>
      </c>
      <c r="J263" s="1" t="s">
        <v>15</v>
      </c>
      <c r="K263" s="1">
        <v>1262</v>
      </c>
      <c r="L263" s="1" t="str">
        <f t="shared" si="1"/>
        <v>NORMAL</v>
      </c>
    </row>
    <row r="264" spans="1:12" x14ac:dyDescent="0.3">
      <c r="A264" s="1" t="s">
        <v>29</v>
      </c>
      <c r="B264" s="1" t="s">
        <v>38</v>
      </c>
      <c r="C264" s="1" t="s">
        <v>18</v>
      </c>
      <c r="D264" s="1" t="s">
        <v>28</v>
      </c>
      <c r="E264" s="1">
        <v>10</v>
      </c>
      <c r="F264" s="1">
        <v>1505</v>
      </c>
      <c r="G264" s="1">
        <v>0</v>
      </c>
      <c r="H264" s="2">
        <v>46130</v>
      </c>
      <c r="I264" s="2">
        <v>46138</v>
      </c>
      <c r="J264" s="1" t="s">
        <v>51</v>
      </c>
      <c r="K264" s="1">
        <v>1263</v>
      </c>
      <c r="L264" s="1" t="str">
        <f t="shared" si="1"/>
        <v>PRIORITY</v>
      </c>
    </row>
    <row r="265" spans="1:12" x14ac:dyDescent="0.3">
      <c r="A265" s="1" t="s">
        <v>11</v>
      </c>
      <c r="B265" s="1" t="s">
        <v>22</v>
      </c>
      <c r="C265" s="1" t="s">
        <v>18</v>
      </c>
      <c r="D265" s="1" t="s">
        <v>28</v>
      </c>
      <c r="E265" s="1">
        <v>15</v>
      </c>
      <c r="F265" s="1">
        <v>6365</v>
      </c>
      <c r="G265" s="1">
        <v>10</v>
      </c>
      <c r="H265" s="2">
        <v>46200</v>
      </c>
      <c r="I265" s="2">
        <v>46206</v>
      </c>
      <c r="J265" s="1" t="s">
        <v>20</v>
      </c>
      <c r="K265" s="1">
        <v>1264</v>
      </c>
      <c r="L265" s="1" t="str">
        <f t="shared" si="1"/>
        <v>PRIORITY</v>
      </c>
    </row>
    <row r="266" spans="1:12" x14ac:dyDescent="0.3">
      <c r="A266" s="1" t="s">
        <v>58</v>
      </c>
      <c r="B266" s="1" t="s">
        <v>22</v>
      </c>
      <c r="C266" s="1" t="s">
        <v>18</v>
      </c>
      <c r="D266" s="1" t="s">
        <v>19</v>
      </c>
      <c r="E266" s="1">
        <v>1</v>
      </c>
      <c r="F266" s="1">
        <v>1052</v>
      </c>
      <c r="G266" s="1">
        <v>7</v>
      </c>
      <c r="H266" s="2">
        <v>46117</v>
      </c>
      <c r="I266" s="2">
        <v>46127</v>
      </c>
      <c r="J266" s="1" t="s">
        <v>51</v>
      </c>
      <c r="K266" s="1">
        <v>1265</v>
      </c>
      <c r="L266" s="1" t="str">
        <f t="shared" si="1"/>
        <v>NORMAL</v>
      </c>
    </row>
    <row r="267" spans="1:12" x14ac:dyDescent="0.3">
      <c r="A267" s="1" t="s">
        <v>29</v>
      </c>
      <c r="B267" s="1" t="s">
        <v>33</v>
      </c>
      <c r="C267" s="1" t="s">
        <v>13</v>
      </c>
      <c r="D267" s="1" t="s">
        <v>14</v>
      </c>
      <c r="E267" s="1">
        <v>17</v>
      </c>
      <c r="F267" s="1">
        <v>365</v>
      </c>
      <c r="G267" s="1">
        <v>2</v>
      </c>
      <c r="H267" s="2">
        <v>46096</v>
      </c>
      <c r="I267" s="2">
        <v>46104</v>
      </c>
      <c r="J267" s="1" t="s">
        <v>51</v>
      </c>
      <c r="K267" s="1">
        <v>1266</v>
      </c>
      <c r="L267" s="1" t="str">
        <f t="shared" si="1"/>
        <v>PRIORITY</v>
      </c>
    </row>
    <row r="268" spans="1:12" x14ac:dyDescent="0.3">
      <c r="A268" s="1" t="s">
        <v>27</v>
      </c>
      <c r="B268" s="1" t="s">
        <v>38</v>
      </c>
      <c r="C268" s="1" t="s">
        <v>13</v>
      </c>
      <c r="D268" s="1" t="s">
        <v>50</v>
      </c>
      <c r="E268" s="1">
        <v>1</v>
      </c>
      <c r="F268" s="1">
        <v>50</v>
      </c>
      <c r="G268" s="1">
        <v>0</v>
      </c>
      <c r="H268" s="2">
        <v>46129</v>
      </c>
      <c r="I268" s="2">
        <v>46138</v>
      </c>
      <c r="J268" s="1" t="s">
        <v>20</v>
      </c>
      <c r="K268" s="1">
        <v>1267</v>
      </c>
      <c r="L268" s="1" t="str">
        <f t="shared" si="1"/>
        <v>PRIORITY</v>
      </c>
    </row>
    <row r="269" spans="1:12" x14ac:dyDescent="0.3">
      <c r="A269" s="1" t="s">
        <v>42</v>
      </c>
      <c r="B269" s="1" t="s">
        <v>38</v>
      </c>
      <c r="C269" s="1" t="s">
        <v>34</v>
      </c>
      <c r="D269" s="1" t="s">
        <v>45</v>
      </c>
      <c r="E269" s="1">
        <v>10</v>
      </c>
      <c r="F269" s="1">
        <v>46291</v>
      </c>
      <c r="G269" s="1">
        <v>12</v>
      </c>
      <c r="H269" s="2">
        <v>46199</v>
      </c>
      <c r="I269" s="2">
        <v>46202</v>
      </c>
      <c r="J269" s="1" t="s">
        <v>20</v>
      </c>
      <c r="K269" s="1">
        <v>1268</v>
      </c>
      <c r="L269" s="1" t="str">
        <f t="shared" si="1"/>
        <v>PRIORITY</v>
      </c>
    </row>
    <row r="270" spans="1:12" x14ac:dyDescent="0.3">
      <c r="A270" s="1" t="s">
        <v>52</v>
      </c>
      <c r="B270" s="1" t="s">
        <v>43</v>
      </c>
      <c r="C270" s="1" t="s">
        <v>18</v>
      </c>
      <c r="D270" s="1" t="s">
        <v>19</v>
      </c>
      <c r="E270" s="1">
        <v>14</v>
      </c>
      <c r="F270" s="1">
        <v>5704</v>
      </c>
      <c r="G270" s="1">
        <v>2</v>
      </c>
      <c r="H270" s="2">
        <v>46129</v>
      </c>
      <c r="I270" s="2">
        <v>46131</v>
      </c>
      <c r="J270" s="1" t="s">
        <v>15</v>
      </c>
      <c r="K270" s="1">
        <v>1269</v>
      </c>
      <c r="L270" s="1" t="str">
        <f t="shared" si="1"/>
        <v>NORMAL</v>
      </c>
    </row>
    <row r="271" spans="1:12" x14ac:dyDescent="0.3">
      <c r="A271" s="1" t="s">
        <v>49</v>
      </c>
      <c r="B271" s="1" t="s">
        <v>43</v>
      </c>
      <c r="C271" s="1" t="s">
        <v>34</v>
      </c>
      <c r="D271" s="1" t="s">
        <v>35</v>
      </c>
      <c r="E271" s="1">
        <v>16</v>
      </c>
      <c r="F271" s="1">
        <v>62941</v>
      </c>
      <c r="G271" s="1">
        <v>7</v>
      </c>
      <c r="H271" s="2">
        <v>46135</v>
      </c>
      <c r="I271" s="2">
        <v>46141</v>
      </c>
      <c r="J271" s="1" t="s">
        <v>51</v>
      </c>
      <c r="K271" s="1">
        <v>1270</v>
      </c>
      <c r="L271" s="1" t="str">
        <f t="shared" si="1"/>
        <v>PRIORITY</v>
      </c>
    </row>
    <row r="272" spans="1:12" x14ac:dyDescent="0.3">
      <c r="A272" s="1" t="s">
        <v>40</v>
      </c>
      <c r="B272" s="1" t="s">
        <v>33</v>
      </c>
      <c r="C272" s="1" t="s">
        <v>34</v>
      </c>
      <c r="D272" s="1" t="s">
        <v>60</v>
      </c>
      <c r="E272" s="1">
        <v>20</v>
      </c>
      <c r="F272" s="1">
        <v>36941</v>
      </c>
      <c r="G272" s="1">
        <v>15</v>
      </c>
      <c r="H272" s="2">
        <v>46083</v>
      </c>
      <c r="I272" s="2">
        <v>46085</v>
      </c>
      <c r="J272" s="1" t="s">
        <v>29</v>
      </c>
      <c r="K272" s="1">
        <v>1271</v>
      </c>
      <c r="L272" s="1" t="str">
        <f t="shared" si="1"/>
        <v>PRIORITY</v>
      </c>
    </row>
    <row r="273" spans="1:12" x14ac:dyDescent="0.3">
      <c r="A273" s="1" t="s">
        <v>52</v>
      </c>
      <c r="B273" s="1" t="s">
        <v>38</v>
      </c>
      <c r="C273" s="1" t="s">
        <v>34</v>
      </c>
      <c r="D273" s="1" t="s">
        <v>41</v>
      </c>
      <c r="E273" s="1">
        <v>13</v>
      </c>
      <c r="F273" s="1">
        <v>42179</v>
      </c>
      <c r="G273" s="1">
        <v>0</v>
      </c>
      <c r="H273" s="2">
        <v>46078</v>
      </c>
      <c r="I273" s="2">
        <v>46084</v>
      </c>
      <c r="J273" s="1" t="s">
        <v>20</v>
      </c>
      <c r="K273" s="1">
        <v>1272</v>
      </c>
      <c r="L273" s="1" t="str">
        <f t="shared" si="1"/>
        <v>PRIORITY</v>
      </c>
    </row>
    <row r="274" spans="1:12" x14ac:dyDescent="0.3">
      <c r="A274" s="1" t="s">
        <v>46</v>
      </c>
      <c r="B274" s="1" t="s">
        <v>25</v>
      </c>
      <c r="C274" s="1" t="s">
        <v>34</v>
      </c>
      <c r="D274" s="1" t="s">
        <v>39</v>
      </c>
      <c r="E274" s="1">
        <v>12</v>
      </c>
      <c r="F274" s="1">
        <v>20618</v>
      </c>
      <c r="G274" s="1">
        <v>12</v>
      </c>
      <c r="H274" s="2">
        <v>46172</v>
      </c>
      <c r="I274" s="2">
        <v>46174</v>
      </c>
      <c r="J274" s="1" t="s">
        <v>20</v>
      </c>
      <c r="K274" s="1">
        <v>1273</v>
      </c>
      <c r="L274" s="1" t="str">
        <f t="shared" si="1"/>
        <v>NORMAL</v>
      </c>
    </row>
    <row r="275" spans="1:12" x14ac:dyDescent="0.3">
      <c r="A275" s="1" t="s">
        <v>26</v>
      </c>
      <c r="B275" s="1" t="s">
        <v>25</v>
      </c>
      <c r="C275" s="1" t="s">
        <v>34</v>
      </c>
      <c r="D275" s="1" t="s">
        <v>41</v>
      </c>
      <c r="E275" s="1">
        <v>13</v>
      </c>
      <c r="F275" s="1">
        <v>36652</v>
      </c>
      <c r="G275" s="1">
        <v>12</v>
      </c>
      <c r="H275" s="2">
        <v>46179</v>
      </c>
      <c r="I275" s="2">
        <v>46186</v>
      </c>
      <c r="J275" s="1" t="s">
        <v>20</v>
      </c>
      <c r="K275" s="1">
        <v>1274</v>
      </c>
      <c r="L275" s="1" t="str">
        <f t="shared" si="1"/>
        <v>NORMAL</v>
      </c>
    </row>
    <row r="276" spans="1:12" x14ac:dyDescent="0.3">
      <c r="A276" s="1" t="s">
        <v>16</v>
      </c>
      <c r="B276" s="1" t="s">
        <v>31</v>
      </c>
      <c r="C276" s="1" t="s">
        <v>13</v>
      </c>
      <c r="D276" s="1" t="s">
        <v>50</v>
      </c>
      <c r="E276" s="1">
        <v>20</v>
      </c>
      <c r="F276" s="1">
        <v>451</v>
      </c>
      <c r="G276" s="1">
        <v>15</v>
      </c>
      <c r="H276" s="2">
        <v>46092</v>
      </c>
      <c r="I276" s="2">
        <v>46094</v>
      </c>
      <c r="J276" s="1" t="s">
        <v>20</v>
      </c>
      <c r="K276" s="1">
        <v>1275</v>
      </c>
      <c r="L276" s="1" t="str">
        <f t="shared" si="1"/>
        <v>PRIORITY</v>
      </c>
    </row>
    <row r="277" spans="1:12" x14ac:dyDescent="0.3">
      <c r="A277" s="1" t="s">
        <v>40</v>
      </c>
      <c r="B277" s="1" t="s">
        <v>12</v>
      </c>
      <c r="C277" s="1" t="s">
        <v>18</v>
      </c>
      <c r="D277" s="1" t="s">
        <v>19</v>
      </c>
      <c r="E277" s="1">
        <v>1</v>
      </c>
      <c r="F277" s="1">
        <v>13437</v>
      </c>
      <c r="G277" s="1">
        <v>15</v>
      </c>
      <c r="H277" s="2">
        <v>46097</v>
      </c>
      <c r="I277" s="2">
        <v>46099</v>
      </c>
      <c r="J277" s="1" t="s">
        <v>24</v>
      </c>
      <c r="K277" s="1">
        <v>1276</v>
      </c>
      <c r="L277" s="1" t="str">
        <f t="shared" si="1"/>
        <v>NORMAL</v>
      </c>
    </row>
    <row r="278" spans="1:12" x14ac:dyDescent="0.3">
      <c r="A278" s="1" t="s">
        <v>59</v>
      </c>
      <c r="B278" s="1" t="s">
        <v>17</v>
      </c>
      <c r="C278" s="1" t="s">
        <v>13</v>
      </c>
      <c r="D278" s="1" t="s">
        <v>36</v>
      </c>
      <c r="E278" s="1">
        <v>14</v>
      </c>
      <c r="F278" s="1">
        <v>276</v>
      </c>
      <c r="G278" s="1">
        <v>0</v>
      </c>
      <c r="H278" s="2">
        <v>46086</v>
      </c>
      <c r="I278" s="2">
        <v>46089</v>
      </c>
      <c r="J278" s="1" t="s">
        <v>15</v>
      </c>
      <c r="K278" s="1">
        <v>1277</v>
      </c>
      <c r="L278" s="1" t="str">
        <f t="shared" si="1"/>
        <v>NORMAL</v>
      </c>
    </row>
    <row r="279" spans="1:12" x14ac:dyDescent="0.3">
      <c r="A279" s="1" t="s">
        <v>47</v>
      </c>
      <c r="B279" s="1" t="s">
        <v>22</v>
      </c>
      <c r="C279" s="1" t="s">
        <v>34</v>
      </c>
      <c r="D279" s="1" t="s">
        <v>61</v>
      </c>
      <c r="E279" s="1">
        <v>4</v>
      </c>
      <c r="F279" s="1">
        <v>20639</v>
      </c>
      <c r="G279" s="1">
        <v>7</v>
      </c>
      <c r="H279" s="2">
        <v>46180</v>
      </c>
      <c r="I279" s="2">
        <v>46186</v>
      </c>
      <c r="J279" s="1" t="s">
        <v>20</v>
      </c>
      <c r="K279" s="1">
        <v>1278</v>
      </c>
      <c r="L279" s="1" t="str">
        <f t="shared" si="1"/>
        <v>NORMAL</v>
      </c>
    </row>
    <row r="280" spans="1:12" x14ac:dyDescent="0.3">
      <c r="A280" s="1" t="s">
        <v>55</v>
      </c>
      <c r="B280" s="1" t="s">
        <v>33</v>
      </c>
      <c r="C280" s="1" t="s">
        <v>34</v>
      </c>
      <c r="D280" s="1" t="s">
        <v>45</v>
      </c>
      <c r="E280" s="1">
        <v>20</v>
      </c>
      <c r="F280" s="1">
        <v>49042</v>
      </c>
      <c r="G280" s="1">
        <v>2</v>
      </c>
      <c r="H280" s="2">
        <v>46124</v>
      </c>
      <c r="I280" s="2">
        <v>46126</v>
      </c>
      <c r="J280" s="1" t="s">
        <v>15</v>
      </c>
      <c r="K280" s="1">
        <v>1279</v>
      </c>
      <c r="L280" s="1" t="str">
        <f t="shared" si="1"/>
        <v>PRIORITY</v>
      </c>
    </row>
    <row r="281" spans="1:12" x14ac:dyDescent="0.3">
      <c r="A281" s="1" t="s">
        <v>59</v>
      </c>
      <c r="B281" s="1" t="s">
        <v>38</v>
      </c>
      <c r="C281" s="1" t="s">
        <v>13</v>
      </c>
      <c r="D281" s="1" t="s">
        <v>53</v>
      </c>
      <c r="E281" s="1">
        <v>9</v>
      </c>
      <c r="F281" s="1">
        <v>50</v>
      </c>
      <c r="G281" s="1">
        <v>7</v>
      </c>
      <c r="H281" s="2">
        <v>46085</v>
      </c>
      <c r="I281" s="2">
        <v>46095</v>
      </c>
      <c r="J281" s="1" t="s">
        <v>51</v>
      </c>
      <c r="K281" s="1">
        <v>1280</v>
      </c>
      <c r="L281" s="1" t="str">
        <f t="shared" si="1"/>
        <v>PRIORITY</v>
      </c>
    </row>
    <row r="282" spans="1:12" x14ac:dyDescent="0.3">
      <c r="A282" s="1" t="s">
        <v>55</v>
      </c>
      <c r="B282" s="1" t="s">
        <v>17</v>
      </c>
      <c r="C282" s="1" t="s">
        <v>13</v>
      </c>
      <c r="D282" s="1" t="s">
        <v>50</v>
      </c>
      <c r="E282" s="1">
        <v>6</v>
      </c>
      <c r="F282" s="1">
        <v>253</v>
      </c>
      <c r="G282" s="1">
        <v>0</v>
      </c>
      <c r="H282" s="2">
        <v>46055</v>
      </c>
      <c r="I282" s="2">
        <v>46063</v>
      </c>
      <c r="J282" s="1" t="s">
        <v>24</v>
      </c>
      <c r="K282" s="1">
        <v>1281</v>
      </c>
      <c r="L282" s="1" t="str">
        <f t="shared" si="1"/>
        <v>NORMAL</v>
      </c>
    </row>
    <row r="283" spans="1:12" x14ac:dyDescent="0.3">
      <c r="A283" s="1" t="s">
        <v>57</v>
      </c>
      <c r="B283" s="1" t="s">
        <v>43</v>
      </c>
      <c r="C283" s="1" t="s">
        <v>18</v>
      </c>
      <c r="D283" s="1" t="s">
        <v>44</v>
      </c>
      <c r="E283" s="1">
        <v>12</v>
      </c>
      <c r="F283" s="1">
        <v>3178</v>
      </c>
      <c r="G283" s="1">
        <v>10</v>
      </c>
      <c r="H283" s="2">
        <v>46176</v>
      </c>
      <c r="I283" s="2">
        <v>46177</v>
      </c>
      <c r="J283" s="1" t="s">
        <v>29</v>
      </c>
      <c r="K283" s="1">
        <v>1282</v>
      </c>
      <c r="L283" s="1" t="str">
        <f t="shared" si="1"/>
        <v>NORMAL</v>
      </c>
    </row>
    <row r="284" spans="1:12" x14ac:dyDescent="0.3">
      <c r="A284" s="1" t="s">
        <v>40</v>
      </c>
      <c r="B284" s="1" t="s">
        <v>12</v>
      </c>
      <c r="C284" s="1" t="s">
        <v>18</v>
      </c>
      <c r="D284" s="1" t="s">
        <v>23</v>
      </c>
      <c r="E284" s="1">
        <v>6</v>
      </c>
      <c r="F284" s="1">
        <v>1167</v>
      </c>
      <c r="G284" s="1">
        <v>2</v>
      </c>
      <c r="H284" s="2">
        <v>46100</v>
      </c>
      <c r="I284" s="2">
        <v>46106</v>
      </c>
      <c r="J284" s="1" t="s">
        <v>15</v>
      </c>
      <c r="K284" s="1">
        <v>1283</v>
      </c>
      <c r="L284" s="1" t="str">
        <f t="shared" si="1"/>
        <v>NORMAL</v>
      </c>
    </row>
    <row r="285" spans="1:12" x14ac:dyDescent="0.3">
      <c r="A285" s="1" t="s">
        <v>40</v>
      </c>
      <c r="B285" s="1" t="s">
        <v>25</v>
      </c>
      <c r="C285" s="1" t="s">
        <v>13</v>
      </c>
      <c r="D285" s="1" t="s">
        <v>37</v>
      </c>
      <c r="E285" s="1">
        <v>16</v>
      </c>
      <c r="F285" s="1">
        <v>419</v>
      </c>
      <c r="G285" s="1">
        <v>2</v>
      </c>
      <c r="H285" s="2">
        <v>46082</v>
      </c>
      <c r="I285" s="2">
        <v>46090</v>
      </c>
      <c r="J285" s="1" t="s">
        <v>15</v>
      </c>
      <c r="K285" s="1">
        <v>1284</v>
      </c>
      <c r="L285" s="1" t="str">
        <f t="shared" si="1"/>
        <v>PRIORITY</v>
      </c>
    </row>
    <row r="286" spans="1:12" x14ac:dyDescent="0.3">
      <c r="A286" s="1" t="s">
        <v>32</v>
      </c>
      <c r="B286" s="1" t="s">
        <v>38</v>
      </c>
      <c r="C286" s="1" t="s">
        <v>13</v>
      </c>
      <c r="D286" s="1" t="s">
        <v>36</v>
      </c>
      <c r="E286" s="1">
        <v>7</v>
      </c>
      <c r="F286" s="1">
        <v>439</v>
      </c>
      <c r="G286" s="1">
        <v>15</v>
      </c>
      <c r="H286" s="2">
        <v>46055</v>
      </c>
      <c r="I286" s="2">
        <v>46058</v>
      </c>
      <c r="J286" s="1" t="s">
        <v>20</v>
      </c>
      <c r="K286" s="1">
        <v>1285</v>
      </c>
      <c r="L286" s="1" t="str">
        <f t="shared" si="1"/>
        <v>PRIORITY</v>
      </c>
    </row>
    <row r="287" spans="1:12" x14ac:dyDescent="0.3">
      <c r="A287" s="1" t="s">
        <v>46</v>
      </c>
      <c r="B287" s="1" t="s">
        <v>17</v>
      </c>
      <c r="C287" s="1" t="s">
        <v>18</v>
      </c>
      <c r="D287" s="1" t="s">
        <v>56</v>
      </c>
      <c r="E287" s="1">
        <v>9</v>
      </c>
      <c r="F287" s="1">
        <v>1340</v>
      </c>
      <c r="G287" s="1">
        <v>2</v>
      </c>
      <c r="H287" s="2">
        <v>46168</v>
      </c>
      <c r="I287" s="2">
        <v>46173</v>
      </c>
      <c r="J287" s="1" t="s">
        <v>15</v>
      </c>
      <c r="K287" s="1">
        <v>1286</v>
      </c>
      <c r="L287" s="1" t="str">
        <f t="shared" si="1"/>
        <v>NORMAL</v>
      </c>
    </row>
    <row r="288" spans="1:12" x14ac:dyDescent="0.3">
      <c r="A288" s="1" t="s">
        <v>59</v>
      </c>
      <c r="B288" s="1" t="s">
        <v>31</v>
      </c>
      <c r="C288" s="1" t="s">
        <v>13</v>
      </c>
      <c r="D288" s="1" t="s">
        <v>14</v>
      </c>
      <c r="E288" s="1">
        <v>15</v>
      </c>
      <c r="F288" s="1">
        <v>251</v>
      </c>
      <c r="G288" s="1">
        <v>2</v>
      </c>
      <c r="H288" s="2">
        <v>46116</v>
      </c>
      <c r="I288" s="2">
        <v>46122</v>
      </c>
      <c r="J288" s="1" t="s">
        <v>51</v>
      </c>
      <c r="K288" s="1">
        <v>1287</v>
      </c>
      <c r="L288" s="1" t="str">
        <f t="shared" si="1"/>
        <v>PRIORITY</v>
      </c>
    </row>
    <row r="289" spans="1:12" x14ac:dyDescent="0.3">
      <c r="A289" s="1" t="s">
        <v>54</v>
      </c>
      <c r="B289" s="1" t="s">
        <v>22</v>
      </c>
      <c r="C289" s="1" t="s">
        <v>34</v>
      </c>
      <c r="D289" s="1" t="s">
        <v>60</v>
      </c>
      <c r="E289" s="1">
        <v>14</v>
      </c>
      <c r="F289" s="1">
        <v>35601</v>
      </c>
      <c r="G289" s="1">
        <v>10</v>
      </c>
      <c r="H289" s="2">
        <v>46179</v>
      </c>
      <c r="I289" s="2">
        <v>46187</v>
      </c>
      <c r="J289" s="1" t="s">
        <v>29</v>
      </c>
      <c r="K289" s="1">
        <v>1288</v>
      </c>
      <c r="L289" s="1" t="str">
        <f t="shared" si="1"/>
        <v>NORMAL</v>
      </c>
    </row>
    <row r="290" spans="1:12" x14ac:dyDescent="0.3">
      <c r="A290" s="1" t="s">
        <v>26</v>
      </c>
      <c r="B290" s="1" t="s">
        <v>22</v>
      </c>
      <c r="C290" s="1" t="s">
        <v>34</v>
      </c>
      <c r="D290" s="1" t="s">
        <v>45</v>
      </c>
      <c r="E290" s="1">
        <v>19</v>
      </c>
      <c r="F290" s="1">
        <v>25336</v>
      </c>
      <c r="G290" s="1">
        <v>2</v>
      </c>
      <c r="H290" s="2">
        <v>46122</v>
      </c>
      <c r="I290" s="2">
        <v>46130</v>
      </c>
      <c r="J290" s="1" t="s">
        <v>24</v>
      </c>
      <c r="K290" s="1">
        <v>1289</v>
      </c>
      <c r="L290" s="1" t="str">
        <f t="shared" si="1"/>
        <v>PRIORITY</v>
      </c>
    </row>
    <row r="291" spans="1:12" x14ac:dyDescent="0.3">
      <c r="A291" s="1" t="s">
        <v>26</v>
      </c>
      <c r="B291" s="1" t="s">
        <v>22</v>
      </c>
      <c r="C291" s="1" t="s">
        <v>34</v>
      </c>
      <c r="D291" s="1" t="s">
        <v>35</v>
      </c>
      <c r="E291" s="1">
        <v>3</v>
      </c>
      <c r="F291" s="1">
        <v>69793</v>
      </c>
      <c r="G291" s="1">
        <v>15</v>
      </c>
      <c r="H291" s="2">
        <v>46110</v>
      </c>
      <c r="I291" s="2">
        <v>46111</v>
      </c>
      <c r="J291" s="1" t="s">
        <v>29</v>
      </c>
      <c r="K291" s="1">
        <v>1290</v>
      </c>
      <c r="L291" s="1" t="str">
        <f t="shared" si="1"/>
        <v>NORMAL</v>
      </c>
    </row>
    <row r="292" spans="1:12" x14ac:dyDescent="0.3">
      <c r="A292" s="1" t="s">
        <v>21</v>
      </c>
      <c r="B292" s="1" t="s">
        <v>17</v>
      </c>
      <c r="C292" s="1" t="s">
        <v>13</v>
      </c>
      <c r="D292" s="1" t="s">
        <v>36</v>
      </c>
      <c r="E292" s="1">
        <v>17</v>
      </c>
      <c r="F292" s="1">
        <v>415</v>
      </c>
      <c r="G292" s="1">
        <v>5</v>
      </c>
      <c r="H292" s="2">
        <v>46137</v>
      </c>
      <c r="I292" s="2">
        <v>46141</v>
      </c>
      <c r="J292" s="1" t="s">
        <v>20</v>
      </c>
      <c r="K292" s="1">
        <v>1291</v>
      </c>
      <c r="L292" s="1" t="str">
        <f t="shared" si="1"/>
        <v>PRIORITY</v>
      </c>
    </row>
    <row r="293" spans="1:12" x14ac:dyDescent="0.3">
      <c r="A293" s="1" t="s">
        <v>54</v>
      </c>
      <c r="B293" s="1" t="s">
        <v>33</v>
      </c>
      <c r="C293" s="1" t="s">
        <v>34</v>
      </c>
      <c r="D293" s="1" t="s">
        <v>61</v>
      </c>
      <c r="E293" s="1">
        <v>11</v>
      </c>
      <c r="F293" s="1">
        <v>25158</v>
      </c>
      <c r="G293" s="1">
        <v>5</v>
      </c>
      <c r="H293" s="2">
        <v>46186</v>
      </c>
      <c r="I293" s="2">
        <v>46193</v>
      </c>
      <c r="J293" s="1" t="s">
        <v>20</v>
      </c>
      <c r="K293" s="1">
        <v>1292</v>
      </c>
      <c r="L293" s="1" t="str">
        <f t="shared" si="1"/>
        <v>NORMAL</v>
      </c>
    </row>
    <row r="294" spans="1:12" x14ac:dyDescent="0.3">
      <c r="A294" s="1" t="s">
        <v>49</v>
      </c>
      <c r="B294" s="1" t="s">
        <v>43</v>
      </c>
      <c r="C294" s="1" t="s">
        <v>18</v>
      </c>
      <c r="D294" s="1" t="s">
        <v>23</v>
      </c>
      <c r="E294" s="1">
        <v>7</v>
      </c>
      <c r="F294" s="1">
        <v>11481</v>
      </c>
      <c r="G294" s="1">
        <v>15</v>
      </c>
      <c r="H294" s="2">
        <v>46045</v>
      </c>
      <c r="I294" s="2">
        <v>46050</v>
      </c>
      <c r="J294" s="1" t="s">
        <v>20</v>
      </c>
      <c r="K294" s="1">
        <v>1293</v>
      </c>
      <c r="L294" s="1" t="str">
        <f t="shared" si="1"/>
        <v>NORMAL</v>
      </c>
    </row>
    <row r="295" spans="1:12" x14ac:dyDescent="0.3">
      <c r="A295" s="1" t="s">
        <v>21</v>
      </c>
      <c r="B295" s="1" t="s">
        <v>12</v>
      </c>
      <c r="C295" s="1" t="s">
        <v>18</v>
      </c>
      <c r="D295" s="1" t="s">
        <v>19</v>
      </c>
      <c r="E295" s="1">
        <v>8</v>
      </c>
      <c r="F295" s="1">
        <v>14448</v>
      </c>
      <c r="G295" s="1">
        <v>10</v>
      </c>
      <c r="H295" s="2">
        <v>46181</v>
      </c>
      <c r="I295" s="2">
        <v>46189</v>
      </c>
      <c r="J295" s="1" t="s">
        <v>15</v>
      </c>
      <c r="K295" s="1">
        <v>1294</v>
      </c>
      <c r="L295" s="1" t="str">
        <f t="shared" si="1"/>
        <v>NORMAL</v>
      </c>
    </row>
    <row r="296" spans="1:12" x14ac:dyDescent="0.3">
      <c r="A296" s="1" t="s">
        <v>52</v>
      </c>
      <c r="B296" s="1" t="s">
        <v>38</v>
      </c>
      <c r="C296" s="1" t="s">
        <v>18</v>
      </c>
      <c r="D296" s="1" t="s">
        <v>28</v>
      </c>
      <c r="E296" s="1">
        <v>16</v>
      </c>
      <c r="F296" s="1">
        <v>11935</v>
      </c>
      <c r="G296" s="1">
        <v>12</v>
      </c>
      <c r="H296" s="2">
        <v>46157</v>
      </c>
      <c r="I296" s="2">
        <v>46162</v>
      </c>
      <c r="J296" s="1" t="s">
        <v>15</v>
      </c>
      <c r="K296" s="1">
        <v>1295</v>
      </c>
      <c r="L296" s="1" t="str">
        <f t="shared" si="1"/>
        <v>PRIORITY</v>
      </c>
    </row>
    <row r="297" spans="1:12" x14ac:dyDescent="0.3">
      <c r="A297" s="1" t="s">
        <v>26</v>
      </c>
      <c r="B297" s="1" t="s">
        <v>38</v>
      </c>
      <c r="C297" s="1" t="s">
        <v>13</v>
      </c>
      <c r="D297" s="1" t="s">
        <v>50</v>
      </c>
      <c r="E297" s="1">
        <v>6</v>
      </c>
      <c r="F297" s="1">
        <v>201</v>
      </c>
      <c r="G297" s="1">
        <v>0</v>
      </c>
      <c r="H297" s="2">
        <v>46063</v>
      </c>
      <c r="I297" s="2">
        <v>46072</v>
      </c>
      <c r="J297" s="1" t="s">
        <v>51</v>
      </c>
      <c r="K297" s="1">
        <v>1296</v>
      </c>
      <c r="L297" s="1" t="str">
        <f t="shared" si="1"/>
        <v>PRIORITY</v>
      </c>
    </row>
    <row r="298" spans="1:12" x14ac:dyDescent="0.3">
      <c r="A298" s="1" t="s">
        <v>54</v>
      </c>
      <c r="B298" s="1" t="s">
        <v>25</v>
      </c>
      <c r="C298" s="1" t="s">
        <v>34</v>
      </c>
      <c r="D298" s="1" t="s">
        <v>35</v>
      </c>
      <c r="E298" s="1">
        <v>14</v>
      </c>
      <c r="F298" s="1">
        <v>24524</v>
      </c>
      <c r="G298" s="1">
        <v>10</v>
      </c>
      <c r="H298" s="2">
        <v>46178</v>
      </c>
      <c r="I298" s="2">
        <v>46187</v>
      </c>
      <c r="J298" s="1" t="s">
        <v>29</v>
      </c>
      <c r="K298" s="1">
        <v>1297</v>
      </c>
      <c r="L298" s="1" t="str">
        <f t="shared" si="1"/>
        <v>NORMAL</v>
      </c>
    </row>
    <row r="299" spans="1:12" x14ac:dyDescent="0.3">
      <c r="A299" s="1" t="s">
        <v>21</v>
      </c>
      <c r="B299" s="1" t="s">
        <v>12</v>
      </c>
      <c r="C299" s="1" t="s">
        <v>34</v>
      </c>
      <c r="D299" s="1" t="s">
        <v>61</v>
      </c>
      <c r="E299" s="1">
        <v>19</v>
      </c>
      <c r="F299" s="1">
        <v>20745</v>
      </c>
      <c r="G299" s="1">
        <v>2</v>
      </c>
      <c r="H299" s="2">
        <v>46083</v>
      </c>
      <c r="I299" s="2">
        <v>46093</v>
      </c>
      <c r="J299" s="1" t="s">
        <v>24</v>
      </c>
      <c r="K299" s="1">
        <v>1298</v>
      </c>
      <c r="L299" s="1" t="str">
        <f t="shared" si="1"/>
        <v>PRIORITY</v>
      </c>
    </row>
    <row r="300" spans="1:12" x14ac:dyDescent="0.3">
      <c r="A300" s="1" t="s">
        <v>26</v>
      </c>
      <c r="B300" s="1" t="s">
        <v>17</v>
      </c>
      <c r="C300" s="1" t="s">
        <v>18</v>
      </c>
      <c r="D300" s="1" t="s">
        <v>56</v>
      </c>
      <c r="E300" s="1">
        <v>8</v>
      </c>
      <c r="F300" s="1">
        <v>8783</v>
      </c>
      <c r="G300" s="1">
        <v>2</v>
      </c>
      <c r="H300" s="2">
        <v>46123</v>
      </c>
      <c r="I300" s="2">
        <v>46132</v>
      </c>
      <c r="J300" s="1" t="s">
        <v>15</v>
      </c>
      <c r="K300" s="1">
        <v>1299</v>
      </c>
      <c r="L300" s="1" t="str">
        <f t="shared" si="1"/>
        <v>NORMAL</v>
      </c>
    </row>
    <row r="301" spans="1:12" x14ac:dyDescent="0.3">
      <c r="A301" s="1" t="s">
        <v>47</v>
      </c>
      <c r="B301" s="1" t="s">
        <v>33</v>
      </c>
      <c r="C301" s="1" t="s">
        <v>34</v>
      </c>
      <c r="D301" s="1" t="s">
        <v>45</v>
      </c>
      <c r="E301" s="1">
        <v>20</v>
      </c>
      <c r="F301" s="1">
        <v>1392</v>
      </c>
      <c r="G301" s="1">
        <v>2</v>
      </c>
      <c r="H301" s="2">
        <v>46110</v>
      </c>
      <c r="I301" s="2">
        <v>46117</v>
      </c>
      <c r="J301" s="1" t="s">
        <v>24</v>
      </c>
      <c r="K301" s="1">
        <v>1300</v>
      </c>
      <c r="L301" s="1" t="str">
        <f t="shared" si="1"/>
        <v>PRIORITY</v>
      </c>
    </row>
    <row r="302" spans="1:12" x14ac:dyDescent="0.3">
      <c r="A302" s="1" t="s">
        <v>54</v>
      </c>
      <c r="B302" s="1" t="s">
        <v>17</v>
      </c>
      <c r="C302" s="1" t="s">
        <v>18</v>
      </c>
      <c r="D302" s="1" t="s">
        <v>28</v>
      </c>
      <c r="E302" s="1">
        <v>3</v>
      </c>
      <c r="F302" s="1">
        <v>7020</v>
      </c>
      <c r="G302" s="1">
        <v>10</v>
      </c>
      <c r="H302" s="2">
        <v>46028</v>
      </c>
      <c r="I302" s="2">
        <v>46038</v>
      </c>
      <c r="J302" s="1" t="s">
        <v>24</v>
      </c>
      <c r="K302" s="1">
        <v>1301</v>
      </c>
      <c r="L302" s="1" t="str">
        <f t="shared" si="1"/>
        <v>NORMAL</v>
      </c>
    </row>
    <row r="303" spans="1:12" x14ac:dyDescent="0.3">
      <c r="A303" s="1" t="s">
        <v>57</v>
      </c>
      <c r="B303" s="1" t="s">
        <v>12</v>
      </c>
      <c r="C303" s="1" t="s">
        <v>34</v>
      </c>
      <c r="D303" s="1" t="s">
        <v>35</v>
      </c>
      <c r="E303" s="1">
        <v>9</v>
      </c>
      <c r="F303" s="1">
        <v>8500</v>
      </c>
      <c r="G303" s="1">
        <v>15</v>
      </c>
      <c r="H303" s="2">
        <v>46163</v>
      </c>
      <c r="I303" s="2">
        <v>46172</v>
      </c>
      <c r="J303" s="1" t="s">
        <v>24</v>
      </c>
      <c r="K303" s="1">
        <v>1302</v>
      </c>
      <c r="L303" s="1" t="str">
        <f t="shared" si="1"/>
        <v>NORMAL</v>
      </c>
    </row>
    <row r="304" spans="1:12" x14ac:dyDescent="0.3">
      <c r="A304" s="1" t="s">
        <v>57</v>
      </c>
      <c r="B304" s="1" t="s">
        <v>38</v>
      </c>
      <c r="C304" s="1" t="s">
        <v>34</v>
      </c>
      <c r="D304" s="1" t="s">
        <v>35</v>
      </c>
      <c r="E304" s="1">
        <v>13</v>
      </c>
      <c r="F304" s="1">
        <v>5170</v>
      </c>
      <c r="G304" s="1">
        <v>2</v>
      </c>
      <c r="H304" s="2">
        <v>46124</v>
      </c>
      <c r="I304" s="2">
        <v>46127</v>
      </c>
      <c r="J304" s="1" t="s">
        <v>15</v>
      </c>
      <c r="K304" s="1">
        <v>1303</v>
      </c>
      <c r="L304" s="1" t="str">
        <f t="shared" si="1"/>
        <v>PRIORITY</v>
      </c>
    </row>
    <row r="305" spans="1:12" x14ac:dyDescent="0.3">
      <c r="A305" s="1" t="s">
        <v>59</v>
      </c>
      <c r="B305" s="1" t="s">
        <v>25</v>
      </c>
      <c r="C305" s="1" t="s">
        <v>13</v>
      </c>
      <c r="D305" s="1" t="s">
        <v>36</v>
      </c>
      <c r="E305" s="1">
        <v>20</v>
      </c>
      <c r="F305" s="1">
        <v>368</v>
      </c>
      <c r="G305" s="1">
        <v>7</v>
      </c>
      <c r="H305" s="2">
        <v>46042</v>
      </c>
      <c r="I305" s="2">
        <v>46051</v>
      </c>
      <c r="J305" s="1" t="s">
        <v>51</v>
      </c>
      <c r="K305" s="1">
        <v>1304</v>
      </c>
      <c r="L305" s="1" t="str">
        <f t="shared" si="1"/>
        <v>PRIORITY</v>
      </c>
    </row>
    <row r="306" spans="1:12" x14ac:dyDescent="0.3">
      <c r="A306" s="1" t="s">
        <v>58</v>
      </c>
      <c r="B306" s="1" t="s">
        <v>31</v>
      </c>
      <c r="C306" s="1" t="s">
        <v>34</v>
      </c>
      <c r="D306" s="1" t="s">
        <v>60</v>
      </c>
      <c r="E306" s="1">
        <v>20</v>
      </c>
      <c r="F306" s="1">
        <v>31406</v>
      </c>
      <c r="G306" s="1">
        <v>15</v>
      </c>
      <c r="H306" s="2">
        <v>46146</v>
      </c>
      <c r="I306" s="2">
        <v>46154</v>
      </c>
      <c r="J306" s="1" t="s">
        <v>51</v>
      </c>
      <c r="K306" s="1">
        <v>1305</v>
      </c>
      <c r="L306" s="1" t="str">
        <f t="shared" si="1"/>
        <v>PRIORITY</v>
      </c>
    </row>
    <row r="307" spans="1:12" x14ac:dyDescent="0.3">
      <c r="A307" s="1" t="s">
        <v>54</v>
      </c>
      <c r="B307" s="1" t="s">
        <v>43</v>
      </c>
      <c r="C307" s="1" t="s">
        <v>13</v>
      </c>
      <c r="D307" s="1" t="s">
        <v>36</v>
      </c>
      <c r="E307" s="1">
        <v>1</v>
      </c>
      <c r="F307" s="1">
        <v>332</v>
      </c>
      <c r="G307" s="1">
        <v>0</v>
      </c>
      <c r="H307" s="2">
        <v>46191</v>
      </c>
      <c r="I307" s="2">
        <v>46194</v>
      </c>
      <c r="J307" s="1" t="s">
        <v>20</v>
      </c>
      <c r="K307" s="1">
        <v>1306</v>
      </c>
      <c r="L307" s="1" t="str">
        <f t="shared" si="1"/>
        <v>NORMAL</v>
      </c>
    </row>
    <row r="308" spans="1:12" x14ac:dyDescent="0.3">
      <c r="A308" s="1" t="s">
        <v>57</v>
      </c>
      <c r="B308" s="1" t="s">
        <v>43</v>
      </c>
      <c r="C308" s="1" t="s">
        <v>34</v>
      </c>
      <c r="D308" s="1" t="s">
        <v>35</v>
      </c>
      <c r="E308" s="1">
        <v>18</v>
      </c>
      <c r="F308" s="1">
        <v>7541</v>
      </c>
      <c r="G308" s="1">
        <v>12</v>
      </c>
      <c r="H308" s="2">
        <v>46048</v>
      </c>
      <c r="I308" s="2">
        <v>46051</v>
      </c>
      <c r="J308" s="1" t="s">
        <v>51</v>
      </c>
      <c r="K308" s="1">
        <v>1307</v>
      </c>
      <c r="L308" s="1" t="str">
        <f t="shared" si="1"/>
        <v>PRIORITY</v>
      </c>
    </row>
    <row r="309" spans="1:12" x14ac:dyDescent="0.3">
      <c r="A309" s="1" t="s">
        <v>30</v>
      </c>
      <c r="B309" s="1" t="s">
        <v>22</v>
      </c>
      <c r="C309" s="1" t="s">
        <v>34</v>
      </c>
      <c r="D309" s="1" t="s">
        <v>41</v>
      </c>
      <c r="E309" s="1">
        <v>12</v>
      </c>
      <c r="F309" s="1">
        <v>66075</v>
      </c>
      <c r="G309" s="1">
        <v>5</v>
      </c>
      <c r="H309" s="2">
        <v>46129</v>
      </c>
      <c r="I309" s="2">
        <v>46135</v>
      </c>
      <c r="J309" s="1" t="s">
        <v>20</v>
      </c>
      <c r="K309" s="1">
        <v>1308</v>
      </c>
      <c r="L309" s="1" t="str">
        <f t="shared" si="1"/>
        <v>NORMAL</v>
      </c>
    </row>
    <row r="310" spans="1:12" x14ac:dyDescent="0.3">
      <c r="A310" s="1" t="s">
        <v>29</v>
      </c>
      <c r="B310" s="1" t="s">
        <v>31</v>
      </c>
      <c r="C310" s="1" t="s">
        <v>13</v>
      </c>
      <c r="D310" s="1" t="s">
        <v>50</v>
      </c>
      <c r="E310" s="1">
        <v>2</v>
      </c>
      <c r="F310" s="1">
        <v>35</v>
      </c>
      <c r="G310" s="1">
        <v>5</v>
      </c>
      <c r="H310" s="2">
        <v>46197</v>
      </c>
      <c r="I310" s="2">
        <v>46198</v>
      </c>
      <c r="J310" s="1" t="s">
        <v>24</v>
      </c>
      <c r="K310" s="1">
        <v>1309</v>
      </c>
      <c r="L310" s="1" t="str">
        <f t="shared" si="1"/>
        <v>NORMAL</v>
      </c>
    </row>
    <row r="311" spans="1:12" x14ac:dyDescent="0.3">
      <c r="A311" s="1" t="s">
        <v>49</v>
      </c>
      <c r="B311" s="1" t="s">
        <v>17</v>
      </c>
      <c r="C311" s="1" t="s">
        <v>18</v>
      </c>
      <c r="D311" s="1" t="s">
        <v>56</v>
      </c>
      <c r="E311" s="1">
        <v>19</v>
      </c>
      <c r="F311" s="1">
        <v>12691</v>
      </c>
      <c r="G311" s="1">
        <v>0</v>
      </c>
      <c r="H311" s="2">
        <v>46181</v>
      </c>
      <c r="I311" s="2">
        <v>46189</v>
      </c>
      <c r="J311" s="1" t="s">
        <v>29</v>
      </c>
      <c r="K311" s="1">
        <v>1310</v>
      </c>
      <c r="L311" s="1" t="str">
        <f t="shared" si="1"/>
        <v>PRIORITY</v>
      </c>
    </row>
    <row r="312" spans="1:12" x14ac:dyDescent="0.3">
      <c r="A312" s="1" t="s">
        <v>55</v>
      </c>
      <c r="B312" s="1" t="s">
        <v>12</v>
      </c>
      <c r="C312" s="1" t="s">
        <v>13</v>
      </c>
      <c r="D312" s="1" t="s">
        <v>14</v>
      </c>
      <c r="E312" s="1">
        <v>2</v>
      </c>
      <c r="F312" s="1">
        <v>209</v>
      </c>
      <c r="G312" s="1">
        <v>0</v>
      </c>
      <c r="H312" s="2">
        <v>46173</v>
      </c>
      <c r="I312" s="2">
        <v>46176</v>
      </c>
      <c r="J312" s="1" t="s">
        <v>20</v>
      </c>
      <c r="K312" s="1">
        <v>1311</v>
      </c>
      <c r="L312" s="1" t="str">
        <f t="shared" si="1"/>
        <v>NORMAL</v>
      </c>
    </row>
    <row r="313" spans="1:12" x14ac:dyDescent="0.3">
      <c r="A313" s="1" t="s">
        <v>57</v>
      </c>
      <c r="B313" s="1" t="s">
        <v>22</v>
      </c>
      <c r="C313" s="1" t="s">
        <v>18</v>
      </c>
      <c r="D313" s="1" t="s">
        <v>56</v>
      </c>
      <c r="E313" s="1">
        <v>20</v>
      </c>
      <c r="F313" s="1">
        <v>3274</v>
      </c>
      <c r="G313" s="1">
        <v>2</v>
      </c>
      <c r="H313" s="2">
        <v>46148</v>
      </c>
      <c r="I313" s="2">
        <v>46156</v>
      </c>
      <c r="J313" s="1" t="s">
        <v>24</v>
      </c>
      <c r="K313" s="1">
        <v>1312</v>
      </c>
      <c r="L313" s="1" t="str">
        <f t="shared" si="1"/>
        <v>PRIORITY</v>
      </c>
    </row>
    <row r="314" spans="1:12" x14ac:dyDescent="0.3">
      <c r="A314" s="1" t="s">
        <v>59</v>
      </c>
      <c r="B314" s="1" t="s">
        <v>22</v>
      </c>
      <c r="C314" s="1" t="s">
        <v>18</v>
      </c>
      <c r="D314" s="1" t="s">
        <v>56</v>
      </c>
      <c r="E314" s="1">
        <v>6</v>
      </c>
      <c r="F314" s="1">
        <v>10864</v>
      </c>
      <c r="G314" s="1">
        <v>10</v>
      </c>
      <c r="H314" s="2">
        <v>46041</v>
      </c>
      <c r="I314" s="2">
        <v>46049</v>
      </c>
      <c r="J314" s="1" t="s">
        <v>15</v>
      </c>
      <c r="K314" s="1">
        <v>1313</v>
      </c>
      <c r="L314" s="1" t="str">
        <f t="shared" si="1"/>
        <v>NORMAL</v>
      </c>
    </row>
    <row r="315" spans="1:12" x14ac:dyDescent="0.3">
      <c r="A315" s="1" t="s">
        <v>52</v>
      </c>
      <c r="B315" s="1" t="s">
        <v>33</v>
      </c>
      <c r="C315" s="1" t="s">
        <v>18</v>
      </c>
      <c r="D315" s="1" t="s">
        <v>19</v>
      </c>
      <c r="E315" s="1">
        <v>10</v>
      </c>
      <c r="F315" s="1">
        <v>6328</v>
      </c>
      <c r="G315" s="1">
        <v>2</v>
      </c>
      <c r="H315" s="2">
        <v>46196</v>
      </c>
      <c r="I315" s="2">
        <v>46197</v>
      </c>
      <c r="J315" s="1" t="s">
        <v>29</v>
      </c>
      <c r="K315" s="1">
        <v>1314</v>
      </c>
      <c r="L315" s="1" t="str">
        <f t="shared" si="1"/>
        <v>NORMAL</v>
      </c>
    </row>
    <row r="316" spans="1:12" x14ac:dyDescent="0.3">
      <c r="A316" s="1" t="s">
        <v>49</v>
      </c>
      <c r="B316" s="1" t="s">
        <v>31</v>
      </c>
      <c r="C316" s="1" t="s">
        <v>34</v>
      </c>
      <c r="D316" s="1" t="s">
        <v>41</v>
      </c>
      <c r="E316" s="1">
        <v>14</v>
      </c>
      <c r="F316" s="1">
        <v>57670</v>
      </c>
      <c r="G316" s="1">
        <v>2</v>
      </c>
      <c r="H316" s="2">
        <v>46186</v>
      </c>
      <c r="I316" s="2">
        <v>46196</v>
      </c>
      <c r="J316" s="1" t="s">
        <v>15</v>
      </c>
      <c r="K316" s="1">
        <v>1315</v>
      </c>
      <c r="L316" s="1" t="str">
        <f t="shared" si="1"/>
        <v>NORMAL</v>
      </c>
    </row>
    <row r="317" spans="1:12" x14ac:dyDescent="0.3">
      <c r="A317" s="1" t="s">
        <v>46</v>
      </c>
      <c r="B317" s="1" t="s">
        <v>12</v>
      </c>
      <c r="C317" s="1" t="s">
        <v>18</v>
      </c>
      <c r="D317" s="1" t="s">
        <v>28</v>
      </c>
      <c r="E317" s="1">
        <v>7</v>
      </c>
      <c r="F317" s="1">
        <v>9838</v>
      </c>
      <c r="G317" s="1">
        <v>7</v>
      </c>
      <c r="H317" s="2">
        <v>46078</v>
      </c>
      <c r="I317" s="2">
        <v>46085</v>
      </c>
      <c r="J317" s="1" t="s">
        <v>20</v>
      </c>
      <c r="K317" s="1">
        <v>1316</v>
      </c>
      <c r="L317" s="1" t="str">
        <f t="shared" si="1"/>
        <v>NORMAL</v>
      </c>
    </row>
    <row r="318" spans="1:12" x14ac:dyDescent="0.3">
      <c r="A318" s="1" t="s">
        <v>59</v>
      </c>
      <c r="B318" s="1" t="s">
        <v>33</v>
      </c>
      <c r="C318" s="1" t="s">
        <v>34</v>
      </c>
      <c r="D318" s="1" t="s">
        <v>41</v>
      </c>
      <c r="E318" s="1">
        <v>7</v>
      </c>
      <c r="F318" s="1">
        <v>67339</v>
      </c>
      <c r="G318" s="1">
        <v>5</v>
      </c>
      <c r="H318" s="2">
        <v>46159</v>
      </c>
      <c r="I318" s="2">
        <v>46169</v>
      </c>
      <c r="J318" s="1" t="s">
        <v>51</v>
      </c>
      <c r="K318" s="1">
        <v>1317</v>
      </c>
      <c r="L318" s="1" t="str">
        <f t="shared" si="1"/>
        <v>NORMAL</v>
      </c>
    </row>
    <row r="319" spans="1:12" x14ac:dyDescent="0.3">
      <c r="A319" s="1" t="s">
        <v>11</v>
      </c>
      <c r="B319" s="1" t="s">
        <v>43</v>
      </c>
      <c r="C319" s="1" t="s">
        <v>13</v>
      </c>
      <c r="D319" s="1" t="s">
        <v>50</v>
      </c>
      <c r="E319" s="1">
        <v>4</v>
      </c>
      <c r="F319" s="1">
        <v>38</v>
      </c>
      <c r="G319" s="1">
        <v>12</v>
      </c>
      <c r="H319" s="2">
        <v>46169</v>
      </c>
      <c r="I319" s="2">
        <v>46175</v>
      </c>
      <c r="J319" s="1" t="s">
        <v>29</v>
      </c>
      <c r="K319" s="1">
        <v>1318</v>
      </c>
      <c r="L319" s="1" t="str">
        <f t="shared" si="1"/>
        <v>NORMAL</v>
      </c>
    </row>
    <row r="320" spans="1:12" x14ac:dyDescent="0.3">
      <c r="A320" s="1" t="s">
        <v>21</v>
      </c>
      <c r="B320" s="1" t="s">
        <v>17</v>
      </c>
      <c r="C320" s="1" t="s">
        <v>34</v>
      </c>
      <c r="D320" s="1" t="s">
        <v>61</v>
      </c>
      <c r="E320" s="1">
        <v>17</v>
      </c>
      <c r="F320" s="1">
        <v>58407</v>
      </c>
      <c r="G320" s="1">
        <v>7</v>
      </c>
      <c r="H320" s="2">
        <v>46094</v>
      </c>
      <c r="I320" s="2">
        <v>46102</v>
      </c>
      <c r="J320" s="1" t="s">
        <v>15</v>
      </c>
      <c r="K320" s="1">
        <v>1319</v>
      </c>
      <c r="L320" s="1" t="str">
        <f t="shared" si="1"/>
        <v>PRIORITY</v>
      </c>
    </row>
    <row r="321" spans="1:12" x14ac:dyDescent="0.3">
      <c r="A321" s="1" t="s">
        <v>47</v>
      </c>
      <c r="B321" s="1" t="s">
        <v>38</v>
      </c>
      <c r="C321" s="1" t="s">
        <v>13</v>
      </c>
      <c r="D321" s="1" t="s">
        <v>36</v>
      </c>
      <c r="E321" s="1">
        <v>20</v>
      </c>
      <c r="F321" s="1">
        <v>55</v>
      </c>
      <c r="G321" s="1">
        <v>7</v>
      </c>
      <c r="H321" s="2">
        <v>46183</v>
      </c>
      <c r="I321" s="2">
        <v>46186</v>
      </c>
      <c r="J321" s="1" t="s">
        <v>20</v>
      </c>
      <c r="K321" s="1">
        <v>1320</v>
      </c>
      <c r="L321" s="1" t="str">
        <f t="shared" si="1"/>
        <v>PRIORITY</v>
      </c>
    </row>
    <row r="322" spans="1:12" x14ac:dyDescent="0.3">
      <c r="A322" s="1" t="s">
        <v>32</v>
      </c>
      <c r="B322" s="1" t="s">
        <v>22</v>
      </c>
      <c r="C322" s="1" t="s">
        <v>18</v>
      </c>
      <c r="D322" s="1" t="s">
        <v>19</v>
      </c>
      <c r="E322" s="1">
        <v>8</v>
      </c>
      <c r="F322" s="1">
        <v>5619</v>
      </c>
      <c r="G322" s="1">
        <v>7</v>
      </c>
      <c r="H322" s="2">
        <v>46107</v>
      </c>
      <c r="I322" s="2">
        <v>46109</v>
      </c>
      <c r="J322" s="1" t="s">
        <v>51</v>
      </c>
      <c r="K322" s="1">
        <v>1321</v>
      </c>
      <c r="L322" s="1" t="str">
        <f t="shared" si="1"/>
        <v>NORMAL</v>
      </c>
    </row>
    <row r="323" spans="1:12" x14ac:dyDescent="0.3">
      <c r="A323" s="1" t="s">
        <v>27</v>
      </c>
      <c r="B323" s="1" t="s">
        <v>12</v>
      </c>
      <c r="C323" s="1" t="s">
        <v>18</v>
      </c>
      <c r="D323" s="1" t="s">
        <v>23</v>
      </c>
      <c r="E323" s="1">
        <v>14</v>
      </c>
      <c r="F323" s="1">
        <v>9081</v>
      </c>
      <c r="G323" s="1">
        <v>15</v>
      </c>
      <c r="H323" s="2">
        <v>46141</v>
      </c>
      <c r="I323" s="2">
        <v>46146</v>
      </c>
      <c r="J323" s="1" t="s">
        <v>15</v>
      </c>
      <c r="K323" s="1">
        <v>1322</v>
      </c>
      <c r="L323" s="1" t="str">
        <f t="shared" si="1"/>
        <v>NORMAL</v>
      </c>
    </row>
    <row r="324" spans="1:12" x14ac:dyDescent="0.3">
      <c r="A324" s="1" t="s">
        <v>57</v>
      </c>
      <c r="B324" s="1" t="s">
        <v>38</v>
      </c>
      <c r="C324" s="1" t="s">
        <v>34</v>
      </c>
      <c r="D324" s="1" t="s">
        <v>61</v>
      </c>
      <c r="E324" s="1">
        <v>2</v>
      </c>
      <c r="F324" s="1">
        <v>32074</v>
      </c>
      <c r="G324" s="1">
        <v>10</v>
      </c>
      <c r="H324" s="2">
        <v>46073</v>
      </c>
      <c r="I324" s="2">
        <v>46078</v>
      </c>
      <c r="J324" s="1" t="s">
        <v>15</v>
      </c>
      <c r="K324" s="1">
        <v>1323</v>
      </c>
      <c r="L324" s="1" t="str">
        <f t="shared" si="1"/>
        <v>PRIORITY</v>
      </c>
    </row>
    <row r="325" spans="1:12" x14ac:dyDescent="0.3">
      <c r="A325" s="1" t="s">
        <v>32</v>
      </c>
      <c r="B325" s="1" t="s">
        <v>22</v>
      </c>
      <c r="C325" s="1" t="s">
        <v>18</v>
      </c>
      <c r="D325" s="1" t="s">
        <v>19</v>
      </c>
      <c r="E325" s="1">
        <v>1</v>
      </c>
      <c r="F325" s="1">
        <v>4286</v>
      </c>
      <c r="G325" s="1">
        <v>15</v>
      </c>
      <c r="H325" s="2">
        <v>46053</v>
      </c>
      <c r="I325" s="2">
        <v>46056</v>
      </c>
      <c r="J325" s="1" t="s">
        <v>20</v>
      </c>
      <c r="K325" s="1">
        <v>1324</v>
      </c>
      <c r="L325" s="1" t="str">
        <f t="shared" si="1"/>
        <v>NORMAL</v>
      </c>
    </row>
    <row r="326" spans="1:12" x14ac:dyDescent="0.3">
      <c r="A326" s="1" t="s">
        <v>48</v>
      </c>
      <c r="B326" s="1" t="s">
        <v>43</v>
      </c>
      <c r="C326" s="1" t="s">
        <v>34</v>
      </c>
      <c r="D326" s="1" t="s">
        <v>39</v>
      </c>
      <c r="E326" s="1">
        <v>9</v>
      </c>
      <c r="F326" s="1">
        <v>58442</v>
      </c>
      <c r="G326" s="1">
        <v>12</v>
      </c>
      <c r="H326" s="2">
        <v>46076</v>
      </c>
      <c r="I326" s="2">
        <v>46085</v>
      </c>
      <c r="J326" s="1" t="s">
        <v>20</v>
      </c>
      <c r="K326" s="1">
        <v>1325</v>
      </c>
      <c r="L326" s="1" t="str">
        <f t="shared" si="1"/>
        <v>NORMAL</v>
      </c>
    </row>
    <row r="327" spans="1:12" x14ac:dyDescent="0.3">
      <c r="A327" s="1" t="s">
        <v>26</v>
      </c>
      <c r="B327" s="1" t="s">
        <v>17</v>
      </c>
      <c r="C327" s="1" t="s">
        <v>18</v>
      </c>
      <c r="D327" s="1" t="s">
        <v>44</v>
      </c>
      <c r="E327" s="1">
        <v>18</v>
      </c>
      <c r="F327" s="1">
        <v>1830</v>
      </c>
      <c r="G327" s="1">
        <v>10</v>
      </c>
      <c r="H327" s="2">
        <v>46165</v>
      </c>
      <c r="I327" s="2">
        <v>46172</v>
      </c>
      <c r="J327" s="1" t="s">
        <v>15</v>
      </c>
      <c r="K327" s="1">
        <v>1326</v>
      </c>
      <c r="L327" s="1" t="str">
        <f t="shared" si="1"/>
        <v>PRIORITY</v>
      </c>
    </row>
    <row r="328" spans="1:12" x14ac:dyDescent="0.3">
      <c r="A328" s="1" t="s">
        <v>48</v>
      </c>
      <c r="B328" s="1" t="s">
        <v>12</v>
      </c>
      <c r="C328" s="1" t="s">
        <v>13</v>
      </c>
      <c r="D328" s="1" t="s">
        <v>53</v>
      </c>
      <c r="E328" s="1">
        <v>15</v>
      </c>
      <c r="F328" s="1">
        <v>449</v>
      </c>
      <c r="G328" s="1">
        <v>5</v>
      </c>
      <c r="H328" s="2">
        <v>46152</v>
      </c>
      <c r="I328" s="2">
        <v>46153</v>
      </c>
      <c r="J328" s="1" t="s">
        <v>15</v>
      </c>
      <c r="K328" s="1">
        <v>1327</v>
      </c>
      <c r="L328" s="1" t="str">
        <f t="shared" si="1"/>
        <v>PRIORITY</v>
      </c>
    </row>
    <row r="329" spans="1:12" x14ac:dyDescent="0.3">
      <c r="A329" s="1" t="s">
        <v>16</v>
      </c>
      <c r="B329" s="1" t="s">
        <v>38</v>
      </c>
      <c r="C329" s="1" t="s">
        <v>13</v>
      </c>
      <c r="D329" s="1" t="s">
        <v>36</v>
      </c>
      <c r="E329" s="1">
        <v>4</v>
      </c>
      <c r="F329" s="1">
        <v>132</v>
      </c>
      <c r="G329" s="1">
        <v>0</v>
      </c>
      <c r="H329" s="2">
        <v>46109</v>
      </c>
      <c r="I329" s="2">
        <v>46114</v>
      </c>
      <c r="J329" s="1" t="s">
        <v>29</v>
      </c>
      <c r="K329" s="1">
        <v>1328</v>
      </c>
      <c r="L329" s="1" t="str">
        <f t="shared" si="1"/>
        <v>PRIORITY</v>
      </c>
    </row>
    <row r="330" spans="1:12" x14ac:dyDescent="0.3">
      <c r="A330" s="1" t="s">
        <v>30</v>
      </c>
      <c r="B330" s="1" t="s">
        <v>43</v>
      </c>
      <c r="C330" s="1" t="s">
        <v>13</v>
      </c>
      <c r="D330" s="1" t="s">
        <v>53</v>
      </c>
      <c r="E330" s="1">
        <v>18</v>
      </c>
      <c r="F330" s="1">
        <v>227</v>
      </c>
      <c r="G330" s="1">
        <v>5</v>
      </c>
      <c r="H330" s="2">
        <v>46126</v>
      </c>
      <c r="I330" s="2">
        <v>46136</v>
      </c>
      <c r="J330" s="1" t="s">
        <v>29</v>
      </c>
      <c r="K330" s="1">
        <v>1329</v>
      </c>
      <c r="L330" s="1" t="str">
        <f t="shared" si="1"/>
        <v>PRIORITY</v>
      </c>
    </row>
    <row r="331" spans="1:12" x14ac:dyDescent="0.3">
      <c r="A331" s="1" t="s">
        <v>49</v>
      </c>
      <c r="B331" s="1" t="s">
        <v>17</v>
      </c>
      <c r="C331" s="1" t="s">
        <v>18</v>
      </c>
      <c r="D331" s="1" t="s">
        <v>19</v>
      </c>
      <c r="E331" s="1">
        <v>13</v>
      </c>
      <c r="F331" s="1">
        <v>12071</v>
      </c>
      <c r="G331" s="1">
        <v>0</v>
      </c>
      <c r="H331" s="2">
        <v>46032</v>
      </c>
      <c r="I331" s="2">
        <v>46036</v>
      </c>
      <c r="J331" s="1" t="s">
        <v>51</v>
      </c>
      <c r="K331" s="1">
        <v>1330</v>
      </c>
      <c r="L331" s="1" t="str">
        <f t="shared" si="1"/>
        <v>NORMAL</v>
      </c>
    </row>
    <row r="332" spans="1:12" x14ac:dyDescent="0.3">
      <c r="A332" s="1" t="s">
        <v>21</v>
      </c>
      <c r="B332" s="1" t="s">
        <v>25</v>
      </c>
      <c r="C332" s="1" t="s">
        <v>34</v>
      </c>
      <c r="D332" s="1" t="s">
        <v>61</v>
      </c>
      <c r="E332" s="1">
        <v>2</v>
      </c>
      <c r="F332" s="1">
        <v>43557</v>
      </c>
      <c r="G332" s="1">
        <v>2</v>
      </c>
      <c r="H332" s="2">
        <v>46190</v>
      </c>
      <c r="I332" s="2">
        <v>46200</v>
      </c>
      <c r="J332" s="1" t="s">
        <v>15</v>
      </c>
      <c r="K332" s="1">
        <v>1331</v>
      </c>
      <c r="L332" s="1" t="str">
        <f t="shared" si="1"/>
        <v>NORMAL</v>
      </c>
    </row>
    <row r="333" spans="1:12" x14ac:dyDescent="0.3">
      <c r="A333" s="1" t="s">
        <v>29</v>
      </c>
      <c r="B333" s="1" t="s">
        <v>43</v>
      </c>
      <c r="C333" s="1" t="s">
        <v>13</v>
      </c>
      <c r="D333" s="1" t="s">
        <v>50</v>
      </c>
      <c r="E333" s="1">
        <v>7</v>
      </c>
      <c r="F333" s="1">
        <v>439</v>
      </c>
      <c r="G333" s="1">
        <v>2</v>
      </c>
      <c r="H333" s="2">
        <v>46154</v>
      </c>
      <c r="I333" s="2">
        <v>46157</v>
      </c>
      <c r="J333" s="1" t="s">
        <v>15</v>
      </c>
      <c r="K333" s="1">
        <v>1332</v>
      </c>
      <c r="L333" s="1" t="str">
        <f t="shared" si="1"/>
        <v>NORMAL</v>
      </c>
    </row>
    <row r="334" spans="1:12" x14ac:dyDescent="0.3">
      <c r="A334" s="1" t="s">
        <v>29</v>
      </c>
      <c r="B334" s="1" t="s">
        <v>38</v>
      </c>
      <c r="C334" s="1" t="s">
        <v>13</v>
      </c>
      <c r="D334" s="1" t="s">
        <v>53</v>
      </c>
      <c r="E334" s="1">
        <v>20</v>
      </c>
      <c r="F334" s="1">
        <v>416</v>
      </c>
      <c r="G334" s="1">
        <v>12</v>
      </c>
      <c r="H334" s="2">
        <v>46145</v>
      </c>
      <c r="I334" s="2">
        <v>46146</v>
      </c>
      <c r="J334" s="1" t="s">
        <v>51</v>
      </c>
      <c r="K334" s="1">
        <v>1333</v>
      </c>
      <c r="L334" s="1" t="str">
        <f t="shared" si="1"/>
        <v>PRIORITY</v>
      </c>
    </row>
    <row r="335" spans="1:12" x14ac:dyDescent="0.3">
      <c r="A335" s="1" t="s">
        <v>40</v>
      </c>
      <c r="B335" s="1" t="s">
        <v>12</v>
      </c>
      <c r="C335" s="1" t="s">
        <v>34</v>
      </c>
      <c r="D335" s="1" t="s">
        <v>41</v>
      </c>
      <c r="E335" s="1">
        <v>15</v>
      </c>
      <c r="F335" s="1">
        <v>39853</v>
      </c>
      <c r="G335" s="1">
        <v>7</v>
      </c>
      <c r="H335" s="2">
        <v>46038</v>
      </c>
      <c r="I335" s="2">
        <v>46047</v>
      </c>
      <c r="J335" s="1" t="s">
        <v>51</v>
      </c>
      <c r="K335" s="1">
        <v>1334</v>
      </c>
      <c r="L335" s="1" t="str">
        <f t="shared" si="1"/>
        <v>PRIORITY</v>
      </c>
    </row>
    <row r="336" spans="1:12" x14ac:dyDescent="0.3">
      <c r="A336" s="1" t="s">
        <v>47</v>
      </c>
      <c r="B336" s="1" t="s">
        <v>17</v>
      </c>
      <c r="C336" s="1" t="s">
        <v>18</v>
      </c>
      <c r="D336" s="1" t="s">
        <v>19</v>
      </c>
      <c r="E336" s="1">
        <v>9</v>
      </c>
      <c r="F336" s="1">
        <v>1495</v>
      </c>
      <c r="G336" s="1">
        <v>12</v>
      </c>
      <c r="H336" s="2">
        <v>46168</v>
      </c>
      <c r="I336" s="2">
        <v>46173</v>
      </c>
      <c r="J336" s="1" t="s">
        <v>15</v>
      </c>
      <c r="K336" s="1">
        <v>1335</v>
      </c>
      <c r="L336" s="1" t="str">
        <f t="shared" si="1"/>
        <v>NORMAL</v>
      </c>
    </row>
    <row r="337" spans="1:12" x14ac:dyDescent="0.3">
      <c r="A337" s="1" t="s">
        <v>16</v>
      </c>
      <c r="B337" s="1" t="s">
        <v>25</v>
      </c>
      <c r="C337" s="1" t="s">
        <v>18</v>
      </c>
      <c r="D337" s="1" t="s">
        <v>56</v>
      </c>
      <c r="E337" s="1">
        <v>10</v>
      </c>
      <c r="F337" s="1">
        <v>5624</v>
      </c>
      <c r="G337" s="1">
        <v>0</v>
      </c>
      <c r="H337" s="2">
        <v>46086</v>
      </c>
      <c r="I337" s="2">
        <v>46092</v>
      </c>
      <c r="J337" s="1" t="s">
        <v>29</v>
      </c>
      <c r="K337" s="1">
        <v>1336</v>
      </c>
      <c r="L337" s="1" t="str">
        <f t="shared" si="1"/>
        <v>NORMAL</v>
      </c>
    </row>
    <row r="338" spans="1:12" x14ac:dyDescent="0.3">
      <c r="A338" s="1" t="s">
        <v>16</v>
      </c>
      <c r="B338" s="1" t="s">
        <v>12</v>
      </c>
      <c r="C338" s="1" t="s">
        <v>13</v>
      </c>
      <c r="D338" s="1" t="s">
        <v>53</v>
      </c>
      <c r="E338" s="1">
        <v>14</v>
      </c>
      <c r="F338" s="1">
        <v>373</v>
      </c>
      <c r="G338" s="1">
        <v>10</v>
      </c>
      <c r="H338" s="2">
        <v>46074</v>
      </c>
      <c r="I338" s="2">
        <v>46080</v>
      </c>
      <c r="J338" s="1" t="s">
        <v>29</v>
      </c>
      <c r="K338" s="1">
        <v>1337</v>
      </c>
      <c r="L338" s="1" t="str">
        <f t="shared" si="1"/>
        <v>NORMAL</v>
      </c>
    </row>
    <row r="339" spans="1:12" x14ac:dyDescent="0.3">
      <c r="A339" s="1" t="s">
        <v>59</v>
      </c>
      <c r="B339" s="1" t="s">
        <v>25</v>
      </c>
      <c r="C339" s="1" t="s">
        <v>34</v>
      </c>
      <c r="D339" s="1" t="s">
        <v>60</v>
      </c>
      <c r="E339" s="1">
        <v>10</v>
      </c>
      <c r="F339" s="1">
        <v>16719</v>
      </c>
      <c r="G339" s="1">
        <v>5</v>
      </c>
      <c r="H339" s="2">
        <v>46177</v>
      </c>
      <c r="I339" s="2">
        <v>46179</v>
      </c>
      <c r="J339" s="1" t="s">
        <v>15</v>
      </c>
      <c r="K339" s="1">
        <v>1338</v>
      </c>
      <c r="L339" s="1" t="str">
        <f t="shared" si="1"/>
        <v>NORMAL</v>
      </c>
    </row>
    <row r="340" spans="1:12" x14ac:dyDescent="0.3">
      <c r="A340" s="1" t="s">
        <v>32</v>
      </c>
      <c r="B340" s="1" t="s">
        <v>25</v>
      </c>
      <c r="C340" s="1" t="s">
        <v>13</v>
      </c>
      <c r="D340" s="1" t="s">
        <v>14</v>
      </c>
      <c r="E340" s="1">
        <v>6</v>
      </c>
      <c r="F340" s="1">
        <v>302</v>
      </c>
      <c r="G340" s="1">
        <v>5</v>
      </c>
      <c r="H340" s="2">
        <v>46142</v>
      </c>
      <c r="I340" s="2">
        <v>46148</v>
      </c>
      <c r="J340" s="1" t="s">
        <v>20</v>
      </c>
      <c r="K340" s="1">
        <v>1339</v>
      </c>
      <c r="L340" s="1" t="str">
        <f t="shared" si="1"/>
        <v>NORMAL</v>
      </c>
    </row>
    <row r="341" spans="1:12" x14ac:dyDescent="0.3">
      <c r="A341" s="1" t="s">
        <v>48</v>
      </c>
      <c r="B341" s="1" t="s">
        <v>17</v>
      </c>
      <c r="C341" s="1" t="s">
        <v>18</v>
      </c>
      <c r="D341" s="1" t="s">
        <v>19</v>
      </c>
      <c r="E341" s="1">
        <v>12</v>
      </c>
      <c r="F341" s="1">
        <v>3857</v>
      </c>
      <c r="G341" s="1">
        <v>12</v>
      </c>
      <c r="H341" s="2">
        <v>46196</v>
      </c>
      <c r="I341" s="2">
        <v>46198</v>
      </c>
      <c r="J341" s="1" t="s">
        <v>51</v>
      </c>
      <c r="K341" s="1">
        <v>1340</v>
      </c>
      <c r="L341" s="1" t="str">
        <f t="shared" si="1"/>
        <v>NORMAL</v>
      </c>
    </row>
    <row r="342" spans="1:12" x14ac:dyDescent="0.3">
      <c r="A342" s="1" t="s">
        <v>57</v>
      </c>
      <c r="B342" s="1" t="s">
        <v>38</v>
      </c>
      <c r="C342" s="1" t="s">
        <v>18</v>
      </c>
      <c r="D342" s="1" t="s">
        <v>19</v>
      </c>
      <c r="E342" s="1">
        <v>19</v>
      </c>
      <c r="F342" s="1">
        <v>6488</v>
      </c>
      <c r="G342" s="1">
        <v>15</v>
      </c>
      <c r="H342" s="2">
        <v>46026</v>
      </c>
      <c r="I342" s="2">
        <v>46030</v>
      </c>
      <c r="J342" s="1" t="s">
        <v>20</v>
      </c>
      <c r="K342" s="1">
        <v>1341</v>
      </c>
      <c r="L342" s="1" t="str">
        <f t="shared" si="1"/>
        <v>PRIORITY</v>
      </c>
    </row>
    <row r="343" spans="1:12" x14ac:dyDescent="0.3">
      <c r="A343" s="1" t="s">
        <v>59</v>
      </c>
      <c r="B343" s="1" t="s">
        <v>31</v>
      </c>
      <c r="C343" s="1" t="s">
        <v>34</v>
      </c>
      <c r="D343" s="1" t="s">
        <v>35</v>
      </c>
      <c r="E343" s="1">
        <v>13</v>
      </c>
      <c r="F343" s="1">
        <v>47881</v>
      </c>
      <c r="G343" s="1">
        <v>15</v>
      </c>
      <c r="H343" s="2">
        <v>46132</v>
      </c>
      <c r="I343" s="2">
        <v>46139</v>
      </c>
      <c r="J343" s="1" t="s">
        <v>29</v>
      </c>
      <c r="K343" s="1">
        <v>1342</v>
      </c>
      <c r="L343" s="1" t="str">
        <f t="shared" si="1"/>
        <v>NORMAL</v>
      </c>
    </row>
    <row r="344" spans="1:12" x14ac:dyDescent="0.3">
      <c r="A344" s="1" t="s">
        <v>59</v>
      </c>
      <c r="B344" s="1" t="s">
        <v>31</v>
      </c>
      <c r="C344" s="1" t="s">
        <v>34</v>
      </c>
      <c r="D344" s="1" t="s">
        <v>39</v>
      </c>
      <c r="E344" s="1">
        <v>14</v>
      </c>
      <c r="F344" s="1">
        <v>32719</v>
      </c>
      <c r="G344" s="1">
        <v>15</v>
      </c>
      <c r="H344" s="2">
        <v>46174</v>
      </c>
      <c r="I344" s="2">
        <v>46179</v>
      </c>
      <c r="J344" s="1" t="s">
        <v>15</v>
      </c>
      <c r="K344" s="1">
        <v>1343</v>
      </c>
      <c r="L344" s="1" t="str">
        <f t="shared" si="1"/>
        <v>NORMAL</v>
      </c>
    </row>
    <row r="345" spans="1:12" x14ac:dyDescent="0.3">
      <c r="A345" s="1" t="s">
        <v>30</v>
      </c>
      <c r="B345" s="1" t="s">
        <v>17</v>
      </c>
      <c r="C345" s="1" t="s">
        <v>13</v>
      </c>
      <c r="D345" s="1" t="s">
        <v>53</v>
      </c>
      <c r="E345" s="1">
        <v>18</v>
      </c>
      <c r="F345" s="1">
        <v>240</v>
      </c>
      <c r="G345" s="1">
        <v>10</v>
      </c>
      <c r="H345" s="2">
        <v>46155</v>
      </c>
      <c r="I345" s="2">
        <v>46156</v>
      </c>
      <c r="J345" s="1" t="s">
        <v>24</v>
      </c>
      <c r="K345" s="1">
        <v>1344</v>
      </c>
      <c r="L345" s="1" t="str">
        <f t="shared" si="1"/>
        <v>PRIORITY</v>
      </c>
    </row>
    <row r="346" spans="1:12" x14ac:dyDescent="0.3">
      <c r="A346" s="1" t="s">
        <v>32</v>
      </c>
      <c r="B346" s="1" t="s">
        <v>12</v>
      </c>
      <c r="C346" s="1" t="s">
        <v>34</v>
      </c>
      <c r="D346" s="1" t="s">
        <v>45</v>
      </c>
      <c r="E346" s="1">
        <v>12</v>
      </c>
      <c r="F346" s="1">
        <v>50544</v>
      </c>
      <c r="G346" s="1">
        <v>10</v>
      </c>
      <c r="H346" s="2">
        <v>46095</v>
      </c>
      <c r="I346" s="2">
        <v>46097</v>
      </c>
      <c r="J346" s="1" t="s">
        <v>29</v>
      </c>
      <c r="K346" s="1">
        <v>1345</v>
      </c>
      <c r="L346" s="1" t="str">
        <f t="shared" si="1"/>
        <v>NORMAL</v>
      </c>
    </row>
    <row r="347" spans="1:12" x14ac:dyDescent="0.3">
      <c r="A347" s="1" t="s">
        <v>32</v>
      </c>
      <c r="B347" s="1" t="s">
        <v>22</v>
      </c>
      <c r="C347" s="1" t="s">
        <v>18</v>
      </c>
      <c r="D347" s="1" t="s">
        <v>19</v>
      </c>
      <c r="E347" s="1">
        <v>16</v>
      </c>
      <c r="F347" s="1">
        <v>6910</v>
      </c>
      <c r="G347" s="1">
        <v>15</v>
      </c>
      <c r="H347" s="2">
        <v>46140</v>
      </c>
      <c r="I347" s="2">
        <v>46142</v>
      </c>
      <c r="J347" s="1" t="s">
        <v>29</v>
      </c>
      <c r="K347" s="1">
        <v>1346</v>
      </c>
      <c r="L347" s="1" t="str">
        <f t="shared" si="1"/>
        <v>PRIORITY</v>
      </c>
    </row>
    <row r="348" spans="1:12" x14ac:dyDescent="0.3">
      <c r="A348" s="1" t="s">
        <v>29</v>
      </c>
      <c r="B348" s="1" t="s">
        <v>22</v>
      </c>
      <c r="C348" s="1" t="s">
        <v>34</v>
      </c>
      <c r="D348" s="1" t="s">
        <v>35</v>
      </c>
      <c r="E348" s="1">
        <v>16</v>
      </c>
      <c r="F348" s="1">
        <v>6034</v>
      </c>
      <c r="G348" s="1">
        <v>15</v>
      </c>
      <c r="H348" s="2">
        <v>46037</v>
      </c>
      <c r="I348" s="2">
        <v>46044</v>
      </c>
      <c r="J348" s="1" t="s">
        <v>24</v>
      </c>
      <c r="K348" s="1">
        <v>1347</v>
      </c>
      <c r="L348" s="1" t="str">
        <f t="shared" si="1"/>
        <v>PRIORITY</v>
      </c>
    </row>
    <row r="349" spans="1:12" x14ac:dyDescent="0.3">
      <c r="A349" s="1" t="s">
        <v>11</v>
      </c>
      <c r="B349" s="1" t="s">
        <v>33</v>
      </c>
      <c r="C349" s="1" t="s">
        <v>13</v>
      </c>
      <c r="D349" s="1" t="s">
        <v>50</v>
      </c>
      <c r="E349" s="1">
        <v>12</v>
      </c>
      <c r="F349" s="1">
        <v>244</v>
      </c>
      <c r="G349" s="1">
        <v>7</v>
      </c>
      <c r="H349" s="2">
        <v>46048</v>
      </c>
      <c r="I349" s="2">
        <v>46053</v>
      </c>
      <c r="J349" s="1" t="s">
        <v>15</v>
      </c>
      <c r="K349" s="1">
        <v>1348</v>
      </c>
      <c r="L349" s="1" t="str">
        <f t="shared" si="1"/>
        <v>NORMAL</v>
      </c>
    </row>
    <row r="350" spans="1:12" x14ac:dyDescent="0.3">
      <c r="A350" s="1" t="s">
        <v>40</v>
      </c>
      <c r="B350" s="1" t="s">
        <v>33</v>
      </c>
      <c r="C350" s="1" t="s">
        <v>34</v>
      </c>
      <c r="D350" s="1" t="s">
        <v>35</v>
      </c>
      <c r="E350" s="1">
        <v>20</v>
      </c>
      <c r="F350" s="1">
        <v>62721</v>
      </c>
      <c r="G350" s="1">
        <v>7</v>
      </c>
      <c r="H350" s="2">
        <v>46079</v>
      </c>
      <c r="I350" s="2">
        <v>46083</v>
      </c>
      <c r="J350" s="1" t="s">
        <v>20</v>
      </c>
      <c r="K350" s="1">
        <v>1349</v>
      </c>
      <c r="L350" s="1" t="str">
        <f t="shared" si="1"/>
        <v>PRIORITY</v>
      </c>
    </row>
    <row r="351" spans="1:12" x14ac:dyDescent="0.3">
      <c r="A351" s="1" t="s">
        <v>26</v>
      </c>
      <c r="B351" s="1" t="s">
        <v>43</v>
      </c>
      <c r="C351" s="1" t="s">
        <v>18</v>
      </c>
      <c r="D351" s="1" t="s">
        <v>28</v>
      </c>
      <c r="E351" s="1">
        <v>16</v>
      </c>
      <c r="F351" s="1">
        <v>11790</v>
      </c>
      <c r="G351" s="1">
        <v>12</v>
      </c>
      <c r="H351" s="2">
        <v>46185</v>
      </c>
      <c r="I351" s="2">
        <v>46190</v>
      </c>
      <c r="J351" s="1" t="s">
        <v>29</v>
      </c>
      <c r="K351" s="1">
        <v>1350</v>
      </c>
      <c r="L351" s="1" t="str">
        <f t="shared" si="1"/>
        <v>PRIORITY</v>
      </c>
    </row>
    <row r="352" spans="1:12" x14ac:dyDescent="0.3">
      <c r="A352" s="1" t="s">
        <v>42</v>
      </c>
      <c r="B352" s="1" t="s">
        <v>33</v>
      </c>
      <c r="C352" s="1" t="s">
        <v>34</v>
      </c>
      <c r="D352" s="1" t="s">
        <v>45</v>
      </c>
      <c r="E352" s="1">
        <v>12</v>
      </c>
      <c r="F352" s="1">
        <v>1272</v>
      </c>
      <c r="G352" s="1">
        <v>0</v>
      </c>
      <c r="H352" s="2">
        <v>46026</v>
      </c>
      <c r="I352" s="2">
        <v>46029</v>
      </c>
      <c r="J352" s="1" t="s">
        <v>15</v>
      </c>
      <c r="K352" s="1">
        <v>1351</v>
      </c>
      <c r="L352" s="1" t="str">
        <f t="shared" si="1"/>
        <v>NORMAL</v>
      </c>
    </row>
    <row r="353" spans="1:12" x14ac:dyDescent="0.3">
      <c r="A353" s="1" t="s">
        <v>54</v>
      </c>
      <c r="B353" s="1" t="s">
        <v>22</v>
      </c>
      <c r="C353" s="1" t="s">
        <v>13</v>
      </c>
      <c r="D353" s="1" t="s">
        <v>14</v>
      </c>
      <c r="E353" s="1">
        <v>12</v>
      </c>
      <c r="F353" s="1">
        <v>203</v>
      </c>
      <c r="G353" s="1">
        <v>5</v>
      </c>
      <c r="H353" s="2">
        <v>46024</v>
      </c>
      <c r="I353" s="2">
        <v>46033</v>
      </c>
      <c r="J353" s="1" t="s">
        <v>15</v>
      </c>
      <c r="K353" s="1">
        <v>1352</v>
      </c>
      <c r="L353" s="1" t="str">
        <f t="shared" si="1"/>
        <v>NORMAL</v>
      </c>
    </row>
    <row r="354" spans="1:12" x14ac:dyDescent="0.3">
      <c r="A354" s="1" t="s">
        <v>47</v>
      </c>
      <c r="B354" s="1" t="s">
        <v>43</v>
      </c>
      <c r="C354" s="1" t="s">
        <v>13</v>
      </c>
      <c r="D354" s="1" t="s">
        <v>14</v>
      </c>
      <c r="E354" s="1">
        <v>6</v>
      </c>
      <c r="F354" s="1">
        <v>495</v>
      </c>
      <c r="G354" s="1">
        <v>2</v>
      </c>
      <c r="H354" s="2">
        <v>46194</v>
      </c>
      <c r="I354" s="2">
        <v>46200</v>
      </c>
      <c r="J354" s="1" t="s">
        <v>24</v>
      </c>
      <c r="K354" s="1">
        <v>1353</v>
      </c>
      <c r="L354" s="1" t="str">
        <f t="shared" si="1"/>
        <v>NORMAL</v>
      </c>
    </row>
    <row r="355" spans="1:12" x14ac:dyDescent="0.3">
      <c r="A355" s="1" t="s">
        <v>47</v>
      </c>
      <c r="B355" s="1" t="s">
        <v>43</v>
      </c>
      <c r="C355" s="1" t="s">
        <v>34</v>
      </c>
      <c r="D355" s="1" t="s">
        <v>35</v>
      </c>
      <c r="E355" s="1">
        <v>15</v>
      </c>
      <c r="F355" s="1">
        <v>14927</v>
      </c>
      <c r="G355" s="1">
        <v>15</v>
      </c>
      <c r="H355" s="2">
        <v>46118</v>
      </c>
      <c r="I355" s="2">
        <v>46120</v>
      </c>
      <c r="J355" s="1" t="s">
        <v>51</v>
      </c>
      <c r="K355" s="1">
        <v>1354</v>
      </c>
      <c r="L355" s="1" t="str">
        <f t="shared" si="1"/>
        <v>PRIORITY</v>
      </c>
    </row>
    <row r="356" spans="1:12" x14ac:dyDescent="0.3">
      <c r="A356" s="1" t="s">
        <v>27</v>
      </c>
      <c r="B356" s="1" t="s">
        <v>12</v>
      </c>
      <c r="C356" s="1" t="s">
        <v>34</v>
      </c>
      <c r="D356" s="1" t="s">
        <v>60</v>
      </c>
      <c r="E356" s="1">
        <v>18</v>
      </c>
      <c r="F356" s="1">
        <v>35997</v>
      </c>
      <c r="G356" s="1">
        <v>2</v>
      </c>
      <c r="H356" s="2">
        <v>46024</v>
      </c>
      <c r="I356" s="2">
        <v>46031</v>
      </c>
      <c r="J356" s="1" t="s">
        <v>51</v>
      </c>
      <c r="K356" s="1">
        <v>1355</v>
      </c>
      <c r="L356" s="1" t="str">
        <f t="shared" si="1"/>
        <v>PRIORITY</v>
      </c>
    </row>
    <row r="357" spans="1:12" x14ac:dyDescent="0.3">
      <c r="A357" s="1" t="s">
        <v>26</v>
      </c>
      <c r="B357" s="1" t="s">
        <v>38</v>
      </c>
      <c r="C357" s="1" t="s">
        <v>34</v>
      </c>
      <c r="D357" s="1" t="s">
        <v>60</v>
      </c>
      <c r="E357" s="1">
        <v>16</v>
      </c>
      <c r="F357" s="1">
        <v>53457</v>
      </c>
      <c r="G357" s="1">
        <v>10</v>
      </c>
      <c r="H357" s="2">
        <v>46201</v>
      </c>
      <c r="I357" s="2">
        <v>46204</v>
      </c>
      <c r="J357" s="1" t="s">
        <v>15</v>
      </c>
      <c r="K357" s="1">
        <v>1356</v>
      </c>
      <c r="L357" s="1" t="str">
        <f t="shared" si="1"/>
        <v>PRIORITY</v>
      </c>
    </row>
    <row r="358" spans="1:12" x14ac:dyDescent="0.3">
      <c r="A358" s="1" t="s">
        <v>59</v>
      </c>
      <c r="B358" s="1" t="s">
        <v>25</v>
      </c>
      <c r="C358" s="1" t="s">
        <v>13</v>
      </c>
      <c r="D358" s="1" t="s">
        <v>37</v>
      </c>
      <c r="E358" s="1">
        <v>6</v>
      </c>
      <c r="F358" s="1">
        <v>365</v>
      </c>
      <c r="G358" s="1">
        <v>7</v>
      </c>
      <c r="H358" s="2">
        <v>46133</v>
      </c>
      <c r="I358" s="2">
        <v>46140</v>
      </c>
      <c r="J358" s="1" t="s">
        <v>51</v>
      </c>
      <c r="K358" s="1">
        <v>1357</v>
      </c>
      <c r="L358" s="1" t="str">
        <f t="shared" si="1"/>
        <v>NORMAL</v>
      </c>
    </row>
    <row r="359" spans="1:12" x14ac:dyDescent="0.3">
      <c r="A359" s="1" t="s">
        <v>40</v>
      </c>
      <c r="B359" s="1" t="s">
        <v>38</v>
      </c>
      <c r="C359" s="1" t="s">
        <v>18</v>
      </c>
      <c r="D359" s="1" t="s">
        <v>19</v>
      </c>
      <c r="E359" s="1">
        <v>7</v>
      </c>
      <c r="F359" s="1">
        <v>6618</v>
      </c>
      <c r="G359" s="1">
        <v>0</v>
      </c>
      <c r="H359" s="2">
        <v>46127</v>
      </c>
      <c r="I359" s="2">
        <v>46129</v>
      </c>
      <c r="J359" s="1" t="s">
        <v>20</v>
      </c>
      <c r="K359" s="1">
        <v>1358</v>
      </c>
      <c r="L359" s="1" t="str">
        <f t="shared" si="1"/>
        <v>PRIORITY</v>
      </c>
    </row>
    <row r="360" spans="1:12" x14ac:dyDescent="0.3">
      <c r="A360" s="1" t="s">
        <v>54</v>
      </c>
      <c r="B360" s="1" t="s">
        <v>12</v>
      </c>
      <c r="C360" s="1" t="s">
        <v>34</v>
      </c>
      <c r="D360" s="1" t="s">
        <v>61</v>
      </c>
      <c r="E360" s="1">
        <v>9</v>
      </c>
      <c r="F360" s="1">
        <v>38179</v>
      </c>
      <c r="G360" s="1">
        <v>0</v>
      </c>
      <c r="H360" s="2">
        <v>46096</v>
      </c>
      <c r="I360" s="2">
        <v>46099</v>
      </c>
      <c r="J360" s="1" t="s">
        <v>15</v>
      </c>
      <c r="K360" s="1">
        <v>1359</v>
      </c>
      <c r="L360" s="1" t="str">
        <f t="shared" si="1"/>
        <v>NORMAL</v>
      </c>
    </row>
    <row r="361" spans="1:12" x14ac:dyDescent="0.3">
      <c r="A361" s="1" t="s">
        <v>11</v>
      </c>
      <c r="B361" s="1" t="s">
        <v>43</v>
      </c>
      <c r="C361" s="1" t="s">
        <v>18</v>
      </c>
      <c r="D361" s="1" t="s">
        <v>23</v>
      </c>
      <c r="E361" s="1">
        <v>19</v>
      </c>
      <c r="F361" s="1">
        <v>6681</v>
      </c>
      <c r="G361" s="1">
        <v>2</v>
      </c>
      <c r="H361" s="2">
        <v>46146</v>
      </c>
      <c r="I361" s="2">
        <v>46150</v>
      </c>
      <c r="J361" s="1" t="s">
        <v>15</v>
      </c>
      <c r="K361" s="1">
        <v>1360</v>
      </c>
      <c r="L361" s="1" t="str">
        <f t="shared" si="1"/>
        <v>PRIORITY</v>
      </c>
    </row>
    <row r="362" spans="1:12" x14ac:dyDescent="0.3">
      <c r="A362" s="1" t="s">
        <v>42</v>
      </c>
      <c r="B362" s="1" t="s">
        <v>17</v>
      </c>
      <c r="C362" s="1" t="s">
        <v>18</v>
      </c>
      <c r="D362" s="1" t="s">
        <v>23</v>
      </c>
      <c r="E362" s="1">
        <v>2</v>
      </c>
      <c r="F362" s="1">
        <v>1822</v>
      </c>
      <c r="G362" s="1">
        <v>5</v>
      </c>
      <c r="H362" s="2">
        <v>46141</v>
      </c>
      <c r="I362" s="2">
        <v>46145</v>
      </c>
      <c r="J362" s="1" t="s">
        <v>20</v>
      </c>
      <c r="K362" s="1">
        <v>1361</v>
      </c>
      <c r="L362" s="1" t="str">
        <f t="shared" si="1"/>
        <v>NORMAL</v>
      </c>
    </row>
    <row r="363" spans="1:12" x14ac:dyDescent="0.3">
      <c r="A363" s="1" t="s">
        <v>16</v>
      </c>
      <c r="B363" s="1" t="s">
        <v>12</v>
      </c>
      <c r="C363" s="1" t="s">
        <v>18</v>
      </c>
      <c r="D363" s="1" t="s">
        <v>28</v>
      </c>
      <c r="E363" s="1">
        <v>1</v>
      </c>
      <c r="F363" s="1">
        <v>10474</v>
      </c>
      <c r="G363" s="1">
        <v>0</v>
      </c>
      <c r="H363" s="2">
        <v>46094</v>
      </c>
      <c r="I363" s="2">
        <v>46096</v>
      </c>
      <c r="J363" s="1" t="s">
        <v>29</v>
      </c>
      <c r="K363" s="1">
        <v>1362</v>
      </c>
      <c r="L363" s="1" t="str">
        <f t="shared" si="1"/>
        <v>NORMAL</v>
      </c>
    </row>
    <row r="364" spans="1:12" x14ac:dyDescent="0.3">
      <c r="A364" s="1" t="s">
        <v>27</v>
      </c>
      <c r="B364" s="1" t="s">
        <v>25</v>
      </c>
      <c r="C364" s="1" t="s">
        <v>34</v>
      </c>
      <c r="D364" s="1" t="s">
        <v>35</v>
      </c>
      <c r="E364" s="1">
        <v>7</v>
      </c>
      <c r="F364" s="1">
        <v>45381</v>
      </c>
      <c r="G364" s="1">
        <v>0</v>
      </c>
      <c r="H364" s="2">
        <v>46122</v>
      </c>
      <c r="I364" s="2">
        <v>46128</v>
      </c>
      <c r="J364" s="1" t="s">
        <v>15</v>
      </c>
      <c r="K364" s="1">
        <v>1363</v>
      </c>
      <c r="L364" s="1" t="str">
        <f t="shared" si="1"/>
        <v>NORMAL</v>
      </c>
    </row>
    <row r="365" spans="1:12" x14ac:dyDescent="0.3">
      <c r="A365" s="1" t="s">
        <v>30</v>
      </c>
      <c r="B365" s="1" t="s">
        <v>22</v>
      </c>
      <c r="C365" s="1" t="s">
        <v>18</v>
      </c>
      <c r="D365" s="1" t="s">
        <v>56</v>
      </c>
      <c r="E365" s="1">
        <v>16</v>
      </c>
      <c r="F365" s="1">
        <v>1744</v>
      </c>
      <c r="G365" s="1">
        <v>15</v>
      </c>
      <c r="H365" s="2">
        <v>46031</v>
      </c>
      <c r="I365" s="2">
        <v>46033</v>
      </c>
      <c r="J365" s="1" t="s">
        <v>51</v>
      </c>
      <c r="K365" s="1">
        <v>1364</v>
      </c>
      <c r="L365" s="1" t="str">
        <f t="shared" si="1"/>
        <v>PRIORITY</v>
      </c>
    </row>
    <row r="366" spans="1:12" x14ac:dyDescent="0.3">
      <c r="A366" s="1" t="s">
        <v>46</v>
      </c>
      <c r="B366" s="1" t="s">
        <v>33</v>
      </c>
      <c r="C366" s="1" t="s">
        <v>13</v>
      </c>
      <c r="D366" s="1" t="s">
        <v>50</v>
      </c>
      <c r="E366" s="1">
        <v>17</v>
      </c>
      <c r="F366" s="1">
        <v>119</v>
      </c>
      <c r="G366" s="1">
        <v>7</v>
      </c>
      <c r="H366" s="2">
        <v>46070</v>
      </c>
      <c r="I366" s="2">
        <v>46072</v>
      </c>
      <c r="J366" s="1" t="s">
        <v>20</v>
      </c>
      <c r="K366" s="1">
        <v>1365</v>
      </c>
      <c r="L366" s="1" t="str">
        <f t="shared" si="1"/>
        <v>PRIORITY</v>
      </c>
    </row>
    <row r="367" spans="1:12" x14ac:dyDescent="0.3">
      <c r="A367" s="1" t="s">
        <v>26</v>
      </c>
      <c r="B367" s="1" t="s">
        <v>17</v>
      </c>
      <c r="C367" s="1" t="s">
        <v>34</v>
      </c>
      <c r="D367" s="1" t="s">
        <v>61</v>
      </c>
      <c r="E367" s="1">
        <v>20</v>
      </c>
      <c r="F367" s="1">
        <v>44312</v>
      </c>
      <c r="G367" s="1">
        <v>10</v>
      </c>
      <c r="H367" s="2">
        <v>46047</v>
      </c>
      <c r="I367" s="2">
        <v>46054</v>
      </c>
      <c r="J367" s="1" t="s">
        <v>29</v>
      </c>
      <c r="K367" s="1">
        <v>1366</v>
      </c>
      <c r="L367" s="1" t="str">
        <f t="shared" si="1"/>
        <v>PRIORITY</v>
      </c>
    </row>
    <row r="368" spans="1:12" x14ac:dyDescent="0.3">
      <c r="A368" s="1" t="s">
        <v>54</v>
      </c>
      <c r="B368" s="1" t="s">
        <v>25</v>
      </c>
      <c r="C368" s="1" t="s">
        <v>13</v>
      </c>
      <c r="D368" s="1" t="s">
        <v>53</v>
      </c>
      <c r="E368" s="1">
        <v>1</v>
      </c>
      <c r="F368" s="1">
        <v>371</v>
      </c>
      <c r="G368" s="1">
        <v>5</v>
      </c>
      <c r="H368" s="2">
        <v>46158</v>
      </c>
      <c r="I368" s="2">
        <v>46168</v>
      </c>
      <c r="J368" s="1" t="s">
        <v>29</v>
      </c>
      <c r="K368" s="1">
        <v>1367</v>
      </c>
      <c r="L368" s="1" t="str">
        <f t="shared" si="1"/>
        <v>NORMAL</v>
      </c>
    </row>
    <row r="369" spans="1:12" x14ac:dyDescent="0.3">
      <c r="A369" s="1" t="s">
        <v>55</v>
      </c>
      <c r="B369" s="1" t="s">
        <v>38</v>
      </c>
      <c r="C369" s="1" t="s">
        <v>13</v>
      </c>
      <c r="D369" s="1" t="s">
        <v>36</v>
      </c>
      <c r="E369" s="1">
        <v>9</v>
      </c>
      <c r="F369" s="1">
        <v>115</v>
      </c>
      <c r="G369" s="1">
        <v>0</v>
      </c>
      <c r="H369" s="2">
        <v>46036</v>
      </c>
      <c r="I369" s="2">
        <v>46045</v>
      </c>
      <c r="J369" s="1" t="s">
        <v>24</v>
      </c>
      <c r="K369" s="1">
        <v>1368</v>
      </c>
      <c r="L369" s="1" t="str">
        <f t="shared" si="1"/>
        <v>PRIORITY</v>
      </c>
    </row>
    <row r="370" spans="1:12" x14ac:dyDescent="0.3">
      <c r="A370" s="1" t="s">
        <v>57</v>
      </c>
      <c r="B370" s="1" t="s">
        <v>25</v>
      </c>
      <c r="C370" s="1" t="s">
        <v>18</v>
      </c>
      <c r="D370" s="1" t="s">
        <v>19</v>
      </c>
      <c r="E370" s="1">
        <v>19</v>
      </c>
      <c r="F370" s="1">
        <v>5840</v>
      </c>
      <c r="G370" s="1">
        <v>5</v>
      </c>
      <c r="H370" s="2">
        <v>46062</v>
      </c>
      <c r="I370" s="2">
        <v>46067</v>
      </c>
      <c r="J370" s="1" t="s">
        <v>15</v>
      </c>
      <c r="K370" s="1">
        <v>1369</v>
      </c>
      <c r="L370" s="1" t="str">
        <f t="shared" si="1"/>
        <v>PRIORITY</v>
      </c>
    </row>
    <row r="371" spans="1:12" x14ac:dyDescent="0.3">
      <c r="A371" s="1" t="s">
        <v>59</v>
      </c>
      <c r="B371" s="1" t="s">
        <v>38</v>
      </c>
      <c r="C371" s="1" t="s">
        <v>13</v>
      </c>
      <c r="D371" s="1" t="s">
        <v>53</v>
      </c>
      <c r="E371" s="1">
        <v>13</v>
      </c>
      <c r="F371" s="1">
        <v>337</v>
      </c>
      <c r="G371" s="1">
        <v>7</v>
      </c>
      <c r="H371" s="2">
        <v>46184</v>
      </c>
      <c r="I371" s="2">
        <v>46188</v>
      </c>
      <c r="J371" s="1" t="s">
        <v>15</v>
      </c>
      <c r="K371" s="1">
        <v>1370</v>
      </c>
      <c r="L371" s="1" t="str">
        <f t="shared" si="1"/>
        <v>PRIORITY</v>
      </c>
    </row>
    <row r="372" spans="1:12" x14ac:dyDescent="0.3">
      <c r="A372" s="1" t="s">
        <v>48</v>
      </c>
      <c r="B372" s="1" t="s">
        <v>38</v>
      </c>
      <c r="C372" s="1" t="s">
        <v>18</v>
      </c>
      <c r="D372" s="1" t="s">
        <v>19</v>
      </c>
      <c r="E372" s="1">
        <v>19</v>
      </c>
      <c r="F372" s="1">
        <v>1087</v>
      </c>
      <c r="G372" s="1">
        <v>15</v>
      </c>
      <c r="H372" s="2">
        <v>46072</v>
      </c>
      <c r="I372" s="2">
        <v>46082</v>
      </c>
      <c r="J372" s="1" t="s">
        <v>20</v>
      </c>
      <c r="K372" s="1">
        <v>1371</v>
      </c>
      <c r="L372" s="1" t="str">
        <f t="shared" si="1"/>
        <v>PRIORITY</v>
      </c>
    </row>
    <row r="373" spans="1:12" x14ac:dyDescent="0.3">
      <c r="A373" s="1" t="s">
        <v>48</v>
      </c>
      <c r="B373" s="1" t="s">
        <v>17</v>
      </c>
      <c r="C373" s="1" t="s">
        <v>34</v>
      </c>
      <c r="D373" s="1" t="s">
        <v>39</v>
      </c>
      <c r="E373" s="1">
        <v>9</v>
      </c>
      <c r="F373" s="1">
        <v>9551</v>
      </c>
      <c r="G373" s="1">
        <v>10</v>
      </c>
      <c r="H373" s="2">
        <v>46161</v>
      </c>
      <c r="I373" s="2">
        <v>46168</v>
      </c>
      <c r="J373" s="1" t="s">
        <v>15</v>
      </c>
      <c r="K373" s="1">
        <v>1372</v>
      </c>
      <c r="L373" s="1" t="str">
        <f t="shared" si="1"/>
        <v>NORMAL</v>
      </c>
    </row>
    <row r="374" spans="1:12" x14ac:dyDescent="0.3">
      <c r="A374" s="1" t="s">
        <v>54</v>
      </c>
      <c r="B374" s="1" t="s">
        <v>25</v>
      </c>
      <c r="C374" s="1" t="s">
        <v>34</v>
      </c>
      <c r="D374" s="1" t="s">
        <v>60</v>
      </c>
      <c r="E374" s="1">
        <v>11</v>
      </c>
      <c r="F374" s="1">
        <v>47930</v>
      </c>
      <c r="G374" s="1">
        <v>12</v>
      </c>
      <c r="H374" s="2">
        <v>46191</v>
      </c>
      <c r="I374" s="2">
        <v>46201</v>
      </c>
      <c r="J374" s="1" t="s">
        <v>20</v>
      </c>
      <c r="K374" s="1">
        <v>1373</v>
      </c>
      <c r="L374" s="1" t="str">
        <f t="shared" si="1"/>
        <v>NORMAL</v>
      </c>
    </row>
    <row r="375" spans="1:12" x14ac:dyDescent="0.3">
      <c r="A375" s="1" t="s">
        <v>57</v>
      </c>
      <c r="B375" s="1" t="s">
        <v>33</v>
      </c>
      <c r="C375" s="1" t="s">
        <v>34</v>
      </c>
      <c r="D375" s="1" t="s">
        <v>35</v>
      </c>
      <c r="E375" s="1">
        <v>12</v>
      </c>
      <c r="F375" s="1">
        <v>66052</v>
      </c>
      <c r="G375" s="1">
        <v>2</v>
      </c>
      <c r="H375" s="2">
        <v>46063</v>
      </c>
      <c r="I375" s="2">
        <v>46066</v>
      </c>
      <c r="J375" s="1" t="s">
        <v>51</v>
      </c>
      <c r="K375" s="1">
        <v>1374</v>
      </c>
      <c r="L375" s="1" t="str">
        <f t="shared" si="1"/>
        <v>NORMAL</v>
      </c>
    </row>
    <row r="376" spans="1:12" x14ac:dyDescent="0.3">
      <c r="A376" s="1" t="s">
        <v>46</v>
      </c>
      <c r="B376" s="1" t="s">
        <v>43</v>
      </c>
      <c r="C376" s="1" t="s">
        <v>34</v>
      </c>
      <c r="D376" s="1" t="s">
        <v>45</v>
      </c>
      <c r="E376" s="1">
        <v>20</v>
      </c>
      <c r="F376" s="1">
        <v>56766</v>
      </c>
      <c r="G376" s="1">
        <v>0</v>
      </c>
      <c r="H376" s="2">
        <v>46052</v>
      </c>
      <c r="I376" s="2">
        <v>46061</v>
      </c>
      <c r="J376" s="1" t="s">
        <v>24</v>
      </c>
      <c r="K376" s="1">
        <v>1375</v>
      </c>
      <c r="L376" s="1" t="str">
        <f t="shared" si="1"/>
        <v>PRIORITY</v>
      </c>
    </row>
    <row r="377" spans="1:12" x14ac:dyDescent="0.3">
      <c r="A377" s="1" t="s">
        <v>52</v>
      </c>
      <c r="B377" s="1" t="s">
        <v>31</v>
      </c>
      <c r="C377" s="1" t="s">
        <v>13</v>
      </c>
      <c r="D377" s="1" t="s">
        <v>50</v>
      </c>
      <c r="E377" s="1">
        <v>20</v>
      </c>
      <c r="F377" s="1">
        <v>429</v>
      </c>
      <c r="G377" s="1">
        <v>5</v>
      </c>
      <c r="H377" s="2">
        <v>46178</v>
      </c>
      <c r="I377" s="2">
        <v>46184</v>
      </c>
      <c r="J377" s="1" t="s">
        <v>20</v>
      </c>
      <c r="K377" s="1">
        <v>1376</v>
      </c>
      <c r="L377" s="1" t="str">
        <f t="shared" si="1"/>
        <v>PRIORITY</v>
      </c>
    </row>
    <row r="378" spans="1:12" x14ac:dyDescent="0.3">
      <c r="A378" s="1" t="s">
        <v>32</v>
      </c>
      <c r="B378" s="1" t="s">
        <v>38</v>
      </c>
      <c r="C378" s="1" t="s">
        <v>18</v>
      </c>
      <c r="D378" s="1" t="s">
        <v>19</v>
      </c>
      <c r="E378" s="1">
        <v>3</v>
      </c>
      <c r="F378" s="1">
        <v>5480</v>
      </c>
      <c r="G378" s="1">
        <v>12</v>
      </c>
      <c r="H378" s="2">
        <v>46105</v>
      </c>
      <c r="I378" s="2">
        <v>46111</v>
      </c>
      <c r="J378" s="1" t="s">
        <v>24</v>
      </c>
      <c r="K378" s="1">
        <v>1377</v>
      </c>
      <c r="L378" s="1" t="str">
        <f t="shared" si="1"/>
        <v>PRIORITY</v>
      </c>
    </row>
    <row r="379" spans="1:12" x14ac:dyDescent="0.3">
      <c r="A379" s="1" t="s">
        <v>55</v>
      </c>
      <c r="B379" s="1" t="s">
        <v>22</v>
      </c>
      <c r="C379" s="1" t="s">
        <v>34</v>
      </c>
      <c r="D379" s="1" t="s">
        <v>45</v>
      </c>
      <c r="E379" s="1">
        <v>15</v>
      </c>
      <c r="F379" s="1">
        <v>22693</v>
      </c>
      <c r="G379" s="1">
        <v>12</v>
      </c>
      <c r="H379" s="2">
        <v>46074</v>
      </c>
      <c r="I379" s="2">
        <v>46080</v>
      </c>
      <c r="J379" s="1" t="s">
        <v>51</v>
      </c>
      <c r="K379" s="1">
        <v>1378</v>
      </c>
      <c r="L379" s="1" t="str">
        <f t="shared" si="1"/>
        <v>PRIORITY</v>
      </c>
    </row>
    <row r="380" spans="1:12" x14ac:dyDescent="0.3">
      <c r="A380" s="1" t="s">
        <v>47</v>
      </c>
      <c r="B380" s="1" t="s">
        <v>17</v>
      </c>
      <c r="C380" s="1" t="s">
        <v>13</v>
      </c>
      <c r="D380" s="1" t="s">
        <v>14</v>
      </c>
      <c r="E380" s="1">
        <v>11</v>
      </c>
      <c r="F380" s="1">
        <v>136</v>
      </c>
      <c r="G380" s="1">
        <v>15</v>
      </c>
      <c r="H380" s="2">
        <v>46106</v>
      </c>
      <c r="I380" s="2">
        <v>46107</v>
      </c>
      <c r="J380" s="1" t="s">
        <v>20</v>
      </c>
      <c r="K380" s="1">
        <v>1379</v>
      </c>
      <c r="L380" s="1" t="str">
        <f t="shared" si="1"/>
        <v>NORMAL</v>
      </c>
    </row>
    <row r="381" spans="1:12" x14ac:dyDescent="0.3">
      <c r="A381" s="1" t="s">
        <v>52</v>
      </c>
      <c r="B381" s="1" t="s">
        <v>43</v>
      </c>
      <c r="C381" s="1" t="s">
        <v>13</v>
      </c>
      <c r="D381" s="1" t="s">
        <v>53</v>
      </c>
      <c r="E381" s="1">
        <v>3</v>
      </c>
      <c r="F381" s="1">
        <v>412</v>
      </c>
      <c r="G381" s="1">
        <v>7</v>
      </c>
      <c r="H381" s="2">
        <v>46128</v>
      </c>
      <c r="I381" s="2">
        <v>46138</v>
      </c>
      <c r="J381" s="1" t="s">
        <v>24</v>
      </c>
      <c r="K381" s="1">
        <v>1380</v>
      </c>
      <c r="L381" s="1" t="str">
        <f t="shared" si="1"/>
        <v>NORMAL</v>
      </c>
    </row>
    <row r="382" spans="1:12" x14ac:dyDescent="0.3">
      <c r="A382" s="1" t="s">
        <v>55</v>
      </c>
      <c r="B382" s="1" t="s">
        <v>33</v>
      </c>
      <c r="C382" s="1" t="s">
        <v>18</v>
      </c>
      <c r="D382" s="1" t="s">
        <v>28</v>
      </c>
      <c r="E382" s="1">
        <v>5</v>
      </c>
      <c r="F382" s="1">
        <v>7484</v>
      </c>
      <c r="G382" s="1">
        <v>2</v>
      </c>
      <c r="H382" s="2">
        <v>46089</v>
      </c>
      <c r="I382" s="2">
        <v>46093</v>
      </c>
      <c r="J382" s="1" t="s">
        <v>20</v>
      </c>
      <c r="K382" s="1">
        <v>1381</v>
      </c>
      <c r="L382" s="1" t="str">
        <f t="shared" si="1"/>
        <v>NORMAL</v>
      </c>
    </row>
    <row r="383" spans="1:12" x14ac:dyDescent="0.3">
      <c r="A383" s="1" t="s">
        <v>49</v>
      </c>
      <c r="B383" s="1" t="s">
        <v>33</v>
      </c>
      <c r="C383" s="1" t="s">
        <v>34</v>
      </c>
      <c r="D383" s="1" t="s">
        <v>60</v>
      </c>
      <c r="E383" s="1">
        <v>11</v>
      </c>
      <c r="F383" s="1">
        <v>36198</v>
      </c>
      <c r="G383" s="1">
        <v>0</v>
      </c>
      <c r="H383" s="2">
        <v>46130</v>
      </c>
      <c r="I383" s="2">
        <v>46134</v>
      </c>
      <c r="J383" s="1" t="s">
        <v>15</v>
      </c>
      <c r="K383" s="1">
        <v>1382</v>
      </c>
      <c r="L383" s="1" t="str">
        <f t="shared" si="1"/>
        <v>NORMAL</v>
      </c>
    </row>
    <row r="384" spans="1:12" x14ac:dyDescent="0.3">
      <c r="A384" s="1" t="s">
        <v>32</v>
      </c>
      <c r="B384" s="1" t="s">
        <v>12</v>
      </c>
      <c r="C384" s="1" t="s">
        <v>13</v>
      </c>
      <c r="D384" s="1" t="s">
        <v>53</v>
      </c>
      <c r="E384" s="1">
        <v>14</v>
      </c>
      <c r="F384" s="1">
        <v>334</v>
      </c>
      <c r="G384" s="1">
        <v>10</v>
      </c>
      <c r="H384" s="2">
        <v>46196</v>
      </c>
      <c r="I384" s="2">
        <v>46203</v>
      </c>
      <c r="J384" s="1" t="s">
        <v>15</v>
      </c>
      <c r="K384" s="1">
        <v>1383</v>
      </c>
      <c r="L384" s="1" t="str">
        <f t="shared" si="1"/>
        <v>NORMAL</v>
      </c>
    </row>
    <row r="385" spans="1:12" x14ac:dyDescent="0.3">
      <c r="A385" s="1" t="s">
        <v>59</v>
      </c>
      <c r="B385" s="1" t="s">
        <v>12</v>
      </c>
      <c r="C385" s="1" t="s">
        <v>34</v>
      </c>
      <c r="D385" s="1" t="s">
        <v>39</v>
      </c>
      <c r="E385" s="1">
        <v>15</v>
      </c>
      <c r="F385" s="1">
        <v>38116</v>
      </c>
      <c r="G385" s="1">
        <v>0</v>
      </c>
      <c r="H385" s="2">
        <v>46074</v>
      </c>
      <c r="I385" s="2">
        <v>46078</v>
      </c>
      <c r="J385" s="1" t="s">
        <v>29</v>
      </c>
      <c r="K385" s="1">
        <v>1384</v>
      </c>
      <c r="L385" s="1" t="str">
        <f t="shared" si="1"/>
        <v>PRIORITY</v>
      </c>
    </row>
    <row r="386" spans="1:12" x14ac:dyDescent="0.3">
      <c r="A386" s="1" t="s">
        <v>26</v>
      </c>
      <c r="B386" s="1" t="s">
        <v>33</v>
      </c>
      <c r="C386" s="1" t="s">
        <v>34</v>
      </c>
      <c r="D386" s="1" t="s">
        <v>39</v>
      </c>
      <c r="E386" s="1">
        <v>12</v>
      </c>
      <c r="F386" s="1">
        <v>61360</v>
      </c>
      <c r="G386" s="1">
        <v>10</v>
      </c>
      <c r="H386" s="2">
        <v>46048</v>
      </c>
      <c r="I386" s="2">
        <v>46053</v>
      </c>
      <c r="J386" s="1" t="s">
        <v>51</v>
      </c>
      <c r="K386" s="1">
        <v>1385</v>
      </c>
      <c r="L386" s="1" t="str">
        <f t="shared" si="1"/>
        <v>NORMAL</v>
      </c>
    </row>
    <row r="387" spans="1:12" x14ac:dyDescent="0.3">
      <c r="A387" s="1" t="s">
        <v>27</v>
      </c>
      <c r="B387" s="1" t="s">
        <v>31</v>
      </c>
      <c r="C387" s="1" t="s">
        <v>18</v>
      </c>
      <c r="D387" s="1" t="s">
        <v>28</v>
      </c>
      <c r="E387" s="1">
        <v>9</v>
      </c>
      <c r="F387" s="1">
        <v>7509</v>
      </c>
      <c r="G387" s="1">
        <v>5</v>
      </c>
      <c r="H387" s="2">
        <v>46162</v>
      </c>
      <c r="I387" s="2">
        <v>46171</v>
      </c>
      <c r="J387" s="1" t="s">
        <v>51</v>
      </c>
      <c r="K387" s="1">
        <v>1386</v>
      </c>
      <c r="L387" s="1" t="str">
        <f t="shared" si="1"/>
        <v>NORMAL</v>
      </c>
    </row>
    <row r="388" spans="1:12" x14ac:dyDescent="0.3">
      <c r="A388" s="1" t="s">
        <v>54</v>
      </c>
      <c r="B388" s="1" t="s">
        <v>33</v>
      </c>
      <c r="C388" s="1" t="s">
        <v>34</v>
      </c>
      <c r="D388" s="1" t="s">
        <v>35</v>
      </c>
      <c r="E388" s="1">
        <v>11</v>
      </c>
      <c r="F388" s="1">
        <v>56515</v>
      </c>
      <c r="G388" s="1">
        <v>5</v>
      </c>
      <c r="H388" s="2">
        <v>46102</v>
      </c>
      <c r="I388" s="2">
        <v>46112</v>
      </c>
      <c r="J388" s="1" t="s">
        <v>24</v>
      </c>
      <c r="K388" s="1">
        <v>1387</v>
      </c>
      <c r="L388" s="1" t="str">
        <f t="shared" si="1"/>
        <v>NORMAL</v>
      </c>
    </row>
    <row r="389" spans="1:12" x14ac:dyDescent="0.3">
      <c r="A389" s="1" t="s">
        <v>55</v>
      </c>
      <c r="B389" s="1" t="s">
        <v>31</v>
      </c>
      <c r="C389" s="1" t="s">
        <v>18</v>
      </c>
      <c r="D389" s="1" t="s">
        <v>28</v>
      </c>
      <c r="E389" s="1">
        <v>12</v>
      </c>
      <c r="F389" s="1">
        <v>11662</v>
      </c>
      <c r="G389" s="1">
        <v>12</v>
      </c>
      <c r="H389" s="2">
        <v>46094</v>
      </c>
      <c r="I389" s="2">
        <v>46096</v>
      </c>
      <c r="J389" s="1" t="s">
        <v>20</v>
      </c>
      <c r="K389" s="1">
        <v>1388</v>
      </c>
      <c r="L389" s="1" t="str">
        <f t="shared" si="1"/>
        <v>NORMAL</v>
      </c>
    </row>
    <row r="390" spans="1:12" x14ac:dyDescent="0.3">
      <c r="A390" s="1" t="s">
        <v>32</v>
      </c>
      <c r="B390" s="1" t="s">
        <v>12</v>
      </c>
      <c r="C390" s="1" t="s">
        <v>34</v>
      </c>
      <c r="D390" s="1" t="s">
        <v>41</v>
      </c>
      <c r="E390" s="1">
        <v>3</v>
      </c>
      <c r="F390" s="1">
        <v>56380</v>
      </c>
      <c r="G390" s="1">
        <v>5</v>
      </c>
      <c r="H390" s="2">
        <v>46044</v>
      </c>
      <c r="I390" s="2">
        <v>46048</v>
      </c>
      <c r="J390" s="1" t="s">
        <v>51</v>
      </c>
      <c r="K390" s="1">
        <v>1389</v>
      </c>
      <c r="L390" s="1" t="str">
        <f t="shared" si="1"/>
        <v>NORMAL</v>
      </c>
    </row>
    <row r="391" spans="1:12" x14ac:dyDescent="0.3">
      <c r="A391" s="1" t="s">
        <v>58</v>
      </c>
      <c r="B391" s="1" t="s">
        <v>43</v>
      </c>
      <c r="C391" s="1" t="s">
        <v>18</v>
      </c>
      <c r="D391" s="1" t="s">
        <v>19</v>
      </c>
      <c r="E391" s="1">
        <v>9</v>
      </c>
      <c r="F391" s="1">
        <v>7670</v>
      </c>
      <c r="G391" s="1">
        <v>0</v>
      </c>
      <c r="H391" s="2">
        <v>46076</v>
      </c>
      <c r="I391" s="2">
        <v>46081</v>
      </c>
      <c r="J391" s="1" t="s">
        <v>51</v>
      </c>
      <c r="K391" s="1">
        <v>1390</v>
      </c>
      <c r="L391" s="1" t="str">
        <f t="shared" si="1"/>
        <v>NORMAL</v>
      </c>
    </row>
    <row r="392" spans="1:12" x14ac:dyDescent="0.3">
      <c r="A392" s="1" t="s">
        <v>30</v>
      </c>
      <c r="B392" s="1" t="s">
        <v>31</v>
      </c>
      <c r="C392" s="1" t="s">
        <v>34</v>
      </c>
      <c r="D392" s="1" t="s">
        <v>35</v>
      </c>
      <c r="E392" s="1">
        <v>5</v>
      </c>
      <c r="F392" s="1">
        <v>65270</v>
      </c>
      <c r="G392" s="1">
        <v>5</v>
      </c>
      <c r="H392" s="2">
        <v>46100</v>
      </c>
      <c r="I392" s="2">
        <v>46103</v>
      </c>
      <c r="J392" s="1" t="s">
        <v>24</v>
      </c>
      <c r="K392" s="1">
        <v>1391</v>
      </c>
      <c r="L392" s="1" t="str">
        <f t="shared" si="1"/>
        <v>NORMAL</v>
      </c>
    </row>
    <row r="393" spans="1:12" x14ac:dyDescent="0.3">
      <c r="A393" s="1" t="s">
        <v>29</v>
      </c>
      <c r="B393" s="1" t="s">
        <v>43</v>
      </c>
      <c r="C393" s="1" t="s">
        <v>34</v>
      </c>
      <c r="D393" s="1" t="s">
        <v>35</v>
      </c>
      <c r="E393" s="1">
        <v>13</v>
      </c>
      <c r="F393" s="1">
        <v>23903</v>
      </c>
      <c r="G393" s="1">
        <v>5</v>
      </c>
      <c r="H393" s="2">
        <v>46124</v>
      </c>
      <c r="I393" s="2">
        <v>46125</v>
      </c>
      <c r="J393" s="1" t="s">
        <v>29</v>
      </c>
      <c r="K393" s="1">
        <v>1392</v>
      </c>
      <c r="L393" s="1" t="str">
        <f t="shared" si="1"/>
        <v>NORMAL</v>
      </c>
    </row>
    <row r="394" spans="1:12" x14ac:dyDescent="0.3">
      <c r="A394" s="1" t="s">
        <v>30</v>
      </c>
      <c r="B394" s="1" t="s">
        <v>25</v>
      </c>
      <c r="C394" s="1" t="s">
        <v>34</v>
      </c>
      <c r="D394" s="1" t="s">
        <v>45</v>
      </c>
      <c r="E394" s="1">
        <v>17</v>
      </c>
      <c r="F394" s="1">
        <v>30351</v>
      </c>
      <c r="G394" s="1">
        <v>15</v>
      </c>
      <c r="H394" s="2">
        <v>46047</v>
      </c>
      <c r="I394" s="2">
        <v>46051</v>
      </c>
      <c r="J394" s="1" t="s">
        <v>51</v>
      </c>
      <c r="K394" s="1">
        <v>1393</v>
      </c>
      <c r="L394" s="1" t="str">
        <f t="shared" si="1"/>
        <v>PRIORITY</v>
      </c>
    </row>
    <row r="395" spans="1:12" x14ac:dyDescent="0.3">
      <c r="A395" s="1" t="s">
        <v>54</v>
      </c>
      <c r="B395" s="1" t="s">
        <v>12</v>
      </c>
      <c r="C395" s="1" t="s">
        <v>13</v>
      </c>
      <c r="D395" s="1" t="s">
        <v>14</v>
      </c>
      <c r="E395" s="1">
        <v>10</v>
      </c>
      <c r="F395" s="1">
        <v>138</v>
      </c>
      <c r="G395" s="1">
        <v>2</v>
      </c>
      <c r="H395" s="2">
        <v>46056</v>
      </c>
      <c r="I395" s="2">
        <v>46057</v>
      </c>
      <c r="J395" s="1" t="s">
        <v>15</v>
      </c>
      <c r="K395" s="1">
        <v>1394</v>
      </c>
      <c r="L395" s="1" t="str">
        <f t="shared" si="1"/>
        <v>NORMAL</v>
      </c>
    </row>
    <row r="396" spans="1:12" x14ac:dyDescent="0.3">
      <c r="A396" s="1" t="s">
        <v>54</v>
      </c>
      <c r="B396" s="1" t="s">
        <v>33</v>
      </c>
      <c r="C396" s="1" t="s">
        <v>18</v>
      </c>
      <c r="D396" s="1" t="s">
        <v>44</v>
      </c>
      <c r="E396" s="1">
        <v>18</v>
      </c>
      <c r="F396" s="1">
        <v>10402</v>
      </c>
      <c r="G396" s="1">
        <v>15</v>
      </c>
      <c r="H396" s="2">
        <v>46062</v>
      </c>
      <c r="I396" s="2">
        <v>46067</v>
      </c>
      <c r="J396" s="1" t="s">
        <v>29</v>
      </c>
      <c r="K396" s="1">
        <v>1395</v>
      </c>
      <c r="L396" s="1" t="str">
        <f t="shared" si="1"/>
        <v>PRIORITY</v>
      </c>
    </row>
    <row r="397" spans="1:12" x14ac:dyDescent="0.3">
      <c r="A397" s="1" t="s">
        <v>21</v>
      </c>
      <c r="B397" s="1" t="s">
        <v>38</v>
      </c>
      <c r="C397" s="1" t="s">
        <v>13</v>
      </c>
      <c r="D397" s="1" t="s">
        <v>53</v>
      </c>
      <c r="E397" s="1">
        <v>8</v>
      </c>
      <c r="F397" s="1">
        <v>54</v>
      </c>
      <c r="G397" s="1">
        <v>15</v>
      </c>
      <c r="H397" s="2">
        <v>46031</v>
      </c>
      <c r="I397" s="2">
        <v>46035</v>
      </c>
      <c r="J397" s="1" t="s">
        <v>15</v>
      </c>
      <c r="K397" s="1">
        <v>1396</v>
      </c>
      <c r="L397" s="1" t="str">
        <f t="shared" si="1"/>
        <v>PRIORITY</v>
      </c>
    </row>
    <row r="398" spans="1:12" x14ac:dyDescent="0.3">
      <c r="A398" s="1" t="s">
        <v>21</v>
      </c>
      <c r="B398" s="1" t="s">
        <v>33</v>
      </c>
      <c r="C398" s="1" t="s">
        <v>18</v>
      </c>
      <c r="D398" s="1" t="s">
        <v>23</v>
      </c>
      <c r="E398" s="1">
        <v>1</v>
      </c>
      <c r="F398" s="1">
        <v>8948</v>
      </c>
      <c r="G398" s="1">
        <v>5</v>
      </c>
      <c r="H398" s="2">
        <v>46194</v>
      </c>
      <c r="I398" s="2">
        <v>46201</v>
      </c>
      <c r="J398" s="1" t="s">
        <v>51</v>
      </c>
      <c r="K398" s="1">
        <v>1397</v>
      </c>
      <c r="L398" s="1" t="str">
        <f t="shared" si="1"/>
        <v>NORMAL</v>
      </c>
    </row>
    <row r="399" spans="1:12" x14ac:dyDescent="0.3">
      <c r="A399" s="1" t="s">
        <v>58</v>
      </c>
      <c r="B399" s="1" t="s">
        <v>43</v>
      </c>
      <c r="C399" s="1" t="s">
        <v>34</v>
      </c>
      <c r="D399" s="1" t="s">
        <v>39</v>
      </c>
      <c r="E399" s="1">
        <v>12</v>
      </c>
      <c r="F399" s="1">
        <v>10668</v>
      </c>
      <c r="G399" s="1">
        <v>0</v>
      </c>
      <c r="H399" s="2">
        <v>46170</v>
      </c>
      <c r="I399" s="2">
        <v>46176</v>
      </c>
      <c r="J399" s="1" t="s">
        <v>15</v>
      </c>
      <c r="K399" s="1">
        <v>1398</v>
      </c>
      <c r="L399" s="1" t="str">
        <f t="shared" si="1"/>
        <v>NORMAL</v>
      </c>
    </row>
    <row r="400" spans="1:12" x14ac:dyDescent="0.3">
      <c r="A400" s="1" t="s">
        <v>48</v>
      </c>
      <c r="B400" s="1" t="s">
        <v>31</v>
      </c>
      <c r="C400" s="1" t="s">
        <v>13</v>
      </c>
      <c r="D400" s="1" t="s">
        <v>14</v>
      </c>
      <c r="E400" s="1">
        <v>15</v>
      </c>
      <c r="F400" s="1">
        <v>87</v>
      </c>
      <c r="G400" s="1">
        <v>15</v>
      </c>
      <c r="H400" s="2">
        <v>46089</v>
      </c>
      <c r="I400" s="2">
        <v>46093</v>
      </c>
      <c r="J400" s="1" t="s">
        <v>20</v>
      </c>
      <c r="K400" s="1">
        <v>1399</v>
      </c>
      <c r="L400" s="1" t="str">
        <f t="shared" si="1"/>
        <v>PRIORITY</v>
      </c>
    </row>
    <row r="401" spans="1:12" x14ac:dyDescent="0.3">
      <c r="A401" s="1" t="s">
        <v>40</v>
      </c>
      <c r="B401" s="1" t="s">
        <v>22</v>
      </c>
      <c r="C401" s="1" t="s">
        <v>34</v>
      </c>
      <c r="D401" s="1" t="s">
        <v>35</v>
      </c>
      <c r="E401" s="1">
        <v>13</v>
      </c>
      <c r="F401" s="1">
        <v>52411</v>
      </c>
      <c r="G401" s="1">
        <v>15</v>
      </c>
      <c r="H401" s="2">
        <v>46090</v>
      </c>
      <c r="I401" s="2">
        <v>46092</v>
      </c>
      <c r="J401" s="1" t="s">
        <v>20</v>
      </c>
      <c r="K401" s="1">
        <v>1400</v>
      </c>
      <c r="L401" s="1" t="str">
        <f t="shared" si="1"/>
        <v>NORMAL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M401"/>
  <sheetViews>
    <sheetView workbookViewId="0"/>
  </sheetViews>
  <sheetFormatPr defaultColWidth="14.44140625" defaultRowHeight="15" customHeight="1" x14ac:dyDescent="0.3"/>
  <sheetData>
    <row r="1" spans="1:13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0</v>
      </c>
      <c r="L1" s="1" t="s">
        <v>70</v>
      </c>
      <c r="M1" s="1" t="s">
        <v>71</v>
      </c>
    </row>
    <row r="2" spans="1:13" x14ac:dyDescent="0.3">
      <c r="A2" s="1" t="s">
        <v>11</v>
      </c>
      <c r="B2" s="1" t="s">
        <v>12</v>
      </c>
      <c r="C2" s="1" t="s">
        <v>13</v>
      </c>
      <c r="D2" s="1" t="s">
        <v>14</v>
      </c>
      <c r="E2" s="1">
        <v>3</v>
      </c>
      <c r="F2" s="1">
        <v>222</v>
      </c>
      <c r="G2" s="1">
        <v>15</v>
      </c>
      <c r="H2" s="2">
        <v>46081</v>
      </c>
      <c r="I2" s="2">
        <v>46083</v>
      </c>
      <c r="J2" s="1" t="s">
        <v>15</v>
      </c>
      <c r="K2" s="1">
        <v>1001</v>
      </c>
      <c r="L2" s="1">
        <f t="shared" ref="L2:L256" si="0">E2*F2*(1-G2/100)</f>
        <v>566.1</v>
      </c>
      <c r="M2" s="1" t="str">
        <f t="shared" ref="M2:M256" si="1">IF(L2&gt;=100000,"EXCELLENT",IF(L2&gt;=50000,"VERY GOOD",IF(L2&gt;=20000,"GOOD","AVERAGE")))</f>
        <v>AVERAGE</v>
      </c>
    </row>
    <row r="3" spans="1:13" x14ac:dyDescent="0.3">
      <c r="A3" s="1" t="s">
        <v>16</v>
      </c>
      <c r="B3" s="1" t="s">
        <v>17</v>
      </c>
      <c r="C3" s="1" t="s">
        <v>18</v>
      </c>
      <c r="D3" s="1" t="s">
        <v>19</v>
      </c>
      <c r="E3" s="1">
        <v>7</v>
      </c>
      <c r="F3" s="1">
        <v>8448</v>
      </c>
      <c r="G3" s="1">
        <v>12</v>
      </c>
      <c r="H3" s="2">
        <v>46174</v>
      </c>
      <c r="I3" s="2">
        <v>46179</v>
      </c>
      <c r="J3" s="1" t="s">
        <v>20</v>
      </c>
      <c r="K3" s="1">
        <v>1002</v>
      </c>
      <c r="L3" s="1">
        <f t="shared" si="0"/>
        <v>52039.68</v>
      </c>
      <c r="M3" s="1" t="str">
        <f t="shared" si="1"/>
        <v>VERY GOOD</v>
      </c>
    </row>
    <row r="4" spans="1:13" x14ac:dyDescent="0.3">
      <c r="A4" s="1" t="s">
        <v>21</v>
      </c>
      <c r="B4" s="1" t="s">
        <v>22</v>
      </c>
      <c r="C4" s="1" t="s">
        <v>18</v>
      </c>
      <c r="D4" s="1" t="s">
        <v>23</v>
      </c>
      <c r="E4" s="1">
        <v>20</v>
      </c>
      <c r="F4" s="1">
        <v>2123</v>
      </c>
      <c r="G4" s="1">
        <v>15</v>
      </c>
      <c r="H4" s="2">
        <v>46183</v>
      </c>
      <c r="I4" s="2">
        <v>46192</v>
      </c>
      <c r="J4" s="1" t="s">
        <v>24</v>
      </c>
      <c r="K4" s="1">
        <v>1003</v>
      </c>
      <c r="L4" s="1">
        <f t="shared" si="0"/>
        <v>36091</v>
      </c>
      <c r="M4" s="1" t="str">
        <f t="shared" si="1"/>
        <v>GOOD</v>
      </c>
    </row>
    <row r="5" spans="1:13" x14ac:dyDescent="0.3">
      <c r="A5" s="1" t="s">
        <v>16</v>
      </c>
      <c r="B5" s="1" t="s">
        <v>25</v>
      </c>
      <c r="C5" s="1" t="s">
        <v>18</v>
      </c>
      <c r="D5" s="1" t="s">
        <v>23</v>
      </c>
      <c r="E5" s="1">
        <v>16</v>
      </c>
      <c r="F5" s="1">
        <v>11739</v>
      </c>
      <c r="G5" s="1">
        <v>12</v>
      </c>
      <c r="H5" s="2">
        <v>46034</v>
      </c>
      <c r="I5" s="2">
        <v>46040</v>
      </c>
      <c r="J5" s="1" t="s">
        <v>20</v>
      </c>
      <c r="K5" s="1">
        <v>1004</v>
      </c>
      <c r="L5" s="1">
        <f t="shared" si="0"/>
        <v>165285.12</v>
      </c>
      <c r="M5" s="1" t="str">
        <f t="shared" si="1"/>
        <v>EXCELLENT</v>
      </c>
    </row>
    <row r="6" spans="1:13" x14ac:dyDescent="0.3">
      <c r="A6" s="1" t="s">
        <v>26</v>
      </c>
      <c r="B6" s="1" t="s">
        <v>17</v>
      </c>
      <c r="C6" s="1" t="s">
        <v>13</v>
      </c>
      <c r="D6" s="1" t="s">
        <v>14</v>
      </c>
      <c r="E6" s="1">
        <v>18</v>
      </c>
      <c r="F6" s="1">
        <v>70</v>
      </c>
      <c r="G6" s="1">
        <v>0</v>
      </c>
      <c r="H6" s="2">
        <v>46171</v>
      </c>
      <c r="I6" s="2">
        <v>46179</v>
      </c>
      <c r="J6" s="1" t="s">
        <v>24</v>
      </c>
      <c r="K6" s="1">
        <v>1005</v>
      </c>
      <c r="L6" s="1">
        <f t="shared" si="0"/>
        <v>1260</v>
      </c>
      <c r="M6" s="1" t="str">
        <f t="shared" si="1"/>
        <v>AVERAGE</v>
      </c>
    </row>
    <row r="7" spans="1:13" x14ac:dyDescent="0.3">
      <c r="A7" s="1" t="s">
        <v>27</v>
      </c>
      <c r="B7" s="1" t="s">
        <v>25</v>
      </c>
      <c r="C7" s="1" t="s">
        <v>18</v>
      </c>
      <c r="D7" s="1" t="s">
        <v>28</v>
      </c>
      <c r="E7" s="1">
        <v>3</v>
      </c>
      <c r="F7" s="1">
        <v>2714</v>
      </c>
      <c r="G7" s="1">
        <v>5</v>
      </c>
      <c r="H7" s="2">
        <v>46055</v>
      </c>
      <c r="I7" s="2">
        <v>46062</v>
      </c>
      <c r="J7" s="1" t="s">
        <v>29</v>
      </c>
      <c r="K7" s="1">
        <v>1006</v>
      </c>
      <c r="L7" s="1">
        <f t="shared" si="0"/>
        <v>7734.9</v>
      </c>
      <c r="M7" s="1" t="str">
        <f t="shared" si="1"/>
        <v>AVERAGE</v>
      </c>
    </row>
    <row r="8" spans="1:13" x14ac:dyDescent="0.3">
      <c r="A8" s="1" t="s">
        <v>21</v>
      </c>
      <c r="B8" s="1" t="s">
        <v>22</v>
      </c>
      <c r="C8" s="1" t="s">
        <v>13</v>
      </c>
      <c r="D8" s="1" t="s">
        <v>14</v>
      </c>
      <c r="E8" s="1">
        <v>19</v>
      </c>
      <c r="F8" s="1">
        <v>149</v>
      </c>
      <c r="G8" s="1">
        <v>7</v>
      </c>
      <c r="H8" s="2">
        <v>46162</v>
      </c>
      <c r="I8" s="2">
        <v>46168</v>
      </c>
      <c r="J8" s="1" t="s">
        <v>24</v>
      </c>
      <c r="K8" s="1">
        <v>1007</v>
      </c>
      <c r="L8" s="1">
        <f t="shared" si="0"/>
        <v>2632.83</v>
      </c>
      <c r="M8" s="1" t="str">
        <f t="shared" si="1"/>
        <v>AVERAGE</v>
      </c>
    </row>
    <row r="9" spans="1:13" x14ac:dyDescent="0.3">
      <c r="A9" s="1" t="s">
        <v>30</v>
      </c>
      <c r="B9" s="1" t="s">
        <v>31</v>
      </c>
      <c r="C9" s="1" t="s">
        <v>18</v>
      </c>
      <c r="D9" s="1" t="s">
        <v>28</v>
      </c>
      <c r="E9" s="1">
        <v>1</v>
      </c>
      <c r="F9" s="1">
        <v>1134</v>
      </c>
      <c r="G9" s="1">
        <v>0</v>
      </c>
      <c r="H9" s="2">
        <v>46033</v>
      </c>
      <c r="I9" s="2">
        <v>46041</v>
      </c>
      <c r="J9" s="1" t="s">
        <v>24</v>
      </c>
      <c r="K9" s="1">
        <v>1008</v>
      </c>
      <c r="L9" s="1">
        <f t="shared" si="0"/>
        <v>1134</v>
      </c>
      <c r="M9" s="1" t="str">
        <f t="shared" si="1"/>
        <v>AVERAGE</v>
      </c>
    </row>
    <row r="10" spans="1:13" x14ac:dyDescent="0.3">
      <c r="A10" s="1" t="s">
        <v>32</v>
      </c>
      <c r="B10" s="1" t="s">
        <v>33</v>
      </c>
      <c r="C10" s="1" t="s">
        <v>34</v>
      </c>
      <c r="D10" s="1" t="s">
        <v>35</v>
      </c>
      <c r="E10" s="1">
        <v>10</v>
      </c>
      <c r="F10" s="1">
        <v>40671</v>
      </c>
      <c r="G10" s="1">
        <v>12</v>
      </c>
      <c r="H10" s="2">
        <v>46183</v>
      </c>
      <c r="I10" s="2">
        <v>46193</v>
      </c>
      <c r="J10" s="1" t="s">
        <v>24</v>
      </c>
      <c r="K10" s="1">
        <v>1009</v>
      </c>
      <c r="L10" s="1">
        <f t="shared" si="0"/>
        <v>357904.8</v>
      </c>
      <c r="M10" s="1" t="str">
        <f t="shared" si="1"/>
        <v>EXCELLENT</v>
      </c>
    </row>
    <row r="11" spans="1:13" x14ac:dyDescent="0.3">
      <c r="A11" s="1" t="s">
        <v>11</v>
      </c>
      <c r="B11" s="1" t="s">
        <v>17</v>
      </c>
      <c r="C11" s="1" t="s">
        <v>13</v>
      </c>
      <c r="D11" s="1" t="s">
        <v>36</v>
      </c>
      <c r="E11" s="1">
        <v>14</v>
      </c>
      <c r="F11" s="1">
        <v>470</v>
      </c>
      <c r="G11" s="1">
        <v>5</v>
      </c>
      <c r="H11" s="2">
        <v>46062</v>
      </c>
      <c r="I11" s="2">
        <v>46068</v>
      </c>
      <c r="J11" s="1" t="s">
        <v>15</v>
      </c>
      <c r="K11" s="1">
        <v>1010</v>
      </c>
      <c r="L11" s="1">
        <f t="shared" si="0"/>
        <v>6251</v>
      </c>
      <c r="M11" s="1" t="str">
        <f t="shared" si="1"/>
        <v>AVERAGE</v>
      </c>
    </row>
    <row r="12" spans="1:13" x14ac:dyDescent="0.3">
      <c r="A12" s="1" t="s">
        <v>11</v>
      </c>
      <c r="B12" s="1" t="s">
        <v>17</v>
      </c>
      <c r="C12" s="1" t="s">
        <v>13</v>
      </c>
      <c r="D12" s="1" t="s">
        <v>37</v>
      </c>
      <c r="E12" s="1">
        <v>14</v>
      </c>
      <c r="F12" s="1">
        <v>88</v>
      </c>
      <c r="G12" s="1">
        <v>12</v>
      </c>
      <c r="H12" s="2">
        <v>46161</v>
      </c>
      <c r="I12" s="2">
        <v>46163</v>
      </c>
      <c r="J12" s="1" t="s">
        <v>15</v>
      </c>
      <c r="K12" s="1">
        <v>1011</v>
      </c>
      <c r="L12" s="1">
        <f t="shared" si="0"/>
        <v>1084.1600000000001</v>
      </c>
      <c r="M12" s="1" t="str">
        <f t="shared" si="1"/>
        <v>AVERAGE</v>
      </c>
    </row>
    <row r="13" spans="1:13" x14ac:dyDescent="0.3">
      <c r="A13" s="1" t="s">
        <v>26</v>
      </c>
      <c r="B13" s="1" t="s">
        <v>38</v>
      </c>
      <c r="C13" s="1" t="s">
        <v>34</v>
      </c>
      <c r="D13" s="1" t="s">
        <v>39</v>
      </c>
      <c r="E13" s="1">
        <v>3</v>
      </c>
      <c r="F13" s="1">
        <v>64615</v>
      </c>
      <c r="G13" s="1">
        <v>10</v>
      </c>
      <c r="H13" s="2">
        <v>46086</v>
      </c>
      <c r="I13" s="2">
        <v>46095</v>
      </c>
      <c r="J13" s="1" t="s">
        <v>29</v>
      </c>
      <c r="K13" s="1">
        <v>1012</v>
      </c>
      <c r="L13" s="1">
        <f t="shared" si="0"/>
        <v>174460.5</v>
      </c>
      <c r="M13" s="1" t="str">
        <f t="shared" si="1"/>
        <v>EXCELLENT</v>
      </c>
    </row>
    <row r="14" spans="1:13" x14ac:dyDescent="0.3">
      <c r="A14" s="1" t="s">
        <v>16</v>
      </c>
      <c r="B14" s="1" t="s">
        <v>31</v>
      </c>
      <c r="C14" s="1" t="s">
        <v>13</v>
      </c>
      <c r="D14" s="1" t="s">
        <v>36</v>
      </c>
      <c r="E14" s="1">
        <v>17</v>
      </c>
      <c r="F14" s="1">
        <v>459</v>
      </c>
      <c r="G14" s="1">
        <v>12</v>
      </c>
      <c r="H14" s="2">
        <v>46095</v>
      </c>
      <c r="I14" s="2">
        <v>46105</v>
      </c>
      <c r="J14" s="1" t="s">
        <v>29</v>
      </c>
      <c r="K14" s="1">
        <v>1013</v>
      </c>
      <c r="L14" s="1">
        <f t="shared" si="0"/>
        <v>6866.64</v>
      </c>
      <c r="M14" s="1" t="str">
        <f t="shared" si="1"/>
        <v>AVERAGE</v>
      </c>
    </row>
    <row r="15" spans="1:13" x14ac:dyDescent="0.3">
      <c r="A15" s="1" t="s">
        <v>40</v>
      </c>
      <c r="B15" s="1" t="s">
        <v>17</v>
      </c>
      <c r="C15" s="1" t="s">
        <v>34</v>
      </c>
      <c r="D15" s="1" t="s">
        <v>41</v>
      </c>
      <c r="E15" s="1">
        <v>19</v>
      </c>
      <c r="F15" s="1">
        <v>53683</v>
      </c>
      <c r="G15" s="1">
        <v>12</v>
      </c>
      <c r="H15" s="2">
        <v>46129</v>
      </c>
      <c r="I15" s="2">
        <v>46134</v>
      </c>
      <c r="J15" s="1" t="s">
        <v>29</v>
      </c>
      <c r="K15" s="1">
        <v>1014</v>
      </c>
      <c r="L15" s="1">
        <f t="shared" si="0"/>
        <v>897579.76</v>
      </c>
      <c r="M15" s="1" t="str">
        <f t="shared" si="1"/>
        <v>EXCELLENT</v>
      </c>
    </row>
    <row r="16" spans="1:13" x14ac:dyDescent="0.3">
      <c r="A16" s="1" t="s">
        <v>42</v>
      </c>
      <c r="B16" s="1" t="s">
        <v>43</v>
      </c>
      <c r="C16" s="1" t="s">
        <v>18</v>
      </c>
      <c r="D16" s="1" t="s">
        <v>44</v>
      </c>
      <c r="E16" s="1">
        <v>11</v>
      </c>
      <c r="F16" s="1">
        <v>14511</v>
      </c>
      <c r="G16" s="1">
        <v>2</v>
      </c>
      <c r="H16" s="2">
        <v>46175</v>
      </c>
      <c r="I16" s="2">
        <v>46185</v>
      </c>
      <c r="J16" s="1" t="s">
        <v>20</v>
      </c>
      <c r="K16" s="1">
        <v>1015</v>
      </c>
      <c r="L16" s="1">
        <f t="shared" si="0"/>
        <v>156428.57999999999</v>
      </c>
      <c r="M16" s="1" t="str">
        <f t="shared" si="1"/>
        <v>EXCELLENT</v>
      </c>
    </row>
    <row r="17" spans="1:13" x14ac:dyDescent="0.3">
      <c r="A17" s="1" t="s">
        <v>32</v>
      </c>
      <c r="B17" s="1" t="s">
        <v>33</v>
      </c>
      <c r="C17" s="1" t="s">
        <v>34</v>
      </c>
      <c r="D17" s="1" t="s">
        <v>45</v>
      </c>
      <c r="E17" s="1">
        <v>16</v>
      </c>
      <c r="F17" s="1">
        <v>30234</v>
      </c>
      <c r="G17" s="1">
        <v>15</v>
      </c>
      <c r="H17" s="2">
        <v>46137</v>
      </c>
      <c r="I17" s="2">
        <v>46140</v>
      </c>
      <c r="J17" s="1" t="s">
        <v>24</v>
      </c>
      <c r="K17" s="1">
        <v>1016</v>
      </c>
      <c r="L17" s="1">
        <f t="shared" si="0"/>
        <v>411182.39999999997</v>
      </c>
      <c r="M17" s="1" t="str">
        <f t="shared" si="1"/>
        <v>EXCELLENT</v>
      </c>
    </row>
    <row r="18" spans="1:13" x14ac:dyDescent="0.3">
      <c r="A18" s="1" t="s">
        <v>46</v>
      </c>
      <c r="B18" s="1" t="s">
        <v>38</v>
      </c>
      <c r="C18" s="1" t="s">
        <v>13</v>
      </c>
      <c r="D18" s="1" t="s">
        <v>36</v>
      </c>
      <c r="E18" s="1">
        <v>8</v>
      </c>
      <c r="F18" s="1">
        <v>179</v>
      </c>
      <c r="G18" s="1">
        <v>15</v>
      </c>
      <c r="H18" s="2">
        <v>46082</v>
      </c>
      <c r="I18" s="2">
        <v>46084</v>
      </c>
      <c r="J18" s="1" t="s">
        <v>15</v>
      </c>
      <c r="K18" s="1">
        <v>1017</v>
      </c>
      <c r="L18" s="1">
        <f t="shared" si="0"/>
        <v>1217.2</v>
      </c>
      <c r="M18" s="1" t="str">
        <f t="shared" si="1"/>
        <v>AVERAGE</v>
      </c>
    </row>
    <row r="19" spans="1:13" x14ac:dyDescent="0.3">
      <c r="A19" s="1" t="s">
        <v>47</v>
      </c>
      <c r="B19" s="1" t="s">
        <v>25</v>
      </c>
      <c r="C19" s="1" t="s">
        <v>13</v>
      </c>
      <c r="D19" s="1" t="s">
        <v>14</v>
      </c>
      <c r="E19" s="1">
        <v>20</v>
      </c>
      <c r="F19" s="1">
        <v>301</v>
      </c>
      <c r="G19" s="1">
        <v>0</v>
      </c>
      <c r="H19" s="2">
        <v>46089</v>
      </c>
      <c r="I19" s="2">
        <v>46094</v>
      </c>
      <c r="J19" s="1" t="s">
        <v>29</v>
      </c>
      <c r="K19" s="1">
        <v>1018</v>
      </c>
      <c r="L19" s="1">
        <f t="shared" si="0"/>
        <v>6020</v>
      </c>
      <c r="M19" s="1" t="str">
        <f t="shared" si="1"/>
        <v>AVERAGE</v>
      </c>
    </row>
    <row r="20" spans="1:13" x14ac:dyDescent="0.3">
      <c r="A20" s="1" t="s">
        <v>11</v>
      </c>
      <c r="B20" s="1" t="s">
        <v>43</v>
      </c>
      <c r="C20" s="1" t="s">
        <v>34</v>
      </c>
      <c r="D20" s="1" t="s">
        <v>41</v>
      </c>
      <c r="E20" s="1">
        <v>18</v>
      </c>
      <c r="F20" s="1">
        <v>45652</v>
      </c>
      <c r="G20" s="1">
        <v>10</v>
      </c>
      <c r="H20" s="2">
        <v>46023</v>
      </c>
      <c r="I20" s="2">
        <v>46030</v>
      </c>
      <c r="J20" s="1" t="s">
        <v>20</v>
      </c>
      <c r="K20" s="1">
        <v>1019</v>
      </c>
      <c r="L20" s="1">
        <f t="shared" si="0"/>
        <v>739562.4</v>
      </c>
      <c r="M20" s="1" t="str">
        <f t="shared" si="1"/>
        <v>EXCELLENT</v>
      </c>
    </row>
    <row r="21" spans="1:13" x14ac:dyDescent="0.3">
      <c r="A21" s="1" t="s">
        <v>46</v>
      </c>
      <c r="B21" s="1" t="s">
        <v>12</v>
      </c>
      <c r="C21" s="1" t="s">
        <v>18</v>
      </c>
      <c r="D21" s="1" t="s">
        <v>19</v>
      </c>
      <c r="E21" s="1">
        <v>5</v>
      </c>
      <c r="F21" s="1">
        <v>4582</v>
      </c>
      <c r="G21" s="1">
        <v>5</v>
      </c>
      <c r="H21" s="2">
        <v>46078</v>
      </c>
      <c r="I21" s="2">
        <v>46083</v>
      </c>
      <c r="J21" s="1" t="s">
        <v>15</v>
      </c>
      <c r="K21" s="1">
        <v>1020</v>
      </c>
      <c r="L21" s="1">
        <f t="shared" si="0"/>
        <v>21764.5</v>
      </c>
      <c r="M21" s="1" t="str">
        <f t="shared" si="1"/>
        <v>GOOD</v>
      </c>
    </row>
    <row r="22" spans="1:13" x14ac:dyDescent="0.3">
      <c r="A22" s="1" t="s">
        <v>48</v>
      </c>
      <c r="B22" s="1" t="s">
        <v>43</v>
      </c>
      <c r="C22" s="1" t="s">
        <v>13</v>
      </c>
      <c r="D22" s="1" t="s">
        <v>14</v>
      </c>
      <c r="E22" s="1">
        <v>3</v>
      </c>
      <c r="F22" s="1">
        <v>484</v>
      </c>
      <c r="G22" s="1">
        <v>2</v>
      </c>
      <c r="H22" s="2">
        <v>46144</v>
      </c>
      <c r="I22" s="2">
        <v>46148</v>
      </c>
      <c r="J22" s="1" t="s">
        <v>24</v>
      </c>
      <c r="K22" s="1">
        <v>1021</v>
      </c>
      <c r="L22" s="1">
        <f t="shared" si="0"/>
        <v>1422.96</v>
      </c>
      <c r="M22" s="1" t="str">
        <f t="shared" si="1"/>
        <v>AVERAGE</v>
      </c>
    </row>
    <row r="23" spans="1:13" x14ac:dyDescent="0.3">
      <c r="A23" s="1" t="s">
        <v>26</v>
      </c>
      <c r="B23" s="1" t="s">
        <v>17</v>
      </c>
      <c r="C23" s="1" t="s">
        <v>34</v>
      </c>
      <c r="D23" s="1" t="s">
        <v>45</v>
      </c>
      <c r="E23" s="1">
        <v>15</v>
      </c>
      <c r="F23" s="1">
        <v>11596</v>
      </c>
      <c r="G23" s="1">
        <v>0</v>
      </c>
      <c r="H23" s="2">
        <v>46117</v>
      </c>
      <c r="I23" s="2">
        <v>46121</v>
      </c>
      <c r="J23" s="1" t="s">
        <v>29</v>
      </c>
      <c r="K23" s="1">
        <v>1022</v>
      </c>
      <c r="L23" s="1">
        <f t="shared" si="0"/>
        <v>173940</v>
      </c>
      <c r="M23" s="1" t="str">
        <f t="shared" si="1"/>
        <v>EXCELLENT</v>
      </c>
    </row>
    <row r="24" spans="1:13" x14ac:dyDescent="0.3">
      <c r="A24" s="1" t="s">
        <v>40</v>
      </c>
      <c r="B24" s="1" t="s">
        <v>12</v>
      </c>
      <c r="C24" s="1" t="s">
        <v>18</v>
      </c>
      <c r="D24" s="1" t="s">
        <v>44</v>
      </c>
      <c r="E24" s="1">
        <v>15</v>
      </c>
      <c r="F24" s="1">
        <v>3506</v>
      </c>
      <c r="G24" s="1">
        <v>2</v>
      </c>
      <c r="H24" s="2">
        <v>46193</v>
      </c>
      <c r="I24" s="2">
        <v>46194</v>
      </c>
      <c r="J24" s="1" t="s">
        <v>29</v>
      </c>
      <c r="K24" s="1">
        <v>1023</v>
      </c>
      <c r="L24" s="1">
        <f t="shared" si="0"/>
        <v>51538.2</v>
      </c>
      <c r="M24" s="1" t="str">
        <f t="shared" si="1"/>
        <v>VERY GOOD</v>
      </c>
    </row>
    <row r="25" spans="1:13" x14ac:dyDescent="0.3">
      <c r="A25" s="1" t="s">
        <v>32</v>
      </c>
      <c r="B25" s="1" t="s">
        <v>38</v>
      </c>
      <c r="C25" s="1" t="s">
        <v>34</v>
      </c>
      <c r="D25" s="1" t="s">
        <v>41</v>
      </c>
      <c r="E25" s="1">
        <v>12</v>
      </c>
      <c r="F25" s="1">
        <v>1682</v>
      </c>
      <c r="G25" s="1">
        <v>5</v>
      </c>
      <c r="H25" s="2">
        <v>46161</v>
      </c>
      <c r="I25" s="2">
        <v>46165</v>
      </c>
      <c r="J25" s="1" t="s">
        <v>15</v>
      </c>
      <c r="K25" s="1">
        <v>1024</v>
      </c>
      <c r="L25" s="1">
        <f t="shared" si="0"/>
        <v>19174.8</v>
      </c>
      <c r="M25" s="1" t="str">
        <f t="shared" si="1"/>
        <v>AVERAGE</v>
      </c>
    </row>
    <row r="26" spans="1:13" x14ac:dyDescent="0.3">
      <c r="A26" s="1" t="s">
        <v>21</v>
      </c>
      <c r="B26" s="1" t="s">
        <v>12</v>
      </c>
      <c r="C26" s="1" t="s">
        <v>18</v>
      </c>
      <c r="D26" s="1" t="s">
        <v>19</v>
      </c>
      <c r="E26" s="1">
        <v>18</v>
      </c>
      <c r="F26" s="1">
        <v>7924</v>
      </c>
      <c r="G26" s="1">
        <v>0</v>
      </c>
      <c r="H26" s="2">
        <v>46175</v>
      </c>
      <c r="I26" s="2">
        <v>46181</v>
      </c>
      <c r="J26" s="1" t="s">
        <v>15</v>
      </c>
      <c r="K26" s="1">
        <v>1025</v>
      </c>
      <c r="L26" s="1">
        <f t="shared" si="0"/>
        <v>142632</v>
      </c>
      <c r="M26" s="1" t="str">
        <f t="shared" si="1"/>
        <v>EXCELLENT</v>
      </c>
    </row>
    <row r="27" spans="1:13" x14ac:dyDescent="0.3">
      <c r="A27" s="1" t="s">
        <v>49</v>
      </c>
      <c r="B27" s="1" t="s">
        <v>31</v>
      </c>
      <c r="C27" s="1" t="s">
        <v>13</v>
      </c>
      <c r="D27" s="1" t="s">
        <v>50</v>
      </c>
      <c r="E27" s="1">
        <v>17</v>
      </c>
      <c r="F27" s="1">
        <v>323</v>
      </c>
      <c r="G27" s="1">
        <v>10</v>
      </c>
      <c r="H27" s="2">
        <v>46039</v>
      </c>
      <c r="I27" s="2">
        <v>46040</v>
      </c>
      <c r="J27" s="1" t="s">
        <v>29</v>
      </c>
      <c r="K27" s="1">
        <v>1026</v>
      </c>
      <c r="L27" s="1">
        <f t="shared" si="0"/>
        <v>4941.9000000000005</v>
      </c>
      <c r="M27" s="1" t="str">
        <f t="shared" si="1"/>
        <v>AVERAGE</v>
      </c>
    </row>
    <row r="28" spans="1:13" x14ac:dyDescent="0.3">
      <c r="A28" s="1" t="s">
        <v>29</v>
      </c>
      <c r="B28" s="1" t="s">
        <v>43</v>
      </c>
      <c r="C28" s="1" t="s">
        <v>13</v>
      </c>
      <c r="D28" s="1" t="s">
        <v>50</v>
      </c>
      <c r="E28" s="1">
        <v>4</v>
      </c>
      <c r="F28" s="1">
        <v>264</v>
      </c>
      <c r="G28" s="1">
        <v>0</v>
      </c>
      <c r="H28" s="2">
        <v>46155</v>
      </c>
      <c r="I28" s="2">
        <v>46161</v>
      </c>
      <c r="J28" s="1" t="s">
        <v>51</v>
      </c>
      <c r="K28" s="1">
        <v>1027</v>
      </c>
      <c r="L28" s="1">
        <f t="shared" si="0"/>
        <v>1056</v>
      </c>
      <c r="M28" s="1" t="str">
        <f t="shared" si="1"/>
        <v>AVERAGE</v>
      </c>
    </row>
    <row r="29" spans="1:13" x14ac:dyDescent="0.3">
      <c r="A29" s="1" t="s">
        <v>47</v>
      </c>
      <c r="B29" s="1" t="s">
        <v>22</v>
      </c>
      <c r="C29" s="1" t="s">
        <v>13</v>
      </c>
      <c r="D29" s="1" t="s">
        <v>36</v>
      </c>
      <c r="E29" s="1">
        <v>13</v>
      </c>
      <c r="F29" s="1">
        <v>433</v>
      </c>
      <c r="G29" s="1">
        <v>2</v>
      </c>
      <c r="H29" s="2">
        <v>46116</v>
      </c>
      <c r="I29" s="2">
        <v>46121</v>
      </c>
      <c r="J29" s="1" t="s">
        <v>24</v>
      </c>
      <c r="K29" s="1">
        <v>1028</v>
      </c>
      <c r="L29" s="1">
        <f t="shared" si="0"/>
        <v>5516.42</v>
      </c>
      <c r="M29" s="1" t="str">
        <f t="shared" si="1"/>
        <v>AVERAGE</v>
      </c>
    </row>
    <row r="30" spans="1:13" x14ac:dyDescent="0.3">
      <c r="A30" s="1" t="s">
        <v>30</v>
      </c>
      <c r="B30" s="1" t="s">
        <v>25</v>
      </c>
      <c r="C30" s="1" t="s">
        <v>13</v>
      </c>
      <c r="D30" s="1" t="s">
        <v>36</v>
      </c>
      <c r="E30" s="1">
        <v>18</v>
      </c>
      <c r="F30" s="1">
        <v>443</v>
      </c>
      <c r="G30" s="1">
        <v>5</v>
      </c>
      <c r="H30" s="2">
        <v>46046</v>
      </c>
      <c r="I30" s="2">
        <v>46054</v>
      </c>
      <c r="J30" s="1" t="s">
        <v>24</v>
      </c>
      <c r="K30" s="1">
        <v>1029</v>
      </c>
      <c r="L30" s="1">
        <f t="shared" si="0"/>
        <v>7575.2999999999993</v>
      </c>
      <c r="M30" s="1" t="str">
        <f t="shared" si="1"/>
        <v>AVERAGE</v>
      </c>
    </row>
    <row r="31" spans="1:13" x14ac:dyDescent="0.3">
      <c r="A31" s="1" t="s">
        <v>52</v>
      </c>
      <c r="B31" s="1" t="s">
        <v>12</v>
      </c>
      <c r="C31" s="1" t="s">
        <v>13</v>
      </c>
      <c r="D31" s="1" t="s">
        <v>53</v>
      </c>
      <c r="E31" s="1">
        <v>13</v>
      </c>
      <c r="F31" s="1">
        <v>336</v>
      </c>
      <c r="G31" s="1">
        <v>10</v>
      </c>
      <c r="H31" s="2">
        <v>46098</v>
      </c>
      <c r="I31" s="2">
        <v>46108</v>
      </c>
      <c r="J31" s="1" t="s">
        <v>15</v>
      </c>
      <c r="K31" s="1">
        <v>1030</v>
      </c>
      <c r="L31" s="1">
        <f t="shared" si="0"/>
        <v>3931.2000000000003</v>
      </c>
      <c r="M31" s="1" t="str">
        <f t="shared" si="1"/>
        <v>AVERAGE</v>
      </c>
    </row>
    <row r="32" spans="1:13" x14ac:dyDescent="0.3">
      <c r="A32" s="1" t="s">
        <v>54</v>
      </c>
      <c r="B32" s="1" t="s">
        <v>31</v>
      </c>
      <c r="C32" s="1" t="s">
        <v>13</v>
      </c>
      <c r="D32" s="1" t="s">
        <v>53</v>
      </c>
      <c r="E32" s="1">
        <v>2</v>
      </c>
      <c r="F32" s="1">
        <v>184</v>
      </c>
      <c r="G32" s="1">
        <v>5</v>
      </c>
      <c r="H32" s="2">
        <v>46089</v>
      </c>
      <c r="I32" s="2">
        <v>46093</v>
      </c>
      <c r="J32" s="1" t="s">
        <v>20</v>
      </c>
      <c r="K32" s="1">
        <v>1031</v>
      </c>
      <c r="L32" s="1">
        <f t="shared" si="0"/>
        <v>349.59999999999997</v>
      </c>
      <c r="M32" s="1" t="str">
        <f t="shared" si="1"/>
        <v>AVERAGE</v>
      </c>
    </row>
    <row r="33" spans="1:13" x14ac:dyDescent="0.3">
      <c r="A33" s="1" t="s">
        <v>54</v>
      </c>
      <c r="B33" s="1" t="s">
        <v>43</v>
      </c>
      <c r="C33" s="1" t="s">
        <v>34</v>
      </c>
      <c r="D33" s="1" t="s">
        <v>39</v>
      </c>
      <c r="E33" s="1">
        <v>20</v>
      </c>
      <c r="F33" s="1">
        <v>11305</v>
      </c>
      <c r="G33" s="1">
        <v>2</v>
      </c>
      <c r="H33" s="2">
        <v>46163</v>
      </c>
      <c r="I33" s="2">
        <v>46165</v>
      </c>
      <c r="J33" s="1" t="s">
        <v>29</v>
      </c>
      <c r="K33" s="1">
        <v>1032</v>
      </c>
      <c r="L33" s="1">
        <f t="shared" si="0"/>
        <v>221578</v>
      </c>
      <c r="M33" s="1" t="str">
        <f t="shared" si="1"/>
        <v>EXCELLENT</v>
      </c>
    </row>
    <row r="34" spans="1:13" x14ac:dyDescent="0.3">
      <c r="A34" s="1" t="s">
        <v>11</v>
      </c>
      <c r="B34" s="1" t="s">
        <v>43</v>
      </c>
      <c r="C34" s="1" t="s">
        <v>18</v>
      </c>
      <c r="D34" s="1" t="s">
        <v>19</v>
      </c>
      <c r="E34" s="1">
        <v>9</v>
      </c>
      <c r="F34" s="1">
        <v>4895</v>
      </c>
      <c r="G34" s="1">
        <v>2</v>
      </c>
      <c r="H34" s="2">
        <v>46082</v>
      </c>
      <c r="I34" s="2">
        <v>46084</v>
      </c>
      <c r="J34" s="1" t="s">
        <v>29</v>
      </c>
      <c r="K34" s="1">
        <v>1033</v>
      </c>
      <c r="L34" s="1">
        <f t="shared" si="0"/>
        <v>43173.9</v>
      </c>
      <c r="M34" s="1" t="str">
        <f t="shared" si="1"/>
        <v>GOOD</v>
      </c>
    </row>
    <row r="35" spans="1:13" x14ac:dyDescent="0.3">
      <c r="A35" s="1" t="s">
        <v>55</v>
      </c>
      <c r="B35" s="1" t="s">
        <v>33</v>
      </c>
      <c r="C35" s="1" t="s">
        <v>18</v>
      </c>
      <c r="D35" s="1" t="s">
        <v>28</v>
      </c>
      <c r="E35" s="1">
        <v>17</v>
      </c>
      <c r="F35" s="1">
        <v>5104</v>
      </c>
      <c r="G35" s="1">
        <v>12</v>
      </c>
      <c r="H35" s="2">
        <v>46052</v>
      </c>
      <c r="I35" s="2">
        <v>46061</v>
      </c>
      <c r="J35" s="1" t="s">
        <v>51</v>
      </c>
      <c r="K35" s="1">
        <v>1034</v>
      </c>
      <c r="L35" s="1">
        <f t="shared" si="0"/>
        <v>76355.839999999997</v>
      </c>
      <c r="M35" s="1" t="str">
        <f t="shared" si="1"/>
        <v>VERY GOOD</v>
      </c>
    </row>
    <row r="36" spans="1:13" x14ac:dyDescent="0.3">
      <c r="A36" s="1" t="s">
        <v>49</v>
      </c>
      <c r="B36" s="1" t="s">
        <v>43</v>
      </c>
      <c r="C36" s="1" t="s">
        <v>18</v>
      </c>
      <c r="D36" s="1" t="s">
        <v>56</v>
      </c>
      <c r="E36" s="1">
        <v>3</v>
      </c>
      <c r="F36" s="1">
        <v>9149</v>
      </c>
      <c r="G36" s="1">
        <v>0</v>
      </c>
      <c r="H36" s="2">
        <v>46031</v>
      </c>
      <c r="I36" s="2">
        <v>46034</v>
      </c>
      <c r="J36" s="1" t="s">
        <v>24</v>
      </c>
      <c r="K36" s="1">
        <v>1035</v>
      </c>
      <c r="L36" s="1">
        <f t="shared" si="0"/>
        <v>27447</v>
      </c>
      <c r="M36" s="1" t="str">
        <f t="shared" si="1"/>
        <v>GOOD</v>
      </c>
    </row>
    <row r="37" spans="1:13" x14ac:dyDescent="0.3">
      <c r="A37" s="1" t="s">
        <v>11</v>
      </c>
      <c r="B37" s="1" t="s">
        <v>25</v>
      </c>
      <c r="C37" s="1" t="s">
        <v>13</v>
      </c>
      <c r="D37" s="1" t="s">
        <v>36</v>
      </c>
      <c r="E37" s="1">
        <v>20</v>
      </c>
      <c r="F37" s="1">
        <v>161</v>
      </c>
      <c r="G37" s="1">
        <v>7</v>
      </c>
      <c r="H37" s="2">
        <v>46071</v>
      </c>
      <c r="I37" s="2">
        <v>46077</v>
      </c>
      <c r="J37" s="1" t="s">
        <v>24</v>
      </c>
      <c r="K37" s="1">
        <v>1036</v>
      </c>
      <c r="L37" s="1">
        <f t="shared" si="0"/>
        <v>2994.6</v>
      </c>
      <c r="M37" s="1" t="str">
        <f t="shared" si="1"/>
        <v>AVERAGE</v>
      </c>
    </row>
    <row r="38" spans="1:13" x14ac:dyDescent="0.3">
      <c r="A38" s="1" t="s">
        <v>46</v>
      </c>
      <c r="B38" s="1" t="s">
        <v>43</v>
      </c>
      <c r="C38" s="1" t="s">
        <v>18</v>
      </c>
      <c r="D38" s="1" t="s">
        <v>56</v>
      </c>
      <c r="E38" s="1">
        <v>6</v>
      </c>
      <c r="F38" s="1">
        <v>14385</v>
      </c>
      <c r="G38" s="1">
        <v>12</v>
      </c>
      <c r="H38" s="2">
        <v>46033</v>
      </c>
      <c r="I38" s="2">
        <v>46043</v>
      </c>
      <c r="J38" s="1" t="s">
        <v>24</v>
      </c>
      <c r="K38" s="1">
        <v>1037</v>
      </c>
      <c r="L38" s="1">
        <f t="shared" si="0"/>
        <v>75952.800000000003</v>
      </c>
      <c r="M38" s="1" t="str">
        <f t="shared" si="1"/>
        <v>VERY GOOD</v>
      </c>
    </row>
    <row r="39" spans="1:13" x14ac:dyDescent="0.3">
      <c r="A39" s="1" t="s">
        <v>55</v>
      </c>
      <c r="B39" s="1" t="s">
        <v>17</v>
      </c>
      <c r="C39" s="1" t="s">
        <v>13</v>
      </c>
      <c r="D39" s="1" t="s">
        <v>36</v>
      </c>
      <c r="E39" s="1">
        <v>17</v>
      </c>
      <c r="F39" s="1">
        <v>223</v>
      </c>
      <c r="G39" s="1">
        <v>7</v>
      </c>
      <c r="H39" s="2">
        <v>46030</v>
      </c>
      <c r="I39" s="2">
        <v>46031</v>
      </c>
      <c r="J39" s="1" t="s">
        <v>51</v>
      </c>
      <c r="K39" s="1">
        <v>1038</v>
      </c>
      <c r="L39" s="1">
        <f t="shared" si="0"/>
        <v>3525.6299999999997</v>
      </c>
      <c r="M39" s="1" t="str">
        <f t="shared" si="1"/>
        <v>AVERAGE</v>
      </c>
    </row>
    <row r="40" spans="1:13" x14ac:dyDescent="0.3">
      <c r="A40" s="1" t="s">
        <v>48</v>
      </c>
      <c r="B40" s="1" t="s">
        <v>38</v>
      </c>
      <c r="C40" s="1" t="s">
        <v>34</v>
      </c>
      <c r="D40" s="1" t="s">
        <v>45</v>
      </c>
      <c r="E40" s="1">
        <v>5</v>
      </c>
      <c r="F40" s="1">
        <v>60236</v>
      </c>
      <c r="G40" s="1">
        <v>10</v>
      </c>
      <c r="H40" s="2">
        <v>46107</v>
      </c>
      <c r="I40" s="2">
        <v>46110</v>
      </c>
      <c r="J40" s="1" t="s">
        <v>20</v>
      </c>
      <c r="K40" s="1">
        <v>1039</v>
      </c>
      <c r="L40" s="1">
        <f t="shared" si="0"/>
        <v>271062</v>
      </c>
      <c r="M40" s="1" t="str">
        <f t="shared" si="1"/>
        <v>EXCELLENT</v>
      </c>
    </row>
    <row r="41" spans="1:13" x14ac:dyDescent="0.3">
      <c r="A41" s="1" t="s">
        <v>49</v>
      </c>
      <c r="B41" s="1" t="s">
        <v>38</v>
      </c>
      <c r="C41" s="1" t="s">
        <v>18</v>
      </c>
      <c r="D41" s="1" t="s">
        <v>28</v>
      </c>
      <c r="E41" s="1">
        <v>10</v>
      </c>
      <c r="F41" s="1">
        <v>7531</v>
      </c>
      <c r="G41" s="1">
        <v>2</v>
      </c>
      <c r="H41" s="2">
        <v>46171</v>
      </c>
      <c r="I41" s="2">
        <v>46178</v>
      </c>
      <c r="J41" s="1" t="s">
        <v>24</v>
      </c>
      <c r="K41" s="1">
        <v>1040</v>
      </c>
      <c r="L41" s="1">
        <f t="shared" si="0"/>
        <v>73803.8</v>
      </c>
      <c r="M41" s="1" t="str">
        <f t="shared" si="1"/>
        <v>VERY GOOD</v>
      </c>
    </row>
    <row r="42" spans="1:13" x14ac:dyDescent="0.3">
      <c r="A42" s="1" t="s">
        <v>54</v>
      </c>
      <c r="B42" s="1" t="s">
        <v>38</v>
      </c>
      <c r="C42" s="1" t="s">
        <v>13</v>
      </c>
      <c r="D42" s="1" t="s">
        <v>50</v>
      </c>
      <c r="E42" s="1">
        <v>9</v>
      </c>
      <c r="F42" s="1">
        <v>71</v>
      </c>
      <c r="G42" s="1">
        <v>7</v>
      </c>
      <c r="H42" s="2">
        <v>46185</v>
      </c>
      <c r="I42" s="2">
        <v>46188</v>
      </c>
      <c r="J42" s="1" t="s">
        <v>15</v>
      </c>
      <c r="K42" s="1">
        <v>1041</v>
      </c>
      <c r="L42" s="1">
        <f t="shared" si="0"/>
        <v>594.27</v>
      </c>
      <c r="M42" s="1" t="str">
        <f t="shared" si="1"/>
        <v>AVERAGE</v>
      </c>
    </row>
    <row r="43" spans="1:13" x14ac:dyDescent="0.3">
      <c r="A43" s="1" t="s">
        <v>46</v>
      </c>
      <c r="B43" s="1" t="s">
        <v>33</v>
      </c>
      <c r="C43" s="1" t="s">
        <v>13</v>
      </c>
      <c r="D43" s="1" t="s">
        <v>53</v>
      </c>
      <c r="E43" s="1">
        <v>16</v>
      </c>
      <c r="F43" s="1">
        <v>232</v>
      </c>
      <c r="G43" s="1">
        <v>0</v>
      </c>
      <c r="H43" s="2">
        <v>46081</v>
      </c>
      <c r="I43" s="2">
        <v>46088</v>
      </c>
      <c r="J43" s="1" t="s">
        <v>29</v>
      </c>
      <c r="K43" s="1">
        <v>1042</v>
      </c>
      <c r="L43" s="1">
        <f t="shared" si="0"/>
        <v>3712</v>
      </c>
      <c r="M43" s="1" t="str">
        <f t="shared" si="1"/>
        <v>AVERAGE</v>
      </c>
    </row>
    <row r="44" spans="1:13" x14ac:dyDescent="0.3">
      <c r="A44" s="1" t="s">
        <v>49</v>
      </c>
      <c r="B44" s="1" t="s">
        <v>38</v>
      </c>
      <c r="C44" s="1" t="s">
        <v>34</v>
      </c>
      <c r="D44" s="1" t="s">
        <v>35</v>
      </c>
      <c r="E44" s="1">
        <v>20</v>
      </c>
      <c r="F44" s="1">
        <v>46093</v>
      </c>
      <c r="G44" s="1">
        <v>5</v>
      </c>
      <c r="H44" s="2">
        <v>46091</v>
      </c>
      <c r="I44" s="2">
        <v>46098</v>
      </c>
      <c r="J44" s="1" t="s">
        <v>29</v>
      </c>
      <c r="K44" s="1">
        <v>1043</v>
      </c>
      <c r="L44" s="1">
        <f t="shared" si="0"/>
        <v>875767</v>
      </c>
      <c r="M44" s="1" t="str">
        <f t="shared" si="1"/>
        <v>EXCELLENT</v>
      </c>
    </row>
    <row r="45" spans="1:13" x14ac:dyDescent="0.3">
      <c r="A45" s="1" t="s">
        <v>48</v>
      </c>
      <c r="B45" s="1" t="s">
        <v>38</v>
      </c>
      <c r="C45" s="1" t="s">
        <v>18</v>
      </c>
      <c r="D45" s="1" t="s">
        <v>19</v>
      </c>
      <c r="E45" s="1">
        <v>4</v>
      </c>
      <c r="F45" s="1">
        <v>14731</v>
      </c>
      <c r="G45" s="1">
        <v>2</v>
      </c>
      <c r="H45" s="2">
        <v>46173</v>
      </c>
      <c r="I45" s="2">
        <v>46176</v>
      </c>
      <c r="J45" s="1" t="s">
        <v>20</v>
      </c>
      <c r="K45" s="1">
        <v>1044</v>
      </c>
      <c r="L45" s="1">
        <f t="shared" si="0"/>
        <v>57745.52</v>
      </c>
      <c r="M45" s="1" t="str">
        <f t="shared" si="1"/>
        <v>VERY GOOD</v>
      </c>
    </row>
    <row r="46" spans="1:13" x14ac:dyDescent="0.3">
      <c r="A46" s="1" t="s">
        <v>32</v>
      </c>
      <c r="B46" s="1" t="s">
        <v>38</v>
      </c>
      <c r="C46" s="1" t="s">
        <v>34</v>
      </c>
      <c r="D46" s="1" t="s">
        <v>35</v>
      </c>
      <c r="E46" s="1">
        <v>3</v>
      </c>
      <c r="F46" s="1">
        <v>62762</v>
      </c>
      <c r="G46" s="1">
        <v>7</v>
      </c>
      <c r="H46" s="2">
        <v>46038</v>
      </c>
      <c r="I46" s="2">
        <v>46039</v>
      </c>
      <c r="J46" s="1" t="s">
        <v>29</v>
      </c>
      <c r="K46" s="1">
        <v>1045</v>
      </c>
      <c r="L46" s="1">
        <f t="shared" si="0"/>
        <v>175105.97999999998</v>
      </c>
      <c r="M46" s="1" t="str">
        <f t="shared" si="1"/>
        <v>EXCELLENT</v>
      </c>
    </row>
    <row r="47" spans="1:13" x14ac:dyDescent="0.3">
      <c r="A47" s="1" t="s">
        <v>57</v>
      </c>
      <c r="B47" s="1" t="s">
        <v>38</v>
      </c>
      <c r="C47" s="1" t="s">
        <v>34</v>
      </c>
      <c r="D47" s="1" t="s">
        <v>45</v>
      </c>
      <c r="E47" s="1">
        <v>3</v>
      </c>
      <c r="F47" s="1">
        <v>19443</v>
      </c>
      <c r="G47" s="1">
        <v>10</v>
      </c>
      <c r="H47" s="2">
        <v>46153</v>
      </c>
      <c r="I47" s="2">
        <v>46158</v>
      </c>
      <c r="J47" s="1" t="s">
        <v>29</v>
      </c>
      <c r="K47" s="1">
        <v>1046</v>
      </c>
      <c r="L47" s="1">
        <f t="shared" si="0"/>
        <v>52496.1</v>
      </c>
      <c r="M47" s="1" t="str">
        <f t="shared" si="1"/>
        <v>VERY GOOD</v>
      </c>
    </row>
    <row r="48" spans="1:13" x14ac:dyDescent="0.3">
      <c r="A48" s="1" t="s">
        <v>58</v>
      </c>
      <c r="B48" s="1" t="s">
        <v>38</v>
      </c>
      <c r="C48" s="1" t="s">
        <v>18</v>
      </c>
      <c r="D48" s="1" t="s">
        <v>56</v>
      </c>
      <c r="E48" s="1">
        <v>11</v>
      </c>
      <c r="F48" s="1">
        <v>9976</v>
      </c>
      <c r="G48" s="1">
        <v>12</v>
      </c>
      <c r="H48" s="2">
        <v>46200</v>
      </c>
      <c r="I48" s="2">
        <v>46209</v>
      </c>
      <c r="J48" s="1" t="s">
        <v>15</v>
      </c>
      <c r="K48" s="1">
        <v>1047</v>
      </c>
      <c r="L48" s="1">
        <f t="shared" si="0"/>
        <v>96567.680000000008</v>
      </c>
      <c r="M48" s="1" t="str">
        <f t="shared" si="1"/>
        <v>VERY GOOD</v>
      </c>
    </row>
    <row r="49" spans="1:13" x14ac:dyDescent="0.3">
      <c r="A49" s="1" t="s">
        <v>59</v>
      </c>
      <c r="B49" s="1" t="s">
        <v>25</v>
      </c>
      <c r="C49" s="1" t="s">
        <v>34</v>
      </c>
      <c r="D49" s="1" t="s">
        <v>60</v>
      </c>
      <c r="E49" s="1">
        <v>14</v>
      </c>
      <c r="F49" s="1">
        <v>11762</v>
      </c>
      <c r="G49" s="1">
        <v>7</v>
      </c>
      <c r="H49" s="2">
        <v>46180</v>
      </c>
      <c r="I49" s="2">
        <v>46186</v>
      </c>
      <c r="J49" s="1" t="s">
        <v>24</v>
      </c>
      <c r="K49" s="1">
        <v>1048</v>
      </c>
      <c r="L49" s="1">
        <f t="shared" si="0"/>
        <v>153141.24</v>
      </c>
      <c r="M49" s="1" t="str">
        <f t="shared" si="1"/>
        <v>EXCELLENT</v>
      </c>
    </row>
    <row r="50" spans="1:13" x14ac:dyDescent="0.3">
      <c r="A50" s="1" t="s">
        <v>52</v>
      </c>
      <c r="B50" s="1" t="s">
        <v>25</v>
      </c>
      <c r="C50" s="1" t="s">
        <v>34</v>
      </c>
      <c r="D50" s="1" t="s">
        <v>45</v>
      </c>
      <c r="E50" s="1">
        <v>2</v>
      </c>
      <c r="F50" s="1">
        <v>40789</v>
      </c>
      <c r="G50" s="1">
        <v>0</v>
      </c>
      <c r="H50" s="2">
        <v>46102</v>
      </c>
      <c r="I50" s="2">
        <v>46108</v>
      </c>
      <c r="J50" s="1" t="s">
        <v>24</v>
      </c>
      <c r="K50" s="1">
        <v>1049</v>
      </c>
      <c r="L50" s="1">
        <f t="shared" si="0"/>
        <v>81578</v>
      </c>
      <c r="M50" s="1" t="str">
        <f t="shared" si="1"/>
        <v>VERY GOOD</v>
      </c>
    </row>
    <row r="51" spans="1:13" x14ac:dyDescent="0.3">
      <c r="A51" s="1" t="s">
        <v>32</v>
      </c>
      <c r="B51" s="1" t="s">
        <v>25</v>
      </c>
      <c r="C51" s="1" t="s">
        <v>13</v>
      </c>
      <c r="D51" s="1" t="s">
        <v>53</v>
      </c>
      <c r="E51" s="1">
        <v>12</v>
      </c>
      <c r="F51" s="1">
        <v>360</v>
      </c>
      <c r="G51" s="1">
        <v>5</v>
      </c>
      <c r="H51" s="2">
        <v>46127</v>
      </c>
      <c r="I51" s="2">
        <v>46137</v>
      </c>
      <c r="J51" s="1" t="s">
        <v>29</v>
      </c>
      <c r="K51" s="1">
        <v>1050</v>
      </c>
      <c r="L51" s="1">
        <f t="shared" si="0"/>
        <v>4104</v>
      </c>
      <c r="M51" s="1" t="str">
        <f t="shared" si="1"/>
        <v>AVERAGE</v>
      </c>
    </row>
    <row r="52" spans="1:13" x14ac:dyDescent="0.3">
      <c r="A52" s="1" t="s">
        <v>58</v>
      </c>
      <c r="B52" s="1" t="s">
        <v>17</v>
      </c>
      <c r="C52" s="1" t="s">
        <v>13</v>
      </c>
      <c r="D52" s="1" t="s">
        <v>36</v>
      </c>
      <c r="E52" s="1">
        <v>12</v>
      </c>
      <c r="F52" s="1">
        <v>47</v>
      </c>
      <c r="G52" s="1">
        <v>2</v>
      </c>
      <c r="H52" s="2">
        <v>46037</v>
      </c>
      <c r="I52" s="2">
        <v>46045</v>
      </c>
      <c r="J52" s="1" t="s">
        <v>15</v>
      </c>
      <c r="K52" s="1">
        <v>1051</v>
      </c>
      <c r="L52" s="1">
        <f t="shared" si="0"/>
        <v>552.72</v>
      </c>
      <c r="M52" s="1" t="str">
        <f t="shared" si="1"/>
        <v>AVERAGE</v>
      </c>
    </row>
    <row r="53" spans="1:13" x14ac:dyDescent="0.3">
      <c r="A53" s="1" t="s">
        <v>55</v>
      </c>
      <c r="B53" s="1" t="s">
        <v>12</v>
      </c>
      <c r="C53" s="1" t="s">
        <v>13</v>
      </c>
      <c r="D53" s="1" t="s">
        <v>14</v>
      </c>
      <c r="E53" s="1">
        <v>17</v>
      </c>
      <c r="F53" s="1">
        <v>172</v>
      </c>
      <c r="G53" s="1">
        <v>10</v>
      </c>
      <c r="H53" s="2">
        <v>46159</v>
      </c>
      <c r="I53" s="2">
        <v>46165</v>
      </c>
      <c r="J53" s="1" t="s">
        <v>20</v>
      </c>
      <c r="K53" s="1">
        <v>1052</v>
      </c>
      <c r="L53" s="1">
        <f t="shared" si="0"/>
        <v>2631.6</v>
      </c>
      <c r="M53" s="1" t="str">
        <f t="shared" si="1"/>
        <v>AVERAGE</v>
      </c>
    </row>
    <row r="54" spans="1:13" x14ac:dyDescent="0.3">
      <c r="A54" s="1" t="s">
        <v>16</v>
      </c>
      <c r="B54" s="1" t="s">
        <v>33</v>
      </c>
      <c r="C54" s="1" t="s">
        <v>18</v>
      </c>
      <c r="D54" s="1" t="s">
        <v>28</v>
      </c>
      <c r="E54" s="1">
        <v>1</v>
      </c>
      <c r="F54" s="1">
        <v>9749</v>
      </c>
      <c r="G54" s="1">
        <v>15</v>
      </c>
      <c r="H54" s="2">
        <v>46064</v>
      </c>
      <c r="I54" s="2">
        <v>46070</v>
      </c>
      <c r="J54" s="1" t="s">
        <v>24</v>
      </c>
      <c r="K54" s="1">
        <v>1053</v>
      </c>
      <c r="L54" s="1">
        <f t="shared" si="0"/>
        <v>8286.65</v>
      </c>
      <c r="M54" s="1" t="str">
        <f t="shared" si="1"/>
        <v>AVERAGE</v>
      </c>
    </row>
    <row r="55" spans="1:13" x14ac:dyDescent="0.3">
      <c r="A55" s="1" t="s">
        <v>26</v>
      </c>
      <c r="B55" s="1" t="s">
        <v>25</v>
      </c>
      <c r="C55" s="1" t="s">
        <v>18</v>
      </c>
      <c r="D55" s="1" t="s">
        <v>23</v>
      </c>
      <c r="E55" s="1">
        <v>8</v>
      </c>
      <c r="F55" s="1">
        <v>9798</v>
      </c>
      <c r="G55" s="1">
        <v>12</v>
      </c>
      <c r="H55" s="2">
        <v>46200</v>
      </c>
      <c r="I55" s="2">
        <v>46201</v>
      </c>
      <c r="J55" s="1" t="s">
        <v>51</v>
      </c>
      <c r="K55" s="1">
        <v>1054</v>
      </c>
      <c r="L55" s="1">
        <f t="shared" si="0"/>
        <v>68977.919999999998</v>
      </c>
      <c r="M55" s="1" t="str">
        <f t="shared" si="1"/>
        <v>VERY GOOD</v>
      </c>
    </row>
    <row r="56" spans="1:13" x14ac:dyDescent="0.3">
      <c r="A56" s="1" t="s">
        <v>48</v>
      </c>
      <c r="B56" s="1" t="s">
        <v>12</v>
      </c>
      <c r="C56" s="1" t="s">
        <v>13</v>
      </c>
      <c r="D56" s="1" t="s">
        <v>37</v>
      </c>
      <c r="E56" s="1">
        <v>18</v>
      </c>
      <c r="F56" s="1">
        <v>185</v>
      </c>
      <c r="G56" s="1">
        <v>15</v>
      </c>
      <c r="H56" s="2">
        <v>46077</v>
      </c>
      <c r="I56" s="2">
        <v>46078</v>
      </c>
      <c r="J56" s="1" t="s">
        <v>15</v>
      </c>
      <c r="K56" s="1">
        <v>1055</v>
      </c>
      <c r="L56" s="1">
        <f t="shared" si="0"/>
        <v>2830.5</v>
      </c>
      <c r="M56" s="1" t="str">
        <f t="shared" si="1"/>
        <v>AVERAGE</v>
      </c>
    </row>
    <row r="57" spans="1:13" x14ac:dyDescent="0.3">
      <c r="A57" s="1" t="s">
        <v>11</v>
      </c>
      <c r="B57" s="1" t="s">
        <v>22</v>
      </c>
      <c r="C57" s="1" t="s">
        <v>18</v>
      </c>
      <c r="D57" s="1" t="s">
        <v>19</v>
      </c>
      <c r="E57" s="1">
        <v>3</v>
      </c>
      <c r="F57" s="1">
        <v>9771</v>
      </c>
      <c r="G57" s="1">
        <v>5</v>
      </c>
      <c r="H57" s="2">
        <v>46133</v>
      </c>
      <c r="I57" s="2">
        <v>46139</v>
      </c>
      <c r="J57" s="1" t="s">
        <v>24</v>
      </c>
      <c r="K57" s="1">
        <v>1056</v>
      </c>
      <c r="L57" s="1">
        <f t="shared" si="0"/>
        <v>27847.35</v>
      </c>
      <c r="M57" s="1" t="str">
        <f t="shared" si="1"/>
        <v>GOOD</v>
      </c>
    </row>
    <row r="58" spans="1:13" x14ac:dyDescent="0.3">
      <c r="A58" s="1" t="s">
        <v>59</v>
      </c>
      <c r="B58" s="1" t="s">
        <v>22</v>
      </c>
      <c r="C58" s="1" t="s">
        <v>18</v>
      </c>
      <c r="D58" s="1" t="s">
        <v>28</v>
      </c>
      <c r="E58" s="1">
        <v>2</v>
      </c>
      <c r="F58" s="1">
        <v>9531</v>
      </c>
      <c r="G58" s="1">
        <v>15</v>
      </c>
      <c r="H58" s="2">
        <v>46067</v>
      </c>
      <c r="I58" s="2">
        <v>46076</v>
      </c>
      <c r="J58" s="1" t="s">
        <v>51</v>
      </c>
      <c r="K58" s="1">
        <v>1057</v>
      </c>
      <c r="L58" s="1">
        <f t="shared" si="0"/>
        <v>16202.699999999999</v>
      </c>
      <c r="M58" s="1" t="str">
        <f t="shared" si="1"/>
        <v>AVERAGE</v>
      </c>
    </row>
    <row r="59" spans="1:13" x14ac:dyDescent="0.3">
      <c r="A59" s="1" t="s">
        <v>52</v>
      </c>
      <c r="B59" s="1" t="s">
        <v>38</v>
      </c>
      <c r="C59" s="1" t="s">
        <v>18</v>
      </c>
      <c r="D59" s="1" t="s">
        <v>28</v>
      </c>
      <c r="E59" s="1">
        <v>10</v>
      </c>
      <c r="F59" s="1">
        <v>5532</v>
      </c>
      <c r="G59" s="1">
        <v>7</v>
      </c>
      <c r="H59" s="2">
        <v>46074</v>
      </c>
      <c r="I59" s="2">
        <v>46084</v>
      </c>
      <c r="J59" s="1" t="s">
        <v>24</v>
      </c>
      <c r="K59" s="1">
        <v>1058</v>
      </c>
      <c r="L59" s="1">
        <f t="shared" si="0"/>
        <v>51447.6</v>
      </c>
      <c r="M59" s="1" t="str">
        <f t="shared" si="1"/>
        <v>VERY GOOD</v>
      </c>
    </row>
    <row r="60" spans="1:13" x14ac:dyDescent="0.3">
      <c r="A60" s="1" t="s">
        <v>54</v>
      </c>
      <c r="B60" s="1" t="s">
        <v>25</v>
      </c>
      <c r="C60" s="1" t="s">
        <v>13</v>
      </c>
      <c r="D60" s="1" t="s">
        <v>50</v>
      </c>
      <c r="E60" s="1">
        <v>20</v>
      </c>
      <c r="F60" s="1">
        <v>112</v>
      </c>
      <c r="G60" s="1">
        <v>10</v>
      </c>
      <c r="H60" s="2">
        <v>46113</v>
      </c>
      <c r="I60" s="2">
        <v>46122</v>
      </c>
      <c r="J60" s="1" t="s">
        <v>51</v>
      </c>
      <c r="K60" s="1">
        <v>1059</v>
      </c>
      <c r="L60" s="1">
        <f t="shared" si="0"/>
        <v>2016</v>
      </c>
      <c r="M60" s="1" t="str">
        <f t="shared" si="1"/>
        <v>AVERAGE</v>
      </c>
    </row>
    <row r="61" spans="1:13" x14ac:dyDescent="0.3">
      <c r="A61" s="1" t="s">
        <v>49</v>
      </c>
      <c r="B61" s="1" t="s">
        <v>12</v>
      </c>
      <c r="C61" s="1" t="s">
        <v>18</v>
      </c>
      <c r="D61" s="1" t="s">
        <v>44</v>
      </c>
      <c r="E61" s="1">
        <v>9</v>
      </c>
      <c r="F61" s="1">
        <v>9727</v>
      </c>
      <c r="G61" s="1">
        <v>2</v>
      </c>
      <c r="H61" s="2">
        <v>46024</v>
      </c>
      <c r="I61" s="2">
        <v>46030</v>
      </c>
      <c r="J61" s="1" t="s">
        <v>20</v>
      </c>
      <c r="K61" s="1">
        <v>1060</v>
      </c>
      <c r="L61" s="1">
        <f t="shared" si="0"/>
        <v>85792.14</v>
      </c>
      <c r="M61" s="1" t="str">
        <f t="shared" si="1"/>
        <v>VERY GOOD</v>
      </c>
    </row>
    <row r="62" spans="1:13" x14ac:dyDescent="0.3">
      <c r="A62" s="1" t="s">
        <v>57</v>
      </c>
      <c r="B62" s="1" t="s">
        <v>12</v>
      </c>
      <c r="C62" s="1" t="s">
        <v>34</v>
      </c>
      <c r="D62" s="1" t="s">
        <v>41</v>
      </c>
      <c r="E62" s="1">
        <v>16</v>
      </c>
      <c r="F62" s="1">
        <v>59084</v>
      </c>
      <c r="G62" s="1">
        <v>0</v>
      </c>
      <c r="H62" s="2">
        <v>46060</v>
      </c>
      <c r="I62" s="2">
        <v>46069</v>
      </c>
      <c r="J62" s="1" t="s">
        <v>20</v>
      </c>
      <c r="K62" s="1">
        <v>1061</v>
      </c>
      <c r="L62" s="1">
        <f t="shared" si="0"/>
        <v>945344</v>
      </c>
      <c r="M62" s="1" t="str">
        <f t="shared" si="1"/>
        <v>EXCELLENT</v>
      </c>
    </row>
    <row r="63" spans="1:13" x14ac:dyDescent="0.3">
      <c r="A63" s="1" t="s">
        <v>40</v>
      </c>
      <c r="B63" s="1" t="s">
        <v>43</v>
      </c>
      <c r="C63" s="1" t="s">
        <v>18</v>
      </c>
      <c r="D63" s="1" t="s">
        <v>23</v>
      </c>
      <c r="E63" s="1">
        <v>8</v>
      </c>
      <c r="F63" s="1">
        <v>8360</v>
      </c>
      <c r="G63" s="1">
        <v>2</v>
      </c>
      <c r="H63" s="2">
        <v>46190</v>
      </c>
      <c r="I63" s="2">
        <v>46200</v>
      </c>
      <c r="J63" s="1" t="s">
        <v>51</v>
      </c>
      <c r="K63" s="1">
        <v>1062</v>
      </c>
      <c r="L63" s="1">
        <f t="shared" si="0"/>
        <v>65542.399999999994</v>
      </c>
      <c r="M63" s="1" t="str">
        <f t="shared" si="1"/>
        <v>VERY GOOD</v>
      </c>
    </row>
    <row r="64" spans="1:13" x14ac:dyDescent="0.3">
      <c r="A64" s="1" t="s">
        <v>54</v>
      </c>
      <c r="B64" s="1" t="s">
        <v>22</v>
      </c>
      <c r="C64" s="1" t="s">
        <v>34</v>
      </c>
      <c r="D64" s="1" t="s">
        <v>45</v>
      </c>
      <c r="E64" s="1">
        <v>7</v>
      </c>
      <c r="F64" s="1">
        <v>66744</v>
      </c>
      <c r="G64" s="1">
        <v>7</v>
      </c>
      <c r="H64" s="2">
        <v>46148</v>
      </c>
      <c r="I64" s="2">
        <v>46155</v>
      </c>
      <c r="J64" s="1" t="s">
        <v>15</v>
      </c>
      <c r="K64" s="1">
        <v>1063</v>
      </c>
      <c r="L64" s="1">
        <f t="shared" si="0"/>
        <v>434503.43999999994</v>
      </c>
      <c r="M64" s="1" t="str">
        <f t="shared" si="1"/>
        <v>EXCELLENT</v>
      </c>
    </row>
    <row r="65" spans="1:13" x14ac:dyDescent="0.3">
      <c r="A65" s="1" t="s">
        <v>26</v>
      </c>
      <c r="B65" s="1" t="s">
        <v>17</v>
      </c>
      <c r="C65" s="1" t="s">
        <v>13</v>
      </c>
      <c r="D65" s="1" t="s">
        <v>50</v>
      </c>
      <c r="E65" s="1">
        <v>20</v>
      </c>
      <c r="F65" s="1">
        <v>191</v>
      </c>
      <c r="G65" s="1">
        <v>7</v>
      </c>
      <c r="H65" s="2">
        <v>46185</v>
      </c>
      <c r="I65" s="2">
        <v>46195</v>
      </c>
      <c r="J65" s="1" t="s">
        <v>29</v>
      </c>
      <c r="K65" s="1">
        <v>1064</v>
      </c>
      <c r="L65" s="1">
        <f t="shared" si="0"/>
        <v>3552.6</v>
      </c>
      <c r="M65" s="1" t="str">
        <f t="shared" si="1"/>
        <v>AVERAGE</v>
      </c>
    </row>
    <row r="66" spans="1:13" x14ac:dyDescent="0.3">
      <c r="A66" s="1" t="s">
        <v>42</v>
      </c>
      <c r="B66" s="1" t="s">
        <v>43</v>
      </c>
      <c r="C66" s="1" t="s">
        <v>18</v>
      </c>
      <c r="D66" s="1" t="s">
        <v>44</v>
      </c>
      <c r="E66" s="1">
        <v>1</v>
      </c>
      <c r="F66" s="1">
        <v>7730</v>
      </c>
      <c r="G66" s="1">
        <v>5</v>
      </c>
      <c r="H66" s="2">
        <v>46192</v>
      </c>
      <c r="I66" s="2">
        <v>46195</v>
      </c>
      <c r="J66" s="1" t="s">
        <v>51</v>
      </c>
      <c r="K66" s="1">
        <v>1065</v>
      </c>
      <c r="L66" s="1">
        <f t="shared" si="0"/>
        <v>7343.5</v>
      </c>
      <c r="M66" s="1" t="str">
        <f t="shared" si="1"/>
        <v>AVERAGE</v>
      </c>
    </row>
    <row r="67" spans="1:13" x14ac:dyDescent="0.3">
      <c r="A67" s="1" t="s">
        <v>47</v>
      </c>
      <c r="B67" s="1" t="s">
        <v>25</v>
      </c>
      <c r="C67" s="1" t="s">
        <v>18</v>
      </c>
      <c r="D67" s="1" t="s">
        <v>44</v>
      </c>
      <c r="E67" s="1">
        <v>15</v>
      </c>
      <c r="F67" s="1">
        <v>11987</v>
      </c>
      <c r="G67" s="1">
        <v>5</v>
      </c>
      <c r="H67" s="2">
        <v>46082</v>
      </c>
      <c r="I67" s="2">
        <v>46083</v>
      </c>
      <c r="J67" s="1" t="s">
        <v>15</v>
      </c>
      <c r="K67" s="1">
        <v>1066</v>
      </c>
      <c r="L67" s="1">
        <f t="shared" si="0"/>
        <v>170814.75</v>
      </c>
      <c r="M67" s="1" t="str">
        <f t="shared" si="1"/>
        <v>EXCELLENT</v>
      </c>
    </row>
    <row r="68" spans="1:13" x14ac:dyDescent="0.3">
      <c r="A68" s="1" t="s">
        <v>32</v>
      </c>
      <c r="B68" s="1" t="s">
        <v>43</v>
      </c>
      <c r="C68" s="1" t="s">
        <v>18</v>
      </c>
      <c r="D68" s="1" t="s">
        <v>56</v>
      </c>
      <c r="E68" s="1">
        <v>14</v>
      </c>
      <c r="F68" s="1">
        <v>10869</v>
      </c>
      <c r="G68" s="1">
        <v>0</v>
      </c>
      <c r="H68" s="2">
        <v>46058</v>
      </c>
      <c r="I68" s="2">
        <v>46062</v>
      </c>
      <c r="J68" s="1" t="s">
        <v>29</v>
      </c>
      <c r="K68" s="1">
        <v>1067</v>
      </c>
      <c r="L68" s="1">
        <f t="shared" si="0"/>
        <v>152166</v>
      </c>
      <c r="M68" s="1" t="str">
        <f t="shared" si="1"/>
        <v>EXCELLENT</v>
      </c>
    </row>
    <row r="69" spans="1:13" x14ac:dyDescent="0.3">
      <c r="A69" s="1" t="s">
        <v>52</v>
      </c>
      <c r="B69" s="1" t="s">
        <v>43</v>
      </c>
      <c r="C69" s="1" t="s">
        <v>34</v>
      </c>
      <c r="D69" s="1" t="s">
        <v>60</v>
      </c>
      <c r="E69" s="1">
        <v>15</v>
      </c>
      <c r="F69" s="1">
        <v>14534</v>
      </c>
      <c r="G69" s="1">
        <v>5</v>
      </c>
      <c r="H69" s="2">
        <v>46196</v>
      </c>
      <c r="I69" s="2">
        <v>46199</v>
      </c>
      <c r="J69" s="1" t="s">
        <v>29</v>
      </c>
      <c r="K69" s="1">
        <v>1068</v>
      </c>
      <c r="L69" s="1">
        <f t="shared" si="0"/>
        <v>207109.5</v>
      </c>
      <c r="M69" s="1" t="str">
        <f t="shared" si="1"/>
        <v>EXCELLENT</v>
      </c>
    </row>
    <row r="70" spans="1:13" x14ac:dyDescent="0.3">
      <c r="A70" s="1" t="s">
        <v>52</v>
      </c>
      <c r="B70" s="1" t="s">
        <v>31</v>
      </c>
      <c r="C70" s="1" t="s">
        <v>18</v>
      </c>
      <c r="D70" s="1" t="s">
        <v>28</v>
      </c>
      <c r="E70" s="1">
        <v>9</v>
      </c>
      <c r="F70" s="1">
        <v>4415</v>
      </c>
      <c r="G70" s="1">
        <v>5</v>
      </c>
      <c r="H70" s="2">
        <v>46039</v>
      </c>
      <c r="I70" s="2">
        <v>46046</v>
      </c>
      <c r="J70" s="1" t="s">
        <v>15</v>
      </c>
      <c r="K70" s="1">
        <v>1069</v>
      </c>
      <c r="L70" s="1">
        <f t="shared" si="0"/>
        <v>37748.25</v>
      </c>
      <c r="M70" s="1" t="str">
        <f t="shared" si="1"/>
        <v>GOOD</v>
      </c>
    </row>
    <row r="71" spans="1:13" x14ac:dyDescent="0.3">
      <c r="A71" s="1" t="s">
        <v>52</v>
      </c>
      <c r="B71" s="1" t="s">
        <v>43</v>
      </c>
      <c r="C71" s="1" t="s">
        <v>13</v>
      </c>
      <c r="D71" s="1" t="s">
        <v>36</v>
      </c>
      <c r="E71" s="1">
        <v>10</v>
      </c>
      <c r="F71" s="1">
        <v>233</v>
      </c>
      <c r="G71" s="1">
        <v>7</v>
      </c>
      <c r="H71" s="2">
        <v>46076</v>
      </c>
      <c r="I71" s="2">
        <v>46077</v>
      </c>
      <c r="J71" s="1" t="s">
        <v>29</v>
      </c>
      <c r="K71" s="1">
        <v>1070</v>
      </c>
      <c r="L71" s="1">
        <f t="shared" si="0"/>
        <v>2166.8999999999996</v>
      </c>
      <c r="M71" s="1" t="str">
        <f t="shared" si="1"/>
        <v>AVERAGE</v>
      </c>
    </row>
    <row r="72" spans="1:13" x14ac:dyDescent="0.3">
      <c r="A72" s="1" t="s">
        <v>59</v>
      </c>
      <c r="B72" s="1" t="s">
        <v>22</v>
      </c>
      <c r="C72" s="1" t="s">
        <v>34</v>
      </c>
      <c r="D72" s="1" t="s">
        <v>61</v>
      </c>
      <c r="E72" s="1">
        <v>18</v>
      </c>
      <c r="F72" s="1">
        <v>32197</v>
      </c>
      <c r="G72" s="1">
        <v>5</v>
      </c>
      <c r="H72" s="2">
        <v>46129</v>
      </c>
      <c r="I72" s="2">
        <v>46137</v>
      </c>
      <c r="J72" s="1" t="s">
        <v>20</v>
      </c>
      <c r="K72" s="1">
        <v>1071</v>
      </c>
      <c r="L72" s="1">
        <f t="shared" si="0"/>
        <v>550568.69999999995</v>
      </c>
      <c r="M72" s="1" t="str">
        <f t="shared" si="1"/>
        <v>EXCELLENT</v>
      </c>
    </row>
    <row r="73" spans="1:13" x14ac:dyDescent="0.3">
      <c r="A73" s="1" t="s">
        <v>16</v>
      </c>
      <c r="B73" s="1" t="s">
        <v>25</v>
      </c>
      <c r="C73" s="1" t="s">
        <v>34</v>
      </c>
      <c r="D73" s="1" t="s">
        <v>61</v>
      </c>
      <c r="E73" s="1">
        <v>20</v>
      </c>
      <c r="F73" s="1">
        <v>58779</v>
      </c>
      <c r="G73" s="1">
        <v>0</v>
      </c>
      <c r="H73" s="2">
        <v>46035</v>
      </c>
      <c r="I73" s="2">
        <v>46036</v>
      </c>
      <c r="J73" s="1" t="s">
        <v>24</v>
      </c>
      <c r="K73" s="1">
        <v>1072</v>
      </c>
      <c r="L73" s="1">
        <f t="shared" si="0"/>
        <v>1175580</v>
      </c>
      <c r="M73" s="1" t="str">
        <f t="shared" si="1"/>
        <v>EXCELLENT</v>
      </c>
    </row>
    <row r="74" spans="1:13" x14ac:dyDescent="0.3">
      <c r="A74" s="1" t="s">
        <v>58</v>
      </c>
      <c r="B74" s="1" t="s">
        <v>17</v>
      </c>
      <c r="C74" s="1" t="s">
        <v>18</v>
      </c>
      <c r="D74" s="1" t="s">
        <v>56</v>
      </c>
      <c r="E74" s="1">
        <v>4</v>
      </c>
      <c r="F74" s="1">
        <v>2453</v>
      </c>
      <c r="G74" s="1">
        <v>7</v>
      </c>
      <c r="H74" s="2">
        <v>46126</v>
      </c>
      <c r="I74" s="2">
        <v>46129</v>
      </c>
      <c r="J74" s="1" t="s">
        <v>51</v>
      </c>
      <c r="K74" s="1">
        <v>1073</v>
      </c>
      <c r="L74" s="1">
        <f t="shared" si="0"/>
        <v>9125.16</v>
      </c>
      <c r="M74" s="1" t="str">
        <f t="shared" si="1"/>
        <v>AVERAGE</v>
      </c>
    </row>
    <row r="75" spans="1:13" x14ac:dyDescent="0.3">
      <c r="A75" s="1" t="s">
        <v>26</v>
      </c>
      <c r="B75" s="1" t="s">
        <v>31</v>
      </c>
      <c r="C75" s="1" t="s">
        <v>13</v>
      </c>
      <c r="D75" s="1" t="s">
        <v>50</v>
      </c>
      <c r="E75" s="1">
        <v>11</v>
      </c>
      <c r="F75" s="1">
        <v>390</v>
      </c>
      <c r="G75" s="1">
        <v>15</v>
      </c>
      <c r="H75" s="2">
        <v>46114</v>
      </c>
      <c r="I75" s="2">
        <v>46123</v>
      </c>
      <c r="J75" s="1" t="s">
        <v>29</v>
      </c>
      <c r="K75" s="1">
        <v>1074</v>
      </c>
      <c r="L75" s="1">
        <f t="shared" si="0"/>
        <v>3646.5</v>
      </c>
      <c r="M75" s="1" t="str">
        <f t="shared" si="1"/>
        <v>AVERAGE</v>
      </c>
    </row>
    <row r="76" spans="1:13" x14ac:dyDescent="0.3">
      <c r="A76" s="1" t="s">
        <v>42</v>
      </c>
      <c r="B76" s="1" t="s">
        <v>43</v>
      </c>
      <c r="C76" s="1" t="s">
        <v>34</v>
      </c>
      <c r="D76" s="1" t="s">
        <v>61</v>
      </c>
      <c r="E76" s="1">
        <v>4</v>
      </c>
      <c r="F76" s="1">
        <v>64773</v>
      </c>
      <c r="G76" s="1">
        <v>10</v>
      </c>
      <c r="H76" s="2">
        <v>46185</v>
      </c>
      <c r="I76" s="2">
        <v>46186</v>
      </c>
      <c r="J76" s="1" t="s">
        <v>51</v>
      </c>
      <c r="K76" s="1">
        <v>1075</v>
      </c>
      <c r="L76" s="1">
        <f t="shared" si="0"/>
        <v>233182.80000000002</v>
      </c>
      <c r="M76" s="1" t="str">
        <f t="shared" si="1"/>
        <v>EXCELLENT</v>
      </c>
    </row>
    <row r="77" spans="1:13" x14ac:dyDescent="0.3">
      <c r="A77" s="1" t="s">
        <v>29</v>
      </c>
      <c r="B77" s="1" t="s">
        <v>17</v>
      </c>
      <c r="C77" s="1" t="s">
        <v>34</v>
      </c>
      <c r="D77" s="1" t="s">
        <v>35</v>
      </c>
      <c r="E77" s="1">
        <v>19</v>
      </c>
      <c r="F77" s="1">
        <v>26714</v>
      </c>
      <c r="G77" s="1">
        <v>5</v>
      </c>
      <c r="H77" s="2">
        <v>46045</v>
      </c>
      <c r="I77" s="2">
        <v>46055</v>
      </c>
      <c r="J77" s="1" t="s">
        <v>29</v>
      </c>
      <c r="K77" s="1">
        <v>1076</v>
      </c>
      <c r="L77" s="1">
        <f t="shared" si="0"/>
        <v>482187.69999999995</v>
      </c>
      <c r="M77" s="1" t="str">
        <f t="shared" si="1"/>
        <v>EXCELLENT</v>
      </c>
    </row>
    <row r="78" spans="1:13" x14ac:dyDescent="0.3">
      <c r="A78" s="1" t="s">
        <v>55</v>
      </c>
      <c r="B78" s="1" t="s">
        <v>25</v>
      </c>
      <c r="C78" s="1" t="s">
        <v>13</v>
      </c>
      <c r="D78" s="1" t="s">
        <v>14</v>
      </c>
      <c r="E78" s="1">
        <v>1</v>
      </c>
      <c r="F78" s="1">
        <v>123</v>
      </c>
      <c r="G78" s="1">
        <v>10</v>
      </c>
      <c r="H78" s="2">
        <v>46113</v>
      </c>
      <c r="I78" s="2">
        <v>46121</v>
      </c>
      <c r="J78" s="1" t="s">
        <v>51</v>
      </c>
      <c r="K78" s="1">
        <v>1077</v>
      </c>
      <c r="L78" s="1">
        <f t="shared" si="0"/>
        <v>110.7</v>
      </c>
      <c r="M78" s="1" t="str">
        <f t="shared" si="1"/>
        <v>AVERAGE</v>
      </c>
    </row>
    <row r="79" spans="1:13" x14ac:dyDescent="0.3">
      <c r="A79" s="1" t="s">
        <v>52</v>
      </c>
      <c r="B79" s="1" t="s">
        <v>17</v>
      </c>
      <c r="C79" s="1" t="s">
        <v>34</v>
      </c>
      <c r="D79" s="1" t="s">
        <v>39</v>
      </c>
      <c r="E79" s="1">
        <v>11</v>
      </c>
      <c r="F79" s="1">
        <v>24278</v>
      </c>
      <c r="G79" s="1">
        <v>12</v>
      </c>
      <c r="H79" s="2">
        <v>46084</v>
      </c>
      <c r="I79" s="2">
        <v>46090</v>
      </c>
      <c r="J79" s="1" t="s">
        <v>29</v>
      </c>
      <c r="K79" s="1">
        <v>1078</v>
      </c>
      <c r="L79" s="1">
        <f t="shared" si="0"/>
        <v>235011.04</v>
      </c>
      <c r="M79" s="1" t="str">
        <f t="shared" si="1"/>
        <v>EXCELLENT</v>
      </c>
    </row>
    <row r="80" spans="1:13" x14ac:dyDescent="0.3">
      <c r="A80" s="1" t="s">
        <v>26</v>
      </c>
      <c r="B80" s="1" t="s">
        <v>38</v>
      </c>
      <c r="C80" s="1" t="s">
        <v>34</v>
      </c>
      <c r="D80" s="1" t="s">
        <v>41</v>
      </c>
      <c r="E80" s="1">
        <v>19</v>
      </c>
      <c r="F80" s="1">
        <v>48956</v>
      </c>
      <c r="G80" s="1">
        <v>12</v>
      </c>
      <c r="H80" s="2">
        <v>46170</v>
      </c>
      <c r="I80" s="2">
        <v>46177</v>
      </c>
      <c r="J80" s="1" t="s">
        <v>51</v>
      </c>
      <c r="K80" s="1">
        <v>1079</v>
      </c>
      <c r="L80" s="1">
        <f t="shared" si="0"/>
        <v>818544.32</v>
      </c>
      <c r="M80" s="1" t="str">
        <f t="shared" si="1"/>
        <v>EXCELLENT</v>
      </c>
    </row>
    <row r="81" spans="1:13" x14ac:dyDescent="0.3">
      <c r="A81" s="1" t="s">
        <v>21</v>
      </c>
      <c r="B81" s="1" t="s">
        <v>22</v>
      </c>
      <c r="C81" s="1" t="s">
        <v>34</v>
      </c>
      <c r="D81" s="1" t="s">
        <v>41</v>
      </c>
      <c r="E81" s="1">
        <v>12</v>
      </c>
      <c r="F81" s="1">
        <v>54161</v>
      </c>
      <c r="G81" s="1">
        <v>15</v>
      </c>
      <c r="H81" s="2">
        <v>46133</v>
      </c>
      <c r="I81" s="2">
        <v>46143</v>
      </c>
      <c r="J81" s="1" t="s">
        <v>24</v>
      </c>
      <c r="K81" s="1">
        <v>1080</v>
      </c>
      <c r="L81" s="1">
        <f t="shared" si="0"/>
        <v>552442.19999999995</v>
      </c>
      <c r="M81" s="1" t="str">
        <f t="shared" si="1"/>
        <v>EXCELLENT</v>
      </c>
    </row>
    <row r="82" spans="1:13" x14ac:dyDescent="0.3">
      <c r="A82" s="1" t="s">
        <v>47</v>
      </c>
      <c r="B82" s="1" t="s">
        <v>12</v>
      </c>
      <c r="C82" s="1" t="s">
        <v>34</v>
      </c>
      <c r="D82" s="1" t="s">
        <v>35</v>
      </c>
      <c r="E82" s="1">
        <v>15</v>
      </c>
      <c r="F82" s="1">
        <v>59912</v>
      </c>
      <c r="G82" s="1">
        <v>7</v>
      </c>
      <c r="H82" s="2">
        <v>46058</v>
      </c>
      <c r="I82" s="2">
        <v>46060</v>
      </c>
      <c r="J82" s="1" t="s">
        <v>51</v>
      </c>
      <c r="K82" s="1">
        <v>1081</v>
      </c>
      <c r="L82" s="1">
        <f t="shared" si="0"/>
        <v>835772.39999999991</v>
      </c>
      <c r="M82" s="1" t="str">
        <f t="shared" si="1"/>
        <v>EXCELLENT</v>
      </c>
    </row>
    <row r="83" spans="1:13" x14ac:dyDescent="0.3">
      <c r="A83" s="1" t="s">
        <v>21</v>
      </c>
      <c r="B83" s="1" t="s">
        <v>12</v>
      </c>
      <c r="C83" s="1" t="s">
        <v>13</v>
      </c>
      <c r="D83" s="1" t="s">
        <v>14</v>
      </c>
      <c r="E83" s="1">
        <v>7</v>
      </c>
      <c r="F83" s="1">
        <v>133</v>
      </c>
      <c r="G83" s="1">
        <v>10</v>
      </c>
      <c r="H83" s="2">
        <v>46075</v>
      </c>
      <c r="I83" s="2">
        <v>46085</v>
      </c>
      <c r="J83" s="1" t="s">
        <v>51</v>
      </c>
      <c r="K83" s="1">
        <v>1082</v>
      </c>
      <c r="L83" s="1">
        <f t="shared" si="0"/>
        <v>837.9</v>
      </c>
      <c r="M83" s="1" t="str">
        <f t="shared" si="1"/>
        <v>AVERAGE</v>
      </c>
    </row>
    <row r="84" spans="1:13" x14ac:dyDescent="0.3">
      <c r="A84" s="1" t="s">
        <v>55</v>
      </c>
      <c r="B84" s="1" t="s">
        <v>33</v>
      </c>
      <c r="C84" s="1" t="s">
        <v>13</v>
      </c>
      <c r="D84" s="1" t="s">
        <v>53</v>
      </c>
      <c r="E84" s="1">
        <v>4</v>
      </c>
      <c r="F84" s="1">
        <v>397</v>
      </c>
      <c r="G84" s="1">
        <v>7</v>
      </c>
      <c r="H84" s="2">
        <v>46185</v>
      </c>
      <c r="I84" s="2">
        <v>46193</v>
      </c>
      <c r="J84" s="1" t="s">
        <v>15</v>
      </c>
      <c r="K84" s="1">
        <v>1083</v>
      </c>
      <c r="L84" s="1">
        <f t="shared" si="0"/>
        <v>1476.84</v>
      </c>
      <c r="M84" s="1" t="str">
        <f t="shared" si="1"/>
        <v>AVERAGE</v>
      </c>
    </row>
    <row r="85" spans="1:13" x14ac:dyDescent="0.3">
      <c r="A85" s="1" t="s">
        <v>49</v>
      </c>
      <c r="B85" s="1" t="s">
        <v>31</v>
      </c>
      <c r="C85" s="1" t="s">
        <v>18</v>
      </c>
      <c r="D85" s="1" t="s">
        <v>28</v>
      </c>
      <c r="E85" s="1">
        <v>4</v>
      </c>
      <c r="F85" s="1">
        <v>6901</v>
      </c>
      <c r="G85" s="1">
        <v>10</v>
      </c>
      <c r="H85" s="2">
        <v>46047</v>
      </c>
      <c r="I85" s="2">
        <v>46057</v>
      </c>
      <c r="J85" s="1" t="s">
        <v>20</v>
      </c>
      <c r="K85" s="1">
        <v>1084</v>
      </c>
      <c r="L85" s="1">
        <f t="shared" si="0"/>
        <v>24843.600000000002</v>
      </c>
      <c r="M85" s="1" t="str">
        <f t="shared" si="1"/>
        <v>GOOD</v>
      </c>
    </row>
    <row r="86" spans="1:13" x14ac:dyDescent="0.3">
      <c r="A86" s="1" t="s">
        <v>32</v>
      </c>
      <c r="B86" s="1" t="s">
        <v>38</v>
      </c>
      <c r="C86" s="1" t="s">
        <v>34</v>
      </c>
      <c r="D86" s="1" t="s">
        <v>60</v>
      </c>
      <c r="E86" s="1">
        <v>19</v>
      </c>
      <c r="F86" s="1">
        <v>45307</v>
      </c>
      <c r="G86" s="1">
        <v>12</v>
      </c>
      <c r="H86" s="2">
        <v>46146</v>
      </c>
      <c r="I86" s="2">
        <v>46150</v>
      </c>
      <c r="J86" s="1" t="s">
        <v>24</v>
      </c>
      <c r="K86" s="1">
        <v>1085</v>
      </c>
      <c r="L86" s="1">
        <f t="shared" si="0"/>
        <v>757533.04</v>
      </c>
      <c r="M86" s="1" t="str">
        <f t="shared" si="1"/>
        <v>EXCELLENT</v>
      </c>
    </row>
    <row r="87" spans="1:13" x14ac:dyDescent="0.3">
      <c r="A87" s="1" t="s">
        <v>32</v>
      </c>
      <c r="B87" s="1" t="s">
        <v>12</v>
      </c>
      <c r="C87" s="1" t="s">
        <v>13</v>
      </c>
      <c r="D87" s="1" t="s">
        <v>53</v>
      </c>
      <c r="E87" s="1">
        <v>15</v>
      </c>
      <c r="F87" s="1">
        <v>40</v>
      </c>
      <c r="G87" s="1">
        <v>10</v>
      </c>
      <c r="H87" s="2">
        <v>46045</v>
      </c>
      <c r="I87" s="2">
        <v>46049</v>
      </c>
      <c r="J87" s="1" t="s">
        <v>24</v>
      </c>
      <c r="K87" s="1">
        <v>1086</v>
      </c>
      <c r="L87" s="1">
        <f t="shared" si="0"/>
        <v>540</v>
      </c>
      <c r="M87" s="1" t="str">
        <f t="shared" si="1"/>
        <v>AVERAGE</v>
      </c>
    </row>
    <row r="88" spans="1:13" x14ac:dyDescent="0.3">
      <c r="A88" s="1" t="s">
        <v>11</v>
      </c>
      <c r="B88" s="1" t="s">
        <v>31</v>
      </c>
      <c r="C88" s="1" t="s">
        <v>13</v>
      </c>
      <c r="D88" s="1" t="s">
        <v>37</v>
      </c>
      <c r="E88" s="1">
        <v>13</v>
      </c>
      <c r="F88" s="1">
        <v>387</v>
      </c>
      <c r="G88" s="1">
        <v>7</v>
      </c>
      <c r="H88" s="2">
        <v>46171</v>
      </c>
      <c r="I88" s="2">
        <v>46176</v>
      </c>
      <c r="J88" s="1" t="s">
        <v>24</v>
      </c>
      <c r="K88" s="1">
        <v>1087</v>
      </c>
      <c r="L88" s="1">
        <f t="shared" si="0"/>
        <v>4678.83</v>
      </c>
      <c r="M88" s="1" t="str">
        <f t="shared" si="1"/>
        <v>AVERAGE</v>
      </c>
    </row>
    <row r="89" spans="1:13" x14ac:dyDescent="0.3">
      <c r="A89" s="1" t="s">
        <v>40</v>
      </c>
      <c r="B89" s="1" t="s">
        <v>33</v>
      </c>
      <c r="C89" s="1" t="s">
        <v>34</v>
      </c>
      <c r="D89" s="1" t="s">
        <v>41</v>
      </c>
      <c r="E89" s="1">
        <v>20</v>
      </c>
      <c r="F89" s="1">
        <v>41165</v>
      </c>
      <c r="G89" s="1">
        <v>0</v>
      </c>
      <c r="H89" s="2">
        <v>46068</v>
      </c>
      <c r="I89" s="2">
        <v>46069</v>
      </c>
      <c r="J89" s="1" t="s">
        <v>20</v>
      </c>
      <c r="K89" s="1">
        <v>1088</v>
      </c>
      <c r="L89" s="1">
        <f t="shared" si="0"/>
        <v>823300</v>
      </c>
      <c r="M89" s="1" t="str">
        <f t="shared" si="1"/>
        <v>EXCELLENT</v>
      </c>
    </row>
    <row r="90" spans="1:13" x14ac:dyDescent="0.3">
      <c r="A90" s="1" t="s">
        <v>46</v>
      </c>
      <c r="B90" s="1" t="s">
        <v>12</v>
      </c>
      <c r="C90" s="1" t="s">
        <v>34</v>
      </c>
      <c r="D90" s="1" t="s">
        <v>35</v>
      </c>
      <c r="E90" s="1">
        <v>10</v>
      </c>
      <c r="F90" s="1">
        <v>17041</v>
      </c>
      <c r="G90" s="1">
        <v>2</v>
      </c>
      <c r="H90" s="2">
        <v>46066</v>
      </c>
      <c r="I90" s="2">
        <v>46071</v>
      </c>
      <c r="J90" s="1" t="s">
        <v>24</v>
      </c>
      <c r="K90" s="1">
        <v>1089</v>
      </c>
      <c r="L90" s="1">
        <f t="shared" si="0"/>
        <v>167001.79999999999</v>
      </c>
      <c r="M90" s="1" t="str">
        <f t="shared" si="1"/>
        <v>EXCELLENT</v>
      </c>
    </row>
    <row r="91" spans="1:13" x14ac:dyDescent="0.3">
      <c r="A91" s="1" t="s">
        <v>49</v>
      </c>
      <c r="B91" s="1" t="s">
        <v>31</v>
      </c>
      <c r="C91" s="1" t="s">
        <v>34</v>
      </c>
      <c r="D91" s="1" t="s">
        <v>45</v>
      </c>
      <c r="E91" s="1">
        <v>19</v>
      </c>
      <c r="F91" s="1">
        <v>66139</v>
      </c>
      <c r="G91" s="1">
        <v>5</v>
      </c>
      <c r="H91" s="2">
        <v>46088</v>
      </c>
      <c r="I91" s="2">
        <v>46095</v>
      </c>
      <c r="J91" s="1" t="s">
        <v>24</v>
      </c>
      <c r="K91" s="1">
        <v>1090</v>
      </c>
      <c r="L91" s="1">
        <f t="shared" si="0"/>
        <v>1193808.95</v>
      </c>
      <c r="M91" s="1" t="str">
        <f t="shared" si="1"/>
        <v>EXCELLENT</v>
      </c>
    </row>
    <row r="92" spans="1:13" x14ac:dyDescent="0.3">
      <c r="A92" s="1" t="s">
        <v>55</v>
      </c>
      <c r="B92" s="1" t="s">
        <v>17</v>
      </c>
      <c r="C92" s="1" t="s">
        <v>13</v>
      </c>
      <c r="D92" s="1" t="s">
        <v>53</v>
      </c>
      <c r="E92" s="1">
        <v>2</v>
      </c>
      <c r="F92" s="1">
        <v>305</v>
      </c>
      <c r="G92" s="1">
        <v>0</v>
      </c>
      <c r="H92" s="2">
        <v>46136</v>
      </c>
      <c r="I92" s="2">
        <v>46144</v>
      </c>
      <c r="J92" s="1" t="s">
        <v>15</v>
      </c>
      <c r="K92" s="1">
        <v>1091</v>
      </c>
      <c r="L92" s="1">
        <f t="shared" si="0"/>
        <v>610</v>
      </c>
      <c r="M92" s="1" t="str">
        <f t="shared" si="1"/>
        <v>AVERAGE</v>
      </c>
    </row>
    <row r="93" spans="1:13" x14ac:dyDescent="0.3">
      <c r="A93" s="1" t="s">
        <v>21</v>
      </c>
      <c r="B93" s="1" t="s">
        <v>22</v>
      </c>
      <c r="C93" s="1" t="s">
        <v>34</v>
      </c>
      <c r="D93" s="1" t="s">
        <v>41</v>
      </c>
      <c r="E93" s="1">
        <v>9</v>
      </c>
      <c r="F93" s="1">
        <v>23438</v>
      </c>
      <c r="G93" s="1">
        <v>2</v>
      </c>
      <c r="H93" s="2">
        <v>46049</v>
      </c>
      <c r="I93" s="2">
        <v>46055</v>
      </c>
      <c r="J93" s="1" t="s">
        <v>29</v>
      </c>
      <c r="K93" s="1">
        <v>1092</v>
      </c>
      <c r="L93" s="1">
        <f t="shared" si="0"/>
        <v>206723.16</v>
      </c>
      <c r="M93" s="1" t="str">
        <f t="shared" si="1"/>
        <v>EXCELLENT</v>
      </c>
    </row>
    <row r="94" spans="1:13" x14ac:dyDescent="0.3">
      <c r="A94" s="1" t="s">
        <v>47</v>
      </c>
      <c r="B94" s="1" t="s">
        <v>25</v>
      </c>
      <c r="C94" s="1" t="s">
        <v>18</v>
      </c>
      <c r="D94" s="1" t="s">
        <v>23</v>
      </c>
      <c r="E94" s="1">
        <v>6</v>
      </c>
      <c r="F94" s="1">
        <v>8224</v>
      </c>
      <c r="G94" s="1">
        <v>15</v>
      </c>
      <c r="H94" s="2">
        <v>46175</v>
      </c>
      <c r="I94" s="2">
        <v>46185</v>
      </c>
      <c r="J94" s="1" t="s">
        <v>51</v>
      </c>
      <c r="K94" s="1">
        <v>1093</v>
      </c>
      <c r="L94" s="1">
        <f t="shared" si="0"/>
        <v>41942.400000000001</v>
      </c>
      <c r="M94" s="1" t="str">
        <f t="shared" si="1"/>
        <v>GOOD</v>
      </c>
    </row>
    <row r="95" spans="1:13" x14ac:dyDescent="0.3">
      <c r="A95" s="1" t="s">
        <v>47</v>
      </c>
      <c r="B95" s="1" t="s">
        <v>43</v>
      </c>
      <c r="C95" s="1" t="s">
        <v>34</v>
      </c>
      <c r="D95" s="1" t="s">
        <v>61</v>
      </c>
      <c r="E95" s="1">
        <v>4</v>
      </c>
      <c r="F95" s="1">
        <v>7073</v>
      </c>
      <c r="G95" s="1">
        <v>0</v>
      </c>
      <c r="H95" s="2">
        <v>46101</v>
      </c>
      <c r="I95" s="2">
        <v>46105</v>
      </c>
      <c r="J95" s="1" t="s">
        <v>29</v>
      </c>
      <c r="K95" s="1">
        <v>1094</v>
      </c>
      <c r="L95" s="1">
        <f t="shared" si="0"/>
        <v>28292</v>
      </c>
      <c r="M95" s="1" t="str">
        <f t="shared" si="1"/>
        <v>GOOD</v>
      </c>
    </row>
    <row r="96" spans="1:13" x14ac:dyDescent="0.3">
      <c r="A96" s="1" t="s">
        <v>47</v>
      </c>
      <c r="B96" s="1" t="s">
        <v>25</v>
      </c>
      <c r="C96" s="1" t="s">
        <v>34</v>
      </c>
      <c r="D96" s="1" t="s">
        <v>41</v>
      </c>
      <c r="E96" s="1">
        <v>18</v>
      </c>
      <c r="F96" s="1">
        <v>587</v>
      </c>
      <c r="G96" s="1">
        <v>2</v>
      </c>
      <c r="H96" s="2">
        <v>46167</v>
      </c>
      <c r="I96" s="2">
        <v>46171</v>
      </c>
      <c r="J96" s="1" t="s">
        <v>20</v>
      </c>
      <c r="K96" s="1">
        <v>1095</v>
      </c>
      <c r="L96" s="1">
        <f t="shared" si="0"/>
        <v>10354.68</v>
      </c>
      <c r="M96" s="1" t="str">
        <f t="shared" si="1"/>
        <v>AVERAGE</v>
      </c>
    </row>
    <row r="97" spans="1:13" x14ac:dyDescent="0.3">
      <c r="A97" s="1" t="s">
        <v>49</v>
      </c>
      <c r="B97" s="1" t="s">
        <v>17</v>
      </c>
      <c r="C97" s="1" t="s">
        <v>18</v>
      </c>
      <c r="D97" s="1" t="s">
        <v>23</v>
      </c>
      <c r="E97" s="1">
        <v>15</v>
      </c>
      <c r="F97" s="1">
        <v>14724</v>
      </c>
      <c r="G97" s="1">
        <v>15</v>
      </c>
      <c r="H97" s="2">
        <v>46054</v>
      </c>
      <c r="I97" s="2">
        <v>46061</v>
      </c>
      <c r="J97" s="1" t="s">
        <v>20</v>
      </c>
      <c r="K97" s="1">
        <v>1096</v>
      </c>
      <c r="L97" s="1">
        <f t="shared" si="0"/>
        <v>187731</v>
      </c>
      <c r="M97" s="1" t="str">
        <f t="shared" si="1"/>
        <v>EXCELLENT</v>
      </c>
    </row>
    <row r="98" spans="1:13" x14ac:dyDescent="0.3">
      <c r="A98" s="1" t="s">
        <v>52</v>
      </c>
      <c r="B98" s="1" t="s">
        <v>22</v>
      </c>
      <c r="C98" s="1" t="s">
        <v>34</v>
      </c>
      <c r="D98" s="1" t="s">
        <v>61</v>
      </c>
      <c r="E98" s="1">
        <v>10</v>
      </c>
      <c r="F98" s="1">
        <v>28980</v>
      </c>
      <c r="G98" s="1">
        <v>10</v>
      </c>
      <c r="H98" s="2">
        <v>46089</v>
      </c>
      <c r="I98" s="2">
        <v>46094</v>
      </c>
      <c r="J98" s="1" t="s">
        <v>24</v>
      </c>
      <c r="K98" s="1">
        <v>1097</v>
      </c>
      <c r="L98" s="1">
        <f t="shared" si="0"/>
        <v>260820</v>
      </c>
      <c r="M98" s="1" t="str">
        <f t="shared" si="1"/>
        <v>EXCELLENT</v>
      </c>
    </row>
    <row r="99" spans="1:13" x14ac:dyDescent="0.3">
      <c r="A99" s="1" t="s">
        <v>26</v>
      </c>
      <c r="B99" s="1" t="s">
        <v>25</v>
      </c>
      <c r="C99" s="1" t="s">
        <v>13</v>
      </c>
      <c r="D99" s="1" t="s">
        <v>53</v>
      </c>
      <c r="E99" s="1">
        <v>17</v>
      </c>
      <c r="F99" s="1">
        <v>345</v>
      </c>
      <c r="G99" s="1">
        <v>2</v>
      </c>
      <c r="H99" s="2">
        <v>46126</v>
      </c>
      <c r="I99" s="2">
        <v>46127</v>
      </c>
      <c r="J99" s="1" t="s">
        <v>51</v>
      </c>
      <c r="K99" s="1">
        <v>1098</v>
      </c>
      <c r="L99" s="1">
        <f t="shared" si="0"/>
        <v>5747.7</v>
      </c>
      <c r="M99" s="1" t="str">
        <f t="shared" si="1"/>
        <v>AVERAGE</v>
      </c>
    </row>
    <row r="100" spans="1:13" x14ac:dyDescent="0.3">
      <c r="A100" s="1" t="s">
        <v>26</v>
      </c>
      <c r="B100" s="1" t="s">
        <v>31</v>
      </c>
      <c r="C100" s="1" t="s">
        <v>18</v>
      </c>
      <c r="D100" s="1" t="s">
        <v>19</v>
      </c>
      <c r="E100" s="1">
        <v>1</v>
      </c>
      <c r="F100" s="1">
        <v>5165</v>
      </c>
      <c r="G100" s="1">
        <v>2</v>
      </c>
      <c r="H100" s="2">
        <v>46058</v>
      </c>
      <c r="I100" s="2">
        <v>46060</v>
      </c>
      <c r="J100" s="1" t="s">
        <v>15</v>
      </c>
      <c r="K100" s="1">
        <v>1099</v>
      </c>
      <c r="L100" s="1">
        <f t="shared" si="0"/>
        <v>5061.7</v>
      </c>
      <c r="M100" s="1" t="str">
        <f t="shared" si="1"/>
        <v>AVERAGE</v>
      </c>
    </row>
    <row r="101" spans="1:13" x14ac:dyDescent="0.3">
      <c r="A101" s="1" t="s">
        <v>11</v>
      </c>
      <c r="B101" s="1" t="s">
        <v>31</v>
      </c>
      <c r="C101" s="1" t="s">
        <v>13</v>
      </c>
      <c r="D101" s="1" t="s">
        <v>14</v>
      </c>
      <c r="E101" s="1">
        <v>11</v>
      </c>
      <c r="F101" s="1">
        <v>296</v>
      </c>
      <c r="G101" s="1">
        <v>10</v>
      </c>
      <c r="H101" s="2">
        <v>46027</v>
      </c>
      <c r="I101" s="2">
        <v>46031</v>
      </c>
      <c r="J101" s="1" t="s">
        <v>51</v>
      </c>
      <c r="K101" s="1">
        <v>1100</v>
      </c>
      <c r="L101" s="1">
        <f t="shared" si="0"/>
        <v>2930.4</v>
      </c>
      <c r="M101" s="1" t="str">
        <f t="shared" si="1"/>
        <v>AVERAGE</v>
      </c>
    </row>
    <row r="102" spans="1:13" x14ac:dyDescent="0.3">
      <c r="A102" s="1" t="s">
        <v>27</v>
      </c>
      <c r="B102" s="1" t="s">
        <v>22</v>
      </c>
      <c r="C102" s="1" t="s">
        <v>34</v>
      </c>
      <c r="D102" s="1" t="s">
        <v>61</v>
      </c>
      <c r="E102" s="1">
        <v>9</v>
      </c>
      <c r="F102" s="1">
        <v>37361</v>
      </c>
      <c r="G102" s="1">
        <v>10</v>
      </c>
      <c r="H102" s="2">
        <v>46141</v>
      </c>
      <c r="I102" s="2">
        <v>46142</v>
      </c>
      <c r="J102" s="1" t="s">
        <v>24</v>
      </c>
      <c r="K102" s="1">
        <v>1101</v>
      </c>
      <c r="L102" s="1">
        <f t="shared" si="0"/>
        <v>302624.10000000003</v>
      </c>
      <c r="M102" s="1" t="str">
        <f t="shared" si="1"/>
        <v>EXCELLENT</v>
      </c>
    </row>
    <row r="103" spans="1:13" x14ac:dyDescent="0.3">
      <c r="A103" s="1" t="s">
        <v>54</v>
      </c>
      <c r="B103" s="1" t="s">
        <v>25</v>
      </c>
      <c r="C103" s="1" t="s">
        <v>34</v>
      </c>
      <c r="D103" s="1" t="s">
        <v>45</v>
      </c>
      <c r="E103" s="1">
        <v>12</v>
      </c>
      <c r="F103" s="1">
        <v>63402</v>
      </c>
      <c r="G103" s="1">
        <v>7</v>
      </c>
      <c r="H103" s="2">
        <v>46106</v>
      </c>
      <c r="I103" s="2">
        <v>46113</v>
      </c>
      <c r="J103" s="1" t="s">
        <v>51</v>
      </c>
      <c r="K103" s="1">
        <v>1102</v>
      </c>
      <c r="L103" s="1">
        <f t="shared" si="0"/>
        <v>707566.32</v>
      </c>
      <c r="M103" s="1" t="str">
        <f t="shared" si="1"/>
        <v>EXCELLENT</v>
      </c>
    </row>
    <row r="104" spans="1:13" x14ac:dyDescent="0.3">
      <c r="A104" s="1" t="s">
        <v>16</v>
      </c>
      <c r="B104" s="1" t="s">
        <v>12</v>
      </c>
      <c r="C104" s="1" t="s">
        <v>18</v>
      </c>
      <c r="D104" s="1" t="s">
        <v>23</v>
      </c>
      <c r="E104" s="1">
        <v>7</v>
      </c>
      <c r="F104" s="1">
        <v>11925</v>
      </c>
      <c r="G104" s="1">
        <v>5</v>
      </c>
      <c r="H104" s="2">
        <v>46040</v>
      </c>
      <c r="I104" s="2">
        <v>46041</v>
      </c>
      <c r="J104" s="1" t="s">
        <v>29</v>
      </c>
      <c r="K104" s="1">
        <v>1103</v>
      </c>
      <c r="L104" s="1">
        <f t="shared" si="0"/>
        <v>79301.25</v>
      </c>
      <c r="M104" s="1" t="str">
        <f t="shared" si="1"/>
        <v>VERY GOOD</v>
      </c>
    </row>
    <row r="105" spans="1:13" x14ac:dyDescent="0.3">
      <c r="A105" s="1" t="s">
        <v>16</v>
      </c>
      <c r="B105" s="1" t="s">
        <v>43</v>
      </c>
      <c r="C105" s="1" t="s">
        <v>18</v>
      </c>
      <c r="D105" s="1" t="s">
        <v>19</v>
      </c>
      <c r="E105" s="1">
        <v>10</v>
      </c>
      <c r="F105" s="1">
        <v>12848</v>
      </c>
      <c r="G105" s="1">
        <v>15</v>
      </c>
      <c r="H105" s="2">
        <v>46060</v>
      </c>
      <c r="I105" s="2">
        <v>46064</v>
      </c>
      <c r="J105" s="1" t="s">
        <v>29</v>
      </c>
      <c r="K105" s="1">
        <v>1104</v>
      </c>
      <c r="L105" s="1">
        <f t="shared" si="0"/>
        <v>109208</v>
      </c>
      <c r="M105" s="1" t="str">
        <f t="shared" si="1"/>
        <v>EXCELLENT</v>
      </c>
    </row>
    <row r="106" spans="1:13" x14ac:dyDescent="0.3">
      <c r="A106" s="1" t="s">
        <v>59</v>
      </c>
      <c r="B106" s="1" t="s">
        <v>25</v>
      </c>
      <c r="C106" s="1" t="s">
        <v>13</v>
      </c>
      <c r="D106" s="1" t="s">
        <v>50</v>
      </c>
      <c r="E106" s="1">
        <v>2</v>
      </c>
      <c r="F106" s="1">
        <v>493</v>
      </c>
      <c r="G106" s="1">
        <v>12</v>
      </c>
      <c r="H106" s="2">
        <v>46057</v>
      </c>
      <c r="I106" s="2">
        <v>46066</v>
      </c>
      <c r="J106" s="1" t="s">
        <v>51</v>
      </c>
      <c r="K106" s="1">
        <v>1105</v>
      </c>
      <c r="L106" s="1">
        <f t="shared" si="0"/>
        <v>867.68</v>
      </c>
      <c r="M106" s="1" t="str">
        <f t="shared" si="1"/>
        <v>AVERAGE</v>
      </c>
    </row>
    <row r="107" spans="1:13" x14ac:dyDescent="0.3">
      <c r="A107" s="1" t="s">
        <v>27</v>
      </c>
      <c r="B107" s="1" t="s">
        <v>43</v>
      </c>
      <c r="C107" s="1" t="s">
        <v>18</v>
      </c>
      <c r="D107" s="1" t="s">
        <v>23</v>
      </c>
      <c r="E107" s="1">
        <v>20</v>
      </c>
      <c r="F107" s="1">
        <v>2141</v>
      </c>
      <c r="G107" s="1">
        <v>2</v>
      </c>
      <c r="H107" s="2">
        <v>46091</v>
      </c>
      <c r="I107" s="2">
        <v>46097</v>
      </c>
      <c r="J107" s="1" t="s">
        <v>29</v>
      </c>
      <c r="K107" s="1">
        <v>1106</v>
      </c>
      <c r="L107" s="1">
        <f t="shared" si="0"/>
        <v>41963.6</v>
      </c>
      <c r="M107" s="1" t="str">
        <f t="shared" si="1"/>
        <v>GOOD</v>
      </c>
    </row>
    <row r="108" spans="1:13" x14ac:dyDescent="0.3">
      <c r="A108" s="1" t="s">
        <v>52</v>
      </c>
      <c r="B108" s="1" t="s">
        <v>17</v>
      </c>
      <c r="C108" s="1" t="s">
        <v>34</v>
      </c>
      <c r="D108" s="1" t="s">
        <v>60</v>
      </c>
      <c r="E108" s="1">
        <v>4</v>
      </c>
      <c r="F108" s="1">
        <v>14291</v>
      </c>
      <c r="G108" s="1">
        <v>2</v>
      </c>
      <c r="H108" s="2">
        <v>46076</v>
      </c>
      <c r="I108" s="2">
        <v>46078</v>
      </c>
      <c r="J108" s="1" t="s">
        <v>15</v>
      </c>
      <c r="K108" s="1">
        <v>1107</v>
      </c>
      <c r="L108" s="1">
        <f t="shared" si="0"/>
        <v>56020.72</v>
      </c>
      <c r="M108" s="1" t="str">
        <f t="shared" si="1"/>
        <v>VERY GOOD</v>
      </c>
    </row>
    <row r="109" spans="1:13" x14ac:dyDescent="0.3">
      <c r="A109" s="1" t="s">
        <v>42</v>
      </c>
      <c r="B109" s="1" t="s">
        <v>33</v>
      </c>
      <c r="C109" s="1" t="s">
        <v>18</v>
      </c>
      <c r="D109" s="1" t="s">
        <v>28</v>
      </c>
      <c r="E109" s="1">
        <v>15</v>
      </c>
      <c r="F109" s="1">
        <v>13843</v>
      </c>
      <c r="G109" s="1">
        <v>7</v>
      </c>
      <c r="H109" s="2">
        <v>46119</v>
      </c>
      <c r="I109" s="2">
        <v>46127</v>
      </c>
      <c r="J109" s="1" t="s">
        <v>20</v>
      </c>
      <c r="K109" s="1">
        <v>1108</v>
      </c>
      <c r="L109" s="1">
        <f t="shared" si="0"/>
        <v>193109.84999999998</v>
      </c>
      <c r="M109" s="1" t="str">
        <f t="shared" si="1"/>
        <v>EXCELLENT</v>
      </c>
    </row>
    <row r="110" spans="1:13" x14ac:dyDescent="0.3">
      <c r="A110" s="1" t="s">
        <v>21</v>
      </c>
      <c r="B110" s="1" t="s">
        <v>31</v>
      </c>
      <c r="C110" s="1" t="s">
        <v>18</v>
      </c>
      <c r="D110" s="1" t="s">
        <v>44</v>
      </c>
      <c r="E110" s="1">
        <v>19</v>
      </c>
      <c r="F110" s="1">
        <v>6512</v>
      </c>
      <c r="G110" s="1">
        <v>10</v>
      </c>
      <c r="H110" s="2">
        <v>46033</v>
      </c>
      <c r="I110" s="2">
        <v>46037</v>
      </c>
      <c r="J110" s="1" t="s">
        <v>20</v>
      </c>
      <c r="K110" s="1">
        <v>1109</v>
      </c>
      <c r="L110" s="1">
        <f t="shared" si="0"/>
        <v>111355.2</v>
      </c>
      <c r="M110" s="1" t="str">
        <f t="shared" si="1"/>
        <v>EXCELLENT</v>
      </c>
    </row>
    <row r="111" spans="1:13" x14ac:dyDescent="0.3">
      <c r="A111" s="1" t="s">
        <v>49</v>
      </c>
      <c r="B111" s="1" t="s">
        <v>38</v>
      </c>
      <c r="C111" s="1" t="s">
        <v>18</v>
      </c>
      <c r="D111" s="1" t="s">
        <v>23</v>
      </c>
      <c r="E111" s="1">
        <v>14</v>
      </c>
      <c r="F111" s="1">
        <v>6793</v>
      </c>
      <c r="G111" s="1">
        <v>7</v>
      </c>
      <c r="H111" s="2">
        <v>46077</v>
      </c>
      <c r="I111" s="2">
        <v>46082</v>
      </c>
      <c r="J111" s="1" t="s">
        <v>29</v>
      </c>
      <c r="K111" s="1">
        <v>1110</v>
      </c>
      <c r="L111" s="1">
        <f t="shared" si="0"/>
        <v>88444.86</v>
      </c>
      <c r="M111" s="1" t="str">
        <f t="shared" si="1"/>
        <v>VERY GOOD</v>
      </c>
    </row>
    <row r="112" spans="1:13" x14ac:dyDescent="0.3">
      <c r="A112" s="1" t="s">
        <v>47</v>
      </c>
      <c r="B112" s="1" t="s">
        <v>17</v>
      </c>
      <c r="C112" s="1" t="s">
        <v>34</v>
      </c>
      <c r="D112" s="1" t="s">
        <v>35</v>
      </c>
      <c r="E112" s="1">
        <v>5</v>
      </c>
      <c r="F112" s="1">
        <v>49945</v>
      </c>
      <c r="G112" s="1">
        <v>12</v>
      </c>
      <c r="H112" s="2">
        <v>46133</v>
      </c>
      <c r="I112" s="2">
        <v>46141</v>
      </c>
      <c r="J112" s="1" t="s">
        <v>29</v>
      </c>
      <c r="K112" s="1">
        <v>1111</v>
      </c>
      <c r="L112" s="1">
        <f t="shared" si="0"/>
        <v>219758</v>
      </c>
      <c r="M112" s="1" t="str">
        <f t="shared" si="1"/>
        <v>EXCELLENT</v>
      </c>
    </row>
    <row r="113" spans="1:13" x14ac:dyDescent="0.3">
      <c r="A113" s="1" t="s">
        <v>21</v>
      </c>
      <c r="B113" s="1" t="s">
        <v>43</v>
      </c>
      <c r="C113" s="1" t="s">
        <v>18</v>
      </c>
      <c r="D113" s="1" t="s">
        <v>44</v>
      </c>
      <c r="E113" s="1">
        <v>7</v>
      </c>
      <c r="F113" s="1">
        <v>1959</v>
      </c>
      <c r="G113" s="1">
        <v>15</v>
      </c>
      <c r="H113" s="2">
        <v>46090</v>
      </c>
      <c r="I113" s="2">
        <v>46100</v>
      </c>
      <c r="J113" s="1" t="s">
        <v>15</v>
      </c>
      <c r="K113" s="1">
        <v>1112</v>
      </c>
      <c r="L113" s="1">
        <f t="shared" si="0"/>
        <v>11656.05</v>
      </c>
      <c r="M113" s="1" t="str">
        <f t="shared" si="1"/>
        <v>AVERAGE</v>
      </c>
    </row>
    <row r="114" spans="1:13" x14ac:dyDescent="0.3">
      <c r="A114" s="1" t="s">
        <v>26</v>
      </c>
      <c r="B114" s="1" t="s">
        <v>43</v>
      </c>
      <c r="C114" s="1" t="s">
        <v>18</v>
      </c>
      <c r="D114" s="1" t="s">
        <v>56</v>
      </c>
      <c r="E114" s="1">
        <v>13</v>
      </c>
      <c r="F114" s="1">
        <v>6719</v>
      </c>
      <c r="G114" s="1">
        <v>15</v>
      </c>
      <c r="H114" s="2">
        <v>46076</v>
      </c>
      <c r="I114" s="2">
        <v>46081</v>
      </c>
      <c r="J114" s="1" t="s">
        <v>24</v>
      </c>
      <c r="K114" s="1">
        <v>1113</v>
      </c>
      <c r="L114" s="1">
        <f t="shared" si="0"/>
        <v>74244.95</v>
      </c>
      <c r="M114" s="1" t="str">
        <f t="shared" si="1"/>
        <v>VERY GOOD</v>
      </c>
    </row>
    <row r="115" spans="1:13" x14ac:dyDescent="0.3">
      <c r="A115" s="1" t="s">
        <v>16</v>
      </c>
      <c r="B115" s="1" t="s">
        <v>25</v>
      </c>
      <c r="C115" s="1" t="s">
        <v>13</v>
      </c>
      <c r="D115" s="1" t="s">
        <v>50</v>
      </c>
      <c r="E115" s="1">
        <v>13</v>
      </c>
      <c r="F115" s="1">
        <v>32</v>
      </c>
      <c r="G115" s="1">
        <v>15</v>
      </c>
      <c r="H115" s="2">
        <v>46066</v>
      </c>
      <c r="I115" s="2">
        <v>46069</v>
      </c>
      <c r="J115" s="1" t="s">
        <v>15</v>
      </c>
      <c r="K115" s="1">
        <v>1114</v>
      </c>
      <c r="L115" s="1">
        <f t="shared" si="0"/>
        <v>353.59999999999997</v>
      </c>
      <c r="M115" s="1" t="str">
        <f t="shared" si="1"/>
        <v>AVERAGE</v>
      </c>
    </row>
    <row r="116" spans="1:13" x14ac:dyDescent="0.3">
      <c r="A116" s="1" t="s">
        <v>59</v>
      </c>
      <c r="B116" s="1" t="s">
        <v>43</v>
      </c>
      <c r="C116" s="1" t="s">
        <v>13</v>
      </c>
      <c r="D116" s="1" t="s">
        <v>50</v>
      </c>
      <c r="E116" s="1">
        <v>9</v>
      </c>
      <c r="F116" s="1">
        <v>303</v>
      </c>
      <c r="G116" s="1">
        <v>10</v>
      </c>
      <c r="H116" s="2">
        <v>46149</v>
      </c>
      <c r="I116" s="2">
        <v>46157</v>
      </c>
      <c r="J116" s="1" t="s">
        <v>29</v>
      </c>
      <c r="K116" s="1">
        <v>1115</v>
      </c>
      <c r="L116" s="1">
        <f t="shared" si="0"/>
        <v>2454.3000000000002</v>
      </c>
      <c r="M116" s="1" t="str">
        <f t="shared" si="1"/>
        <v>AVERAGE</v>
      </c>
    </row>
    <row r="117" spans="1:13" x14ac:dyDescent="0.3">
      <c r="A117" s="1" t="s">
        <v>16</v>
      </c>
      <c r="B117" s="1" t="s">
        <v>25</v>
      </c>
      <c r="C117" s="1" t="s">
        <v>18</v>
      </c>
      <c r="D117" s="1" t="s">
        <v>56</v>
      </c>
      <c r="E117" s="1">
        <v>2</v>
      </c>
      <c r="F117" s="1">
        <v>12692</v>
      </c>
      <c r="G117" s="1">
        <v>15</v>
      </c>
      <c r="H117" s="2">
        <v>46049</v>
      </c>
      <c r="I117" s="2">
        <v>46051</v>
      </c>
      <c r="J117" s="1" t="s">
        <v>15</v>
      </c>
      <c r="K117" s="1">
        <v>1116</v>
      </c>
      <c r="L117" s="1">
        <f t="shared" si="0"/>
        <v>21576.399999999998</v>
      </c>
      <c r="M117" s="1" t="str">
        <f t="shared" si="1"/>
        <v>GOOD</v>
      </c>
    </row>
    <row r="118" spans="1:13" x14ac:dyDescent="0.3">
      <c r="A118" s="1" t="s">
        <v>55</v>
      </c>
      <c r="B118" s="1" t="s">
        <v>43</v>
      </c>
      <c r="C118" s="1" t="s">
        <v>34</v>
      </c>
      <c r="D118" s="1" t="s">
        <v>39</v>
      </c>
      <c r="E118" s="1">
        <v>16</v>
      </c>
      <c r="F118" s="1">
        <v>33162</v>
      </c>
      <c r="G118" s="1">
        <v>7</v>
      </c>
      <c r="H118" s="2">
        <v>46147</v>
      </c>
      <c r="I118" s="2">
        <v>46155</v>
      </c>
      <c r="J118" s="1" t="s">
        <v>29</v>
      </c>
      <c r="K118" s="1">
        <v>1117</v>
      </c>
      <c r="L118" s="1">
        <f t="shared" si="0"/>
        <v>493450.55999999994</v>
      </c>
      <c r="M118" s="1" t="str">
        <f t="shared" si="1"/>
        <v>EXCELLENT</v>
      </c>
    </row>
    <row r="119" spans="1:13" x14ac:dyDescent="0.3">
      <c r="A119" s="1" t="s">
        <v>21</v>
      </c>
      <c r="B119" s="1" t="s">
        <v>22</v>
      </c>
      <c r="C119" s="1" t="s">
        <v>18</v>
      </c>
      <c r="D119" s="1" t="s">
        <v>23</v>
      </c>
      <c r="E119" s="1">
        <v>18</v>
      </c>
      <c r="F119" s="1">
        <v>9118</v>
      </c>
      <c r="G119" s="1">
        <v>5</v>
      </c>
      <c r="H119" s="2">
        <v>46178</v>
      </c>
      <c r="I119" s="2">
        <v>46187</v>
      </c>
      <c r="J119" s="1" t="s">
        <v>29</v>
      </c>
      <c r="K119" s="1">
        <v>1118</v>
      </c>
      <c r="L119" s="1">
        <f t="shared" si="0"/>
        <v>155917.79999999999</v>
      </c>
      <c r="M119" s="1" t="str">
        <f t="shared" si="1"/>
        <v>EXCELLENT</v>
      </c>
    </row>
    <row r="120" spans="1:13" x14ac:dyDescent="0.3">
      <c r="A120" s="1" t="s">
        <v>30</v>
      </c>
      <c r="B120" s="1" t="s">
        <v>43</v>
      </c>
      <c r="C120" s="1" t="s">
        <v>18</v>
      </c>
      <c r="D120" s="1" t="s">
        <v>28</v>
      </c>
      <c r="E120" s="1">
        <v>2</v>
      </c>
      <c r="F120" s="1">
        <v>3706</v>
      </c>
      <c r="G120" s="1">
        <v>5</v>
      </c>
      <c r="H120" s="2">
        <v>46184</v>
      </c>
      <c r="I120" s="2">
        <v>46192</v>
      </c>
      <c r="J120" s="1" t="s">
        <v>51</v>
      </c>
      <c r="K120" s="1">
        <v>1119</v>
      </c>
      <c r="L120" s="1">
        <f t="shared" si="0"/>
        <v>7041.4</v>
      </c>
      <c r="M120" s="1" t="str">
        <f t="shared" si="1"/>
        <v>AVERAGE</v>
      </c>
    </row>
    <row r="121" spans="1:13" x14ac:dyDescent="0.3">
      <c r="A121" s="1" t="s">
        <v>32</v>
      </c>
      <c r="B121" s="1" t="s">
        <v>38</v>
      </c>
      <c r="C121" s="1" t="s">
        <v>13</v>
      </c>
      <c r="D121" s="1" t="s">
        <v>36</v>
      </c>
      <c r="E121" s="1">
        <v>10</v>
      </c>
      <c r="F121" s="1">
        <v>438</v>
      </c>
      <c r="G121" s="1">
        <v>10</v>
      </c>
      <c r="H121" s="2">
        <v>46061</v>
      </c>
      <c r="I121" s="2">
        <v>46065</v>
      </c>
      <c r="J121" s="1" t="s">
        <v>51</v>
      </c>
      <c r="K121" s="1">
        <v>1120</v>
      </c>
      <c r="L121" s="1">
        <f t="shared" si="0"/>
        <v>3942</v>
      </c>
      <c r="M121" s="1" t="str">
        <f t="shared" si="1"/>
        <v>AVERAGE</v>
      </c>
    </row>
    <row r="122" spans="1:13" x14ac:dyDescent="0.3">
      <c r="A122" s="1" t="s">
        <v>29</v>
      </c>
      <c r="B122" s="1" t="s">
        <v>12</v>
      </c>
      <c r="C122" s="1" t="s">
        <v>34</v>
      </c>
      <c r="D122" s="1" t="s">
        <v>39</v>
      </c>
      <c r="E122" s="1">
        <v>4</v>
      </c>
      <c r="F122" s="1">
        <v>55809</v>
      </c>
      <c r="G122" s="1">
        <v>2</v>
      </c>
      <c r="H122" s="2">
        <v>46103</v>
      </c>
      <c r="I122" s="2">
        <v>46108</v>
      </c>
      <c r="J122" s="1" t="s">
        <v>29</v>
      </c>
      <c r="K122" s="1">
        <v>1121</v>
      </c>
      <c r="L122" s="1">
        <f t="shared" si="0"/>
        <v>218771.28</v>
      </c>
      <c r="M122" s="1" t="str">
        <f t="shared" si="1"/>
        <v>EXCELLENT</v>
      </c>
    </row>
    <row r="123" spans="1:13" x14ac:dyDescent="0.3">
      <c r="A123" s="1" t="s">
        <v>40</v>
      </c>
      <c r="B123" s="1" t="s">
        <v>22</v>
      </c>
      <c r="C123" s="1" t="s">
        <v>34</v>
      </c>
      <c r="D123" s="1" t="s">
        <v>39</v>
      </c>
      <c r="E123" s="1">
        <v>14</v>
      </c>
      <c r="F123" s="1">
        <v>49990</v>
      </c>
      <c r="G123" s="1">
        <v>10</v>
      </c>
      <c r="H123" s="2">
        <v>46132</v>
      </c>
      <c r="I123" s="2">
        <v>46135</v>
      </c>
      <c r="J123" s="1" t="s">
        <v>29</v>
      </c>
      <c r="K123" s="1">
        <v>1122</v>
      </c>
      <c r="L123" s="1">
        <f t="shared" si="0"/>
        <v>629874</v>
      </c>
      <c r="M123" s="1" t="str">
        <f t="shared" si="1"/>
        <v>EXCELLENT</v>
      </c>
    </row>
    <row r="124" spans="1:13" x14ac:dyDescent="0.3">
      <c r="A124" s="1" t="s">
        <v>32</v>
      </c>
      <c r="B124" s="1" t="s">
        <v>31</v>
      </c>
      <c r="C124" s="1" t="s">
        <v>34</v>
      </c>
      <c r="D124" s="1" t="s">
        <v>45</v>
      </c>
      <c r="E124" s="1">
        <v>16</v>
      </c>
      <c r="F124" s="1">
        <v>1332</v>
      </c>
      <c r="G124" s="1">
        <v>7</v>
      </c>
      <c r="H124" s="2">
        <v>46107</v>
      </c>
      <c r="I124" s="2">
        <v>46109</v>
      </c>
      <c r="J124" s="1" t="s">
        <v>29</v>
      </c>
      <c r="K124" s="1">
        <v>1123</v>
      </c>
      <c r="L124" s="1">
        <f t="shared" si="0"/>
        <v>19820.16</v>
      </c>
      <c r="M124" s="1" t="str">
        <f t="shared" si="1"/>
        <v>AVERAGE</v>
      </c>
    </row>
    <row r="125" spans="1:13" x14ac:dyDescent="0.3">
      <c r="A125" s="1" t="s">
        <v>27</v>
      </c>
      <c r="B125" s="1" t="s">
        <v>38</v>
      </c>
      <c r="C125" s="1" t="s">
        <v>18</v>
      </c>
      <c r="D125" s="1" t="s">
        <v>56</v>
      </c>
      <c r="E125" s="1">
        <v>4</v>
      </c>
      <c r="F125" s="1">
        <v>14195</v>
      </c>
      <c r="G125" s="1">
        <v>15</v>
      </c>
      <c r="H125" s="2">
        <v>46182</v>
      </c>
      <c r="I125" s="2">
        <v>46189</v>
      </c>
      <c r="J125" s="1" t="s">
        <v>51</v>
      </c>
      <c r="K125" s="1">
        <v>1124</v>
      </c>
      <c r="L125" s="1">
        <f t="shared" si="0"/>
        <v>48263</v>
      </c>
      <c r="M125" s="1" t="str">
        <f t="shared" si="1"/>
        <v>GOOD</v>
      </c>
    </row>
    <row r="126" spans="1:13" x14ac:dyDescent="0.3">
      <c r="A126" s="1" t="s">
        <v>49</v>
      </c>
      <c r="B126" s="1" t="s">
        <v>33</v>
      </c>
      <c r="C126" s="1" t="s">
        <v>13</v>
      </c>
      <c r="D126" s="1" t="s">
        <v>14</v>
      </c>
      <c r="E126" s="1">
        <v>6</v>
      </c>
      <c r="F126" s="1">
        <v>30</v>
      </c>
      <c r="G126" s="1">
        <v>2</v>
      </c>
      <c r="H126" s="2">
        <v>46133</v>
      </c>
      <c r="I126" s="2">
        <v>46138</v>
      </c>
      <c r="J126" s="1" t="s">
        <v>24</v>
      </c>
      <c r="K126" s="1">
        <v>1125</v>
      </c>
      <c r="L126" s="1">
        <f t="shared" si="0"/>
        <v>176.4</v>
      </c>
      <c r="M126" s="1" t="str">
        <f t="shared" si="1"/>
        <v>AVERAGE</v>
      </c>
    </row>
    <row r="127" spans="1:13" x14ac:dyDescent="0.3">
      <c r="A127" s="1" t="s">
        <v>46</v>
      </c>
      <c r="B127" s="1" t="s">
        <v>22</v>
      </c>
      <c r="C127" s="1" t="s">
        <v>34</v>
      </c>
      <c r="D127" s="1" t="s">
        <v>39</v>
      </c>
      <c r="E127" s="1">
        <v>17</v>
      </c>
      <c r="F127" s="1">
        <v>19390</v>
      </c>
      <c r="G127" s="1">
        <v>12</v>
      </c>
      <c r="H127" s="2">
        <v>46201</v>
      </c>
      <c r="I127" s="2">
        <v>46206</v>
      </c>
      <c r="J127" s="1" t="s">
        <v>29</v>
      </c>
      <c r="K127" s="1">
        <v>1126</v>
      </c>
      <c r="L127" s="1">
        <f t="shared" si="0"/>
        <v>290074.40000000002</v>
      </c>
      <c r="M127" s="1" t="str">
        <f t="shared" si="1"/>
        <v>EXCELLENT</v>
      </c>
    </row>
    <row r="128" spans="1:13" x14ac:dyDescent="0.3">
      <c r="A128" s="1" t="s">
        <v>26</v>
      </c>
      <c r="B128" s="1" t="s">
        <v>33</v>
      </c>
      <c r="C128" s="1" t="s">
        <v>18</v>
      </c>
      <c r="D128" s="1" t="s">
        <v>28</v>
      </c>
      <c r="E128" s="1">
        <v>15</v>
      </c>
      <c r="F128" s="1">
        <v>11694</v>
      </c>
      <c r="G128" s="1">
        <v>12</v>
      </c>
      <c r="H128" s="2">
        <v>46170</v>
      </c>
      <c r="I128" s="2">
        <v>46179</v>
      </c>
      <c r="J128" s="1" t="s">
        <v>29</v>
      </c>
      <c r="K128" s="1">
        <v>1127</v>
      </c>
      <c r="L128" s="1">
        <f t="shared" si="0"/>
        <v>154360.79999999999</v>
      </c>
      <c r="M128" s="1" t="str">
        <f t="shared" si="1"/>
        <v>EXCELLENT</v>
      </c>
    </row>
    <row r="129" spans="1:13" x14ac:dyDescent="0.3">
      <c r="A129" s="1" t="s">
        <v>30</v>
      </c>
      <c r="B129" s="1" t="s">
        <v>22</v>
      </c>
      <c r="C129" s="1" t="s">
        <v>34</v>
      </c>
      <c r="D129" s="1" t="s">
        <v>61</v>
      </c>
      <c r="E129" s="1">
        <v>6</v>
      </c>
      <c r="F129" s="1">
        <v>5001</v>
      </c>
      <c r="G129" s="1">
        <v>7</v>
      </c>
      <c r="H129" s="2">
        <v>46044</v>
      </c>
      <c r="I129" s="2">
        <v>46050</v>
      </c>
      <c r="J129" s="1" t="s">
        <v>29</v>
      </c>
      <c r="K129" s="1">
        <v>1128</v>
      </c>
      <c r="L129" s="1">
        <f t="shared" si="0"/>
        <v>27905.579999999998</v>
      </c>
      <c r="M129" s="1" t="str">
        <f t="shared" si="1"/>
        <v>GOOD</v>
      </c>
    </row>
    <row r="130" spans="1:13" x14ac:dyDescent="0.3">
      <c r="A130" s="1" t="s">
        <v>58</v>
      </c>
      <c r="B130" s="1" t="s">
        <v>17</v>
      </c>
      <c r="C130" s="1" t="s">
        <v>13</v>
      </c>
      <c r="D130" s="1" t="s">
        <v>50</v>
      </c>
      <c r="E130" s="1">
        <v>15</v>
      </c>
      <c r="F130" s="1">
        <v>75</v>
      </c>
      <c r="G130" s="1">
        <v>7</v>
      </c>
      <c r="H130" s="2">
        <v>46160</v>
      </c>
      <c r="I130" s="2">
        <v>46164</v>
      </c>
      <c r="J130" s="1" t="s">
        <v>29</v>
      </c>
      <c r="K130" s="1">
        <v>1129</v>
      </c>
      <c r="L130" s="1">
        <f t="shared" si="0"/>
        <v>1046.25</v>
      </c>
      <c r="M130" s="1" t="str">
        <f t="shared" si="1"/>
        <v>AVERAGE</v>
      </c>
    </row>
    <row r="131" spans="1:13" x14ac:dyDescent="0.3">
      <c r="A131" s="1" t="s">
        <v>48</v>
      </c>
      <c r="B131" s="1" t="s">
        <v>33</v>
      </c>
      <c r="C131" s="1" t="s">
        <v>13</v>
      </c>
      <c r="D131" s="1" t="s">
        <v>14</v>
      </c>
      <c r="E131" s="1">
        <v>12</v>
      </c>
      <c r="F131" s="1">
        <v>50</v>
      </c>
      <c r="G131" s="1">
        <v>2</v>
      </c>
      <c r="H131" s="2">
        <v>46125</v>
      </c>
      <c r="I131" s="2">
        <v>46131</v>
      </c>
      <c r="J131" s="1" t="s">
        <v>24</v>
      </c>
      <c r="K131" s="1">
        <v>1130</v>
      </c>
      <c r="L131" s="1">
        <f t="shared" si="0"/>
        <v>588</v>
      </c>
      <c r="M131" s="1" t="str">
        <f t="shared" si="1"/>
        <v>AVERAGE</v>
      </c>
    </row>
    <row r="132" spans="1:13" x14ac:dyDescent="0.3">
      <c r="A132" s="1" t="s">
        <v>21</v>
      </c>
      <c r="B132" s="1" t="s">
        <v>31</v>
      </c>
      <c r="C132" s="1" t="s">
        <v>18</v>
      </c>
      <c r="D132" s="1" t="s">
        <v>23</v>
      </c>
      <c r="E132" s="1">
        <v>13</v>
      </c>
      <c r="F132" s="1">
        <v>3083</v>
      </c>
      <c r="G132" s="1">
        <v>7</v>
      </c>
      <c r="H132" s="2">
        <v>46168</v>
      </c>
      <c r="I132" s="2">
        <v>46173</v>
      </c>
      <c r="J132" s="1" t="s">
        <v>51</v>
      </c>
      <c r="K132" s="1">
        <v>1131</v>
      </c>
      <c r="L132" s="1">
        <f t="shared" si="0"/>
        <v>37273.469999999994</v>
      </c>
      <c r="M132" s="1" t="str">
        <f t="shared" si="1"/>
        <v>GOOD</v>
      </c>
    </row>
    <row r="133" spans="1:13" x14ac:dyDescent="0.3">
      <c r="A133" s="1" t="s">
        <v>11</v>
      </c>
      <c r="B133" s="1" t="s">
        <v>31</v>
      </c>
      <c r="C133" s="1" t="s">
        <v>13</v>
      </c>
      <c r="D133" s="1" t="s">
        <v>50</v>
      </c>
      <c r="E133" s="1">
        <v>10</v>
      </c>
      <c r="F133" s="1">
        <v>270</v>
      </c>
      <c r="G133" s="1">
        <v>7</v>
      </c>
      <c r="H133" s="2">
        <v>46024</v>
      </c>
      <c r="I133" s="2">
        <v>46034</v>
      </c>
      <c r="J133" s="1" t="s">
        <v>24</v>
      </c>
      <c r="K133" s="1">
        <v>1132</v>
      </c>
      <c r="L133" s="1">
        <f t="shared" si="0"/>
        <v>2511</v>
      </c>
      <c r="M133" s="1" t="str">
        <f t="shared" si="1"/>
        <v>AVERAGE</v>
      </c>
    </row>
    <row r="134" spans="1:13" x14ac:dyDescent="0.3">
      <c r="A134" s="1" t="s">
        <v>11</v>
      </c>
      <c r="B134" s="1" t="s">
        <v>12</v>
      </c>
      <c r="C134" s="1" t="s">
        <v>18</v>
      </c>
      <c r="D134" s="1" t="s">
        <v>56</v>
      </c>
      <c r="E134" s="1">
        <v>6</v>
      </c>
      <c r="F134" s="1">
        <v>9037</v>
      </c>
      <c r="G134" s="1">
        <v>2</v>
      </c>
      <c r="H134" s="2">
        <v>46112</v>
      </c>
      <c r="I134" s="2">
        <v>46121</v>
      </c>
      <c r="J134" s="1" t="s">
        <v>51</v>
      </c>
      <c r="K134" s="1">
        <v>1133</v>
      </c>
      <c r="L134" s="1">
        <f t="shared" si="0"/>
        <v>53137.56</v>
      </c>
      <c r="M134" s="1" t="str">
        <f t="shared" si="1"/>
        <v>VERY GOOD</v>
      </c>
    </row>
    <row r="135" spans="1:13" x14ac:dyDescent="0.3">
      <c r="A135" s="1" t="s">
        <v>57</v>
      </c>
      <c r="B135" s="1" t="s">
        <v>31</v>
      </c>
      <c r="C135" s="1" t="s">
        <v>34</v>
      </c>
      <c r="D135" s="1" t="s">
        <v>61</v>
      </c>
      <c r="E135" s="1">
        <v>10</v>
      </c>
      <c r="F135" s="1">
        <v>29217</v>
      </c>
      <c r="G135" s="1">
        <v>15</v>
      </c>
      <c r="H135" s="2">
        <v>46148</v>
      </c>
      <c r="I135" s="2">
        <v>46150</v>
      </c>
      <c r="J135" s="1" t="s">
        <v>24</v>
      </c>
      <c r="K135" s="1">
        <v>1134</v>
      </c>
      <c r="L135" s="1">
        <f t="shared" si="0"/>
        <v>248344.5</v>
      </c>
      <c r="M135" s="1" t="str">
        <f t="shared" si="1"/>
        <v>EXCELLENT</v>
      </c>
    </row>
    <row r="136" spans="1:13" x14ac:dyDescent="0.3">
      <c r="A136" s="1" t="s">
        <v>49</v>
      </c>
      <c r="B136" s="1" t="s">
        <v>43</v>
      </c>
      <c r="C136" s="1" t="s">
        <v>34</v>
      </c>
      <c r="D136" s="1" t="s">
        <v>39</v>
      </c>
      <c r="E136" s="1">
        <v>14</v>
      </c>
      <c r="F136" s="1">
        <v>68534</v>
      </c>
      <c r="G136" s="1">
        <v>0</v>
      </c>
      <c r="H136" s="2">
        <v>46041</v>
      </c>
      <c r="I136" s="2">
        <v>46042</v>
      </c>
      <c r="J136" s="1" t="s">
        <v>15</v>
      </c>
      <c r="K136" s="1">
        <v>1135</v>
      </c>
      <c r="L136" s="1">
        <f t="shared" si="0"/>
        <v>959476</v>
      </c>
      <c r="M136" s="1" t="str">
        <f t="shared" si="1"/>
        <v>EXCELLENT</v>
      </c>
    </row>
    <row r="137" spans="1:13" x14ac:dyDescent="0.3">
      <c r="A137" s="1" t="s">
        <v>27</v>
      </c>
      <c r="B137" s="1" t="s">
        <v>43</v>
      </c>
      <c r="C137" s="1" t="s">
        <v>18</v>
      </c>
      <c r="D137" s="1" t="s">
        <v>56</v>
      </c>
      <c r="E137" s="1">
        <v>19</v>
      </c>
      <c r="F137" s="1">
        <v>14528</v>
      </c>
      <c r="G137" s="1">
        <v>12</v>
      </c>
      <c r="H137" s="2">
        <v>46056</v>
      </c>
      <c r="I137" s="2">
        <v>46062</v>
      </c>
      <c r="J137" s="1" t="s">
        <v>24</v>
      </c>
      <c r="K137" s="1">
        <v>1136</v>
      </c>
      <c r="L137" s="1">
        <f t="shared" si="0"/>
        <v>242908.16</v>
      </c>
      <c r="M137" s="1" t="str">
        <f t="shared" si="1"/>
        <v>EXCELLENT</v>
      </c>
    </row>
    <row r="138" spans="1:13" x14ac:dyDescent="0.3">
      <c r="A138" s="1" t="s">
        <v>52</v>
      </c>
      <c r="B138" s="1" t="s">
        <v>12</v>
      </c>
      <c r="C138" s="1" t="s">
        <v>13</v>
      </c>
      <c r="D138" s="1" t="s">
        <v>37</v>
      </c>
      <c r="E138" s="1">
        <v>16</v>
      </c>
      <c r="F138" s="1">
        <v>270</v>
      </c>
      <c r="G138" s="1">
        <v>10</v>
      </c>
      <c r="H138" s="2">
        <v>46184</v>
      </c>
      <c r="I138" s="2">
        <v>46190</v>
      </c>
      <c r="J138" s="1" t="s">
        <v>29</v>
      </c>
      <c r="K138" s="1">
        <v>1137</v>
      </c>
      <c r="L138" s="1">
        <f t="shared" si="0"/>
        <v>3888</v>
      </c>
      <c r="M138" s="1" t="str">
        <f t="shared" si="1"/>
        <v>AVERAGE</v>
      </c>
    </row>
    <row r="139" spans="1:13" x14ac:dyDescent="0.3">
      <c r="A139" s="1" t="s">
        <v>55</v>
      </c>
      <c r="B139" s="1" t="s">
        <v>43</v>
      </c>
      <c r="C139" s="1" t="s">
        <v>18</v>
      </c>
      <c r="D139" s="1" t="s">
        <v>19</v>
      </c>
      <c r="E139" s="1">
        <v>5</v>
      </c>
      <c r="F139" s="1">
        <v>14466</v>
      </c>
      <c r="G139" s="1">
        <v>2</v>
      </c>
      <c r="H139" s="2">
        <v>46084</v>
      </c>
      <c r="I139" s="2">
        <v>46092</v>
      </c>
      <c r="J139" s="1" t="s">
        <v>51</v>
      </c>
      <c r="K139" s="1">
        <v>1138</v>
      </c>
      <c r="L139" s="1">
        <f t="shared" si="0"/>
        <v>70883.399999999994</v>
      </c>
      <c r="M139" s="1" t="str">
        <f t="shared" si="1"/>
        <v>VERY GOOD</v>
      </c>
    </row>
    <row r="140" spans="1:13" x14ac:dyDescent="0.3">
      <c r="A140" s="1" t="s">
        <v>55</v>
      </c>
      <c r="B140" s="1" t="s">
        <v>33</v>
      </c>
      <c r="C140" s="1" t="s">
        <v>34</v>
      </c>
      <c r="D140" s="1" t="s">
        <v>61</v>
      </c>
      <c r="E140" s="1">
        <v>17</v>
      </c>
      <c r="F140" s="1">
        <v>28839</v>
      </c>
      <c r="G140" s="1">
        <v>10</v>
      </c>
      <c r="H140" s="2">
        <v>46093</v>
      </c>
      <c r="I140" s="2">
        <v>46099</v>
      </c>
      <c r="J140" s="1" t="s">
        <v>15</v>
      </c>
      <c r="K140" s="1">
        <v>1139</v>
      </c>
      <c r="L140" s="1">
        <f t="shared" si="0"/>
        <v>441236.7</v>
      </c>
      <c r="M140" s="1" t="str">
        <f t="shared" si="1"/>
        <v>EXCELLENT</v>
      </c>
    </row>
    <row r="141" spans="1:13" x14ac:dyDescent="0.3">
      <c r="A141" s="1" t="s">
        <v>57</v>
      </c>
      <c r="B141" s="1" t="s">
        <v>38</v>
      </c>
      <c r="C141" s="1" t="s">
        <v>34</v>
      </c>
      <c r="D141" s="1" t="s">
        <v>41</v>
      </c>
      <c r="E141" s="1">
        <v>5</v>
      </c>
      <c r="F141" s="1">
        <v>68012</v>
      </c>
      <c r="G141" s="1">
        <v>5</v>
      </c>
      <c r="H141" s="2">
        <v>46061</v>
      </c>
      <c r="I141" s="2">
        <v>46065</v>
      </c>
      <c r="J141" s="1" t="s">
        <v>15</v>
      </c>
      <c r="K141" s="1">
        <v>1140</v>
      </c>
      <c r="L141" s="1">
        <f t="shared" si="0"/>
        <v>323057</v>
      </c>
      <c r="M141" s="1" t="str">
        <f t="shared" si="1"/>
        <v>EXCELLENT</v>
      </c>
    </row>
    <row r="142" spans="1:13" x14ac:dyDescent="0.3">
      <c r="A142" s="1" t="s">
        <v>11</v>
      </c>
      <c r="B142" s="1" t="s">
        <v>17</v>
      </c>
      <c r="C142" s="1" t="s">
        <v>18</v>
      </c>
      <c r="D142" s="1" t="s">
        <v>44</v>
      </c>
      <c r="E142" s="1">
        <v>20</v>
      </c>
      <c r="F142" s="1">
        <v>6835</v>
      </c>
      <c r="G142" s="1">
        <v>2</v>
      </c>
      <c r="H142" s="2">
        <v>46043</v>
      </c>
      <c r="I142" s="2">
        <v>46053</v>
      </c>
      <c r="J142" s="1" t="s">
        <v>15</v>
      </c>
      <c r="K142" s="1">
        <v>1141</v>
      </c>
      <c r="L142" s="1">
        <f t="shared" si="0"/>
        <v>133966</v>
      </c>
      <c r="M142" s="1" t="str">
        <f t="shared" si="1"/>
        <v>EXCELLENT</v>
      </c>
    </row>
    <row r="143" spans="1:13" x14ac:dyDescent="0.3">
      <c r="A143" s="1" t="s">
        <v>40</v>
      </c>
      <c r="B143" s="1" t="s">
        <v>25</v>
      </c>
      <c r="C143" s="1" t="s">
        <v>34</v>
      </c>
      <c r="D143" s="1" t="s">
        <v>60</v>
      </c>
      <c r="E143" s="1">
        <v>9</v>
      </c>
      <c r="F143" s="1">
        <v>59788</v>
      </c>
      <c r="G143" s="1">
        <v>7</v>
      </c>
      <c r="H143" s="2">
        <v>46064</v>
      </c>
      <c r="I143" s="2">
        <v>46071</v>
      </c>
      <c r="J143" s="1" t="s">
        <v>29</v>
      </c>
      <c r="K143" s="1">
        <v>1142</v>
      </c>
      <c r="L143" s="1">
        <f t="shared" si="0"/>
        <v>500425.55999999994</v>
      </c>
      <c r="M143" s="1" t="str">
        <f t="shared" si="1"/>
        <v>EXCELLENT</v>
      </c>
    </row>
    <row r="144" spans="1:13" x14ac:dyDescent="0.3">
      <c r="A144" s="1" t="s">
        <v>29</v>
      </c>
      <c r="B144" s="1" t="s">
        <v>17</v>
      </c>
      <c r="C144" s="1" t="s">
        <v>13</v>
      </c>
      <c r="D144" s="1" t="s">
        <v>37</v>
      </c>
      <c r="E144" s="1">
        <v>13</v>
      </c>
      <c r="F144" s="1">
        <v>456</v>
      </c>
      <c r="G144" s="1">
        <v>2</v>
      </c>
      <c r="H144" s="2">
        <v>46160</v>
      </c>
      <c r="I144" s="2">
        <v>46167</v>
      </c>
      <c r="J144" s="1" t="s">
        <v>24</v>
      </c>
      <c r="K144" s="1">
        <v>1143</v>
      </c>
      <c r="L144" s="1">
        <f t="shared" si="0"/>
        <v>5809.44</v>
      </c>
      <c r="M144" s="1" t="str">
        <f t="shared" si="1"/>
        <v>AVERAGE</v>
      </c>
    </row>
    <row r="145" spans="1:13" x14ac:dyDescent="0.3">
      <c r="A145" s="1" t="s">
        <v>42</v>
      </c>
      <c r="B145" s="1" t="s">
        <v>25</v>
      </c>
      <c r="C145" s="1" t="s">
        <v>13</v>
      </c>
      <c r="D145" s="1" t="s">
        <v>14</v>
      </c>
      <c r="E145" s="1">
        <v>16</v>
      </c>
      <c r="F145" s="1">
        <v>219</v>
      </c>
      <c r="G145" s="1">
        <v>7</v>
      </c>
      <c r="H145" s="2">
        <v>46138</v>
      </c>
      <c r="I145" s="2">
        <v>46140</v>
      </c>
      <c r="J145" s="1" t="s">
        <v>20</v>
      </c>
      <c r="K145" s="1">
        <v>1144</v>
      </c>
      <c r="L145" s="1">
        <f t="shared" si="0"/>
        <v>3258.72</v>
      </c>
      <c r="M145" s="1" t="str">
        <f t="shared" si="1"/>
        <v>AVERAGE</v>
      </c>
    </row>
    <row r="146" spans="1:13" x14ac:dyDescent="0.3">
      <c r="A146" s="1" t="s">
        <v>42</v>
      </c>
      <c r="B146" s="1" t="s">
        <v>33</v>
      </c>
      <c r="C146" s="1" t="s">
        <v>34</v>
      </c>
      <c r="D146" s="1" t="s">
        <v>39</v>
      </c>
      <c r="E146" s="1">
        <v>2</v>
      </c>
      <c r="F146" s="1">
        <v>34429</v>
      </c>
      <c r="G146" s="1">
        <v>12</v>
      </c>
      <c r="H146" s="2">
        <v>46102</v>
      </c>
      <c r="I146" s="2">
        <v>46112</v>
      </c>
      <c r="J146" s="1" t="s">
        <v>24</v>
      </c>
      <c r="K146" s="1">
        <v>1145</v>
      </c>
      <c r="L146" s="1">
        <f t="shared" si="0"/>
        <v>60595.040000000001</v>
      </c>
      <c r="M146" s="1" t="str">
        <f t="shared" si="1"/>
        <v>VERY GOOD</v>
      </c>
    </row>
    <row r="147" spans="1:13" x14ac:dyDescent="0.3">
      <c r="A147" s="1" t="s">
        <v>16</v>
      </c>
      <c r="B147" s="1" t="s">
        <v>43</v>
      </c>
      <c r="C147" s="1" t="s">
        <v>34</v>
      </c>
      <c r="D147" s="1" t="s">
        <v>45</v>
      </c>
      <c r="E147" s="1">
        <v>7</v>
      </c>
      <c r="F147" s="1">
        <v>68217</v>
      </c>
      <c r="G147" s="1">
        <v>0</v>
      </c>
      <c r="H147" s="2">
        <v>46190</v>
      </c>
      <c r="I147" s="2">
        <v>46197</v>
      </c>
      <c r="J147" s="1" t="s">
        <v>29</v>
      </c>
      <c r="K147" s="1">
        <v>1146</v>
      </c>
      <c r="L147" s="1">
        <f t="shared" si="0"/>
        <v>477519</v>
      </c>
      <c r="M147" s="1" t="str">
        <f t="shared" si="1"/>
        <v>EXCELLENT</v>
      </c>
    </row>
    <row r="148" spans="1:13" x14ac:dyDescent="0.3">
      <c r="A148" s="1" t="s">
        <v>11</v>
      </c>
      <c r="B148" s="1" t="s">
        <v>22</v>
      </c>
      <c r="C148" s="1" t="s">
        <v>18</v>
      </c>
      <c r="D148" s="1" t="s">
        <v>28</v>
      </c>
      <c r="E148" s="1">
        <v>7</v>
      </c>
      <c r="F148" s="1">
        <v>9581</v>
      </c>
      <c r="G148" s="1">
        <v>5</v>
      </c>
      <c r="H148" s="2">
        <v>46154</v>
      </c>
      <c r="I148" s="2">
        <v>46155</v>
      </c>
      <c r="J148" s="1" t="s">
        <v>20</v>
      </c>
      <c r="K148" s="1">
        <v>1147</v>
      </c>
      <c r="L148" s="1">
        <f t="shared" si="0"/>
        <v>63713.649999999994</v>
      </c>
      <c r="M148" s="1" t="str">
        <f t="shared" si="1"/>
        <v>VERY GOOD</v>
      </c>
    </row>
    <row r="149" spans="1:13" x14ac:dyDescent="0.3">
      <c r="A149" s="1" t="s">
        <v>59</v>
      </c>
      <c r="B149" s="1" t="s">
        <v>33</v>
      </c>
      <c r="C149" s="1" t="s">
        <v>18</v>
      </c>
      <c r="D149" s="1" t="s">
        <v>28</v>
      </c>
      <c r="E149" s="1">
        <v>11</v>
      </c>
      <c r="F149" s="1">
        <v>3023</v>
      </c>
      <c r="G149" s="1">
        <v>7</v>
      </c>
      <c r="H149" s="2">
        <v>46030</v>
      </c>
      <c r="I149" s="2">
        <v>46032</v>
      </c>
      <c r="J149" s="1" t="s">
        <v>24</v>
      </c>
      <c r="K149" s="1">
        <v>1148</v>
      </c>
      <c r="L149" s="1">
        <f t="shared" si="0"/>
        <v>30925.289999999997</v>
      </c>
      <c r="M149" s="1" t="str">
        <f t="shared" si="1"/>
        <v>GOOD</v>
      </c>
    </row>
    <row r="150" spans="1:13" x14ac:dyDescent="0.3">
      <c r="A150" s="1" t="s">
        <v>26</v>
      </c>
      <c r="B150" s="1" t="s">
        <v>38</v>
      </c>
      <c r="C150" s="1" t="s">
        <v>34</v>
      </c>
      <c r="D150" s="1" t="s">
        <v>35</v>
      </c>
      <c r="E150" s="1">
        <v>10</v>
      </c>
      <c r="F150" s="1">
        <v>22853</v>
      </c>
      <c r="G150" s="1">
        <v>7</v>
      </c>
      <c r="H150" s="2">
        <v>46053</v>
      </c>
      <c r="I150" s="2">
        <v>46054</v>
      </c>
      <c r="J150" s="1" t="s">
        <v>29</v>
      </c>
      <c r="K150" s="1">
        <v>1149</v>
      </c>
      <c r="L150" s="1">
        <f t="shared" si="0"/>
        <v>212532.9</v>
      </c>
      <c r="M150" s="1" t="str">
        <f t="shared" si="1"/>
        <v>EXCELLENT</v>
      </c>
    </row>
    <row r="151" spans="1:13" x14ac:dyDescent="0.3">
      <c r="A151" s="1" t="s">
        <v>42</v>
      </c>
      <c r="B151" s="1" t="s">
        <v>12</v>
      </c>
      <c r="C151" s="1" t="s">
        <v>18</v>
      </c>
      <c r="D151" s="1" t="s">
        <v>56</v>
      </c>
      <c r="E151" s="1">
        <v>10</v>
      </c>
      <c r="F151" s="1">
        <v>5323</v>
      </c>
      <c r="G151" s="1">
        <v>7</v>
      </c>
      <c r="H151" s="2">
        <v>46143</v>
      </c>
      <c r="I151" s="2">
        <v>46153</v>
      </c>
      <c r="J151" s="1" t="s">
        <v>24</v>
      </c>
      <c r="K151" s="1">
        <v>1150</v>
      </c>
      <c r="L151" s="1">
        <f t="shared" si="0"/>
        <v>49503.899999999994</v>
      </c>
      <c r="M151" s="1" t="str">
        <f t="shared" si="1"/>
        <v>GOOD</v>
      </c>
    </row>
    <row r="152" spans="1:13" x14ac:dyDescent="0.3">
      <c r="A152" s="1" t="s">
        <v>46</v>
      </c>
      <c r="B152" s="1" t="s">
        <v>43</v>
      </c>
      <c r="C152" s="1" t="s">
        <v>13</v>
      </c>
      <c r="D152" s="1" t="s">
        <v>50</v>
      </c>
      <c r="E152" s="1">
        <v>20</v>
      </c>
      <c r="F152" s="1">
        <v>272</v>
      </c>
      <c r="G152" s="1">
        <v>15</v>
      </c>
      <c r="H152" s="2">
        <v>46024</v>
      </c>
      <c r="I152" s="2">
        <v>46029</v>
      </c>
      <c r="J152" s="1" t="s">
        <v>51</v>
      </c>
      <c r="K152" s="1">
        <v>1151</v>
      </c>
      <c r="L152" s="1">
        <f t="shared" si="0"/>
        <v>4624</v>
      </c>
      <c r="M152" s="1" t="str">
        <f t="shared" si="1"/>
        <v>AVERAGE</v>
      </c>
    </row>
    <row r="153" spans="1:13" x14ac:dyDescent="0.3">
      <c r="A153" s="1" t="s">
        <v>27</v>
      </c>
      <c r="B153" s="1" t="s">
        <v>31</v>
      </c>
      <c r="C153" s="1" t="s">
        <v>34</v>
      </c>
      <c r="D153" s="1" t="s">
        <v>61</v>
      </c>
      <c r="E153" s="1">
        <v>14</v>
      </c>
      <c r="F153" s="1">
        <v>8150</v>
      </c>
      <c r="G153" s="1">
        <v>10</v>
      </c>
      <c r="H153" s="2">
        <v>46062</v>
      </c>
      <c r="I153" s="2">
        <v>46070</v>
      </c>
      <c r="J153" s="1" t="s">
        <v>15</v>
      </c>
      <c r="K153" s="1">
        <v>1152</v>
      </c>
      <c r="L153" s="1">
        <f t="shared" si="0"/>
        <v>102690</v>
      </c>
      <c r="M153" s="1" t="str">
        <f t="shared" si="1"/>
        <v>EXCELLENT</v>
      </c>
    </row>
    <row r="154" spans="1:13" x14ac:dyDescent="0.3">
      <c r="A154" s="1" t="s">
        <v>42</v>
      </c>
      <c r="B154" s="1" t="s">
        <v>25</v>
      </c>
      <c r="C154" s="1" t="s">
        <v>18</v>
      </c>
      <c r="D154" s="1" t="s">
        <v>23</v>
      </c>
      <c r="E154" s="1">
        <v>19</v>
      </c>
      <c r="F154" s="1">
        <v>10273</v>
      </c>
      <c r="G154" s="1">
        <v>12</v>
      </c>
      <c r="H154" s="2">
        <v>46069</v>
      </c>
      <c r="I154" s="2">
        <v>46072</v>
      </c>
      <c r="J154" s="1" t="s">
        <v>29</v>
      </c>
      <c r="K154" s="1">
        <v>1153</v>
      </c>
      <c r="L154" s="1">
        <f t="shared" si="0"/>
        <v>171764.56</v>
      </c>
      <c r="M154" s="1" t="str">
        <f t="shared" si="1"/>
        <v>EXCELLENT</v>
      </c>
    </row>
    <row r="155" spans="1:13" x14ac:dyDescent="0.3">
      <c r="A155" s="1" t="s">
        <v>32</v>
      </c>
      <c r="B155" s="1" t="s">
        <v>17</v>
      </c>
      <c r="C155" s="1" t="s">
        <v>18</v>
      </c>
      <c r="D155" s="1" t="s">
        <v>56</v>
      </c>
      <c r="E155" s="1">
        <v>15</v>
      </c>
      <c r="F155" s="1">
        <v>6101</v>
      </c>
      <c r="G155" s="1">
        <v>0</v>
      </c>
      <c r="H155" s="2">
        <v>46178</v>
      </c>
      <c r="I155" s="2">
        <v>46183</v>
      </c>
      <c r="J155" s="1" t="s">
        <v>51</v>
      </c>
      <c r="K155" s="1">
        <v>1154</v>
      </c>
      <c r="L155" s="1">
        <f t="shared" si="0"/>
        <v>91515</v>
      </c>
      <c r="M155" s="1" t="str">
        <f t="shared" si="1"/>
        <v>VERY GOOD</v>
      </c>
    </row>
    <row r="156" spans="1:13" x14ac:dyDescent="0.3">
      <c r="A156" s="1" t="s">
        <v>11</v>
      </c>
      <c r="B156" s="1" t="s">
        <v>31</v>
      </c>
      <c r="C156" s="1" t="s">
        <v>18</v>
      </c>
      <c r="D156" s="1" t="s">
        <v>28</v>
      </c>
      <c r="E156" s="1">
        <v>13</v>
      </c>
      <c r="F156" s="1">
        <v>4341</v>
      </c>
      <c r="G156" s="1">
        <v>15</v>
      </c>
      <c r="H156" s="2">
        <v>46093</v>
      </c>
      <c r="I156" s="2">
        <v>46096</v>
      </c>
      <c r="J156" s="1" t="s">
        <v>24</v>
      </c>
      <c r="K156" s="1">
        <v>1155</v>
      </c>
      <c r="L156" s="1">
        <f t="shared" si="0"/>
        <v>47968.049999999996</v>
      </c>
      <c r="M156" s="1" t="str">
        <f t="shared" si="1"/>
        <v>GOOD</v>
      </c>
    </row>
    <row r="157" spans="1:13" x14ac:dyDescent="0.3">
      <c r="A157" s="1" t="s">
        <v>54</v>
      </c>
      <c r="B157" s="1" t="s">
        <v>38</v>
      </c>
      <c r="C157" s="1" t="s">
        <v>13</v>
      </c>
      <c r="D157" s="1" t="s">
        <v>36</v>
      </c>
      <c r="E157" s="1">
        <v>5</v>
      </c>
      <c r="F157" s="1">
        <v>466</v>
      </c>
      <c r="G157" s="1">
        <v>15</v>
      </c>
      <c r="H157" s="2">
        <v>46025</v>
      </c>
      <c r="I157" s="2">
        <v>46029</v>
      </c>
      <c r="J157" s="1" t="s">
        <v>15</v>
      </c>
      <c r="K157" s="1">
        <v>1156</v>
      </c>
      <c r="L157" s="1">
        <f t="shared" si="0"/>
        <v>1980.5</v>
      </c>
      <c r="M157" s="1" t="str">
        <f t="shared" si="1"/>
        <v>AVERAGE</v>
      </c>
    </row>
    <row r="158" spans="1:13" x14ac:dyDescent="0.3">
      <c r="A158" s="1" t="s">
        <v>52</v>
      </c>
      <c r="B158" s="1" t="s">
        <v>33</v>
      </c>
      <c r="C158" s="1" t="s">
        <v>13</v>
      </c>
      <c r="D158" s="1" t="s">
        <v>50</v>
      </c>
      <c r="E158" s="1">
        <v>3</v>
      </c>
      <c r="F158" s="1">
        <v>203</v>
      </c>
      <c r="G158" s="1">
        <v>15</v>
      </c>
      <c r="H158" s="2">
        <v>46076</v>
      </c>
      <c r="I158" s="2">
        <v>46080</v>
      </c>
      <c r="J158" s="1" t="s">
        <v>29</v>
      </c>
      <c r="K158" s="1">
        <v>1157</v>
      </c>
      <c r="L158" s="1">
        <f t="shared" si="0"/>
        <v>517.65</v>
      </c>
      <c r="M158" s="1" t="str">
        <f t="shared" si="1"/>
        <v>AVERAGE</v>
      </c>
    </row>
    <row r="159" spans="1:13" x14ac:dyDescent="0.3">
      <c r="A159" s="1" t="s">
        <v>26</v>
      </c>
      <c r="B159" s="1" t="s">
        <v>38</v>
      </c>
      <c r="C159" s="1" t="s">
        <v>34</v>
      </c>
      <c r="D159" s="1" t="s">
        <v>41</v>
      </c>
      <c r="E159" s="1">
        <v>13</v>
      </c>
      <c r="F159" s="1">
        <v>12518</v>
      </c>
      <c r="G159" s="1">
        <v>2</v>
      </c>
      <c r="H159" s="2">
        <v>46079</v>
      </c>
      <c r="I159" s="2">
        <v>46082</v>
      </c>
      <c r="J159" s="1" t="s">
        <v>51</v>
      </c>
      <c r="K159" s="1">
        <v>1158</v>
      </c>
      <c r="L159" s="1">
        <f t="shared" si="0"/>
        <v>159479.32</v>
      </c>
      <c r="M159" s="1" t="str">
        <f t="shared" si="1"/>
        <v>EXCELLENT</v>
      </c>
    </row>
    <row r="160" spans="1:13" x14ac:dyDescent="0.3">
      <c r="A160" s="1" t="s">
        <v>32</v>
      </c>
      <c r="B160" s="1" t="s">
        <v>43</v>
      </c>
      <c r="C160" s="1" t="s">
        <v>18</v>
      </c>
      <c r="D160" s="1" t="s">
        <v>28</v>
      </c>
      <c r="E160" s="1">
        <v>20</v>
      </c>
      <c r="F160" s="1">
        <v>14000</v>
      </c>
      <c r="G160" s="1">
        <v>15</v>
      </c>
      <c r="H160" s="2">
        <v>46184</v>
      </c>
      <c r="I160" s="2">
        <v>46187</v>
      </c>
      <c r="J160" s="1" t="s">
        <v>15</v>
      </c>
      <c r="K160" s="1">
        <v>1159</v>
      </c>
      <c r="L160" s="1">
        <f t="shared" si="0"/>
        <v>238000</v>
      </c>
      <c r="M160" s="1" t="str">
        <f t="shared" si="1"/>
        <v>EXCELLENT</v>
      </c>
    </row>
    <row r="161" spans="1:13" x14ac:dyDescent="0.3">
      <c r="A161" s="1" t="s">
        <v>59</v>
      </c>
      <c r="B161" s="1" t="s">
        <v>22</v>
      </c>
      <c r="C161" s="1" t="s">
        <v>34</v>
      </c>
      <c r="D161" s="1" t="s">
        <v>39</v>
      </c>
      <c r="E161" s="1">
        <v>7</v>
      </c>
      <c r="F161" s="1">
        <v>53986</v>
      </c>
      <c r="G161" s="1">
        <v>10</v>
      </c>
      <c r="H161" s="2">
        <v>46142</v>
      </c>
      <c r="I161" s="2">
        <v>46147</v>
      </c>
      <c r="J161" s="1" t="s">
        <v>51</v>
      </c>
      <c r="K161" s="1">
        <v>1160</v>
      </c>
      <c r="L161" s="1">
        <f t="shared" si="0"/>
        <v>340111.8</v>
      </c>
      <c r="M161" s="1" t="str">
        <f t="shared" si="1"/>
        <v>EXCELLENT</v>
      </c>
    </row>
    <row r="162" spans="1:13" x14ac:dyDescent="0.3">
      <c r="A162" s="1" t="s">
        <v>27</v>
      </c>
      <c r="B162" s="1" t="s">
        <v>25</v>
      </c>
      <c r="C162" s="1" t="s">
        <v>34</v>
      </c>
      <c r="D162" s="1" t="s">
        <v>39</v>
      </c>
      <c r="E162" s="1">
        <v>4</v>
      </c>
      <c r="F162" s="1">
        <v>54659</v>
      </c>
      <c r="G162" s="1">
        <v>7</v>
      </c>
      <c r="H162" s="2">
        <v>46105</v>
      </c>
      <c r="I162" s="2">
        <v>46109</v>
      </c>
      <c r="J162" s="1" t="s">
        <v>20</v>
      </c>
      <c r="K162" s="1">
        <v>1161</v>
      </c>
      <c r="L162" s="1">
        <f t="shared" si="0"/>
        <v>203331.47999999998</v>
      </c>
      <c r="M162" s="1" t="str">
        <f t="shared" si="1"/>
        <v>EXCELLENT</v>
      </c>
    </row>
    <row r="163" spans="1:13" x14ac:dyDescent="0.3">
      <c r="A163" s="1" t="s">
        <v>57</v>
      </c>
      <c r="B163" s="1" t="s">
        <v>31</v>
      </c>
      <c r="C163" s="1" t="s">
        <v>34</v>
      </c>
      <c r="D163" s="1" t="s">
        <v>45</v>
      </c>
      <c r="E163" s="1">
        <v>2</v>
      </c>
      <c r="F163" s="1">
        <v>28176</v>
      </c>
      <c r="G163" s="1">
        <v>10</v>
      </c>
      <c r="H163" s="2">
        <v>46100</v>
      </c>
      <c r="I163" s="2">
        <v>46101</v>
      </c>
      <c r="J163" s="1" t="s">
        <v>20</v>
      </c>
      <c r="K163" s="1">
        <v>1162</v>
      </c>
      <c r="L163" s="1">
        <f t="shared" si="0"/>
        <v>50716.800000000003</v>
      </c>
      <c r="M163" s="1" t="str">
        <f t="shared" si="1"/>
        <v>VERY GOOD</v>
      </c>
    </row>
    <row r="164" spans="1:13" x14ac:dyDescent="0.3">
      <c r="A164" s="1" t="s">
        <v>29</v>
      </c>
      <c r="B164" s="1" t="s">
        <v>38</v>
      </c>
      <c r="C164" s="1" t="s">
        <v>34</v>
      </c>
      <c r="D164" s="1" t="s">
        <v>39</v>
      </c>
      <c r="E164" s="1">
        <v>9</v>
      </c>
      <c r="F164" s="1">
        <v>62440</v>
      </c>
      <c r="G164" s="1">
        <v>2</v>
      </c>
      <c r="H164" s="2">
        <v>46081</v>
      </c>
      <c r="I164" s="2">
        <v>46086</v>
      </c>
      <c r="J164" s="1" t="s">
        <v>29</v>
      </c>
      <c r="K164" s="1">
        <v>1163</v>
      </c>
      <c r="L164" s="1">
        <f t="shared" si="0"/>
        <v>550720.80000000005</v>
      </c>
      <c r="M164" s="1" t="str">
        <f t="shared" si="1"/>
        <v>EXCELLENT</v>
      </c>
    </row>
    <row r="165" spans="1:13" x14ac:dyDescent="0.3">
      <c r="A165" s="1" t="s">
        <v>40</v>
      </c>
      <c r="B165" s="1" t="s">
        <v>43</v>
      </c>
      <c r="C165" s="1" t="s">
        <v>34</v>
      </c>
      <c r="D165" s="1" t="s">
        <v>61</v>
      </c>
      <c r="E165" s="1">
        <v>7</v>
      </c>
      <c r="F165" s="1">
        <v>24615</v>
      </c>
      <c r="G165" s="1">
        <v>12</v>
      </c>
      <c r="H165" s="2">
        <v>46196</v>
      </c>
      <c r="I165" s="2">
        <v>46203</v>
      </c>
      <c r="J165" s="1" t="s">
        <v>51</v>
      </c>
      <c r="K165" s="1">
        <v>1164</v>
      </c>
      <c r="L165" s="1">
        <f t="shared" si="0"/>
        <v>151628.4</v>
      </c>
      <c r="M165" s="1" t="str">
        <f t="shared" si="1"/>
        <v>EXCELLENT</v>
      </c>
    </row>
    <row r="166" spans="1:13" x14ac:dyDescent="0.3">
      <c r="A166" s="1" t="s">
        <v>48</v>
      </c>
      <c r="B166" s="1" t="s">
        <v>25</v>
      </c>
      <c r="C166" s="1" t="s">
        <v>13</v>
      </c>
      <c r="D166" s="1" t="s">
        <v>37</v>
      </c>
      <c r="E166" s="1">
        <v>1</v>
      </c>
      <c r="F166" s="1">
        <v>427</v>
      </c>
      <c r="G166" s="1">
        <v>0</v>
      </c>
      <c r="H166" s="2">
        <v>46042</v>
      </c>
      <c r="I166" s="2">
        <v>46050</v>
      </c>
      <c r="J166" s="1" t="s">
        <v>51</v>
      </c>
      <c r="K166" s="1">
        <v>1165</v>
      </c>
      <c r="L166" s="1">
        <f t="shared" si="0"/>
        <v>427</v>
      </c>
      <c r="M166" s="1" t="str">
        <f t="shared" si="1"/>
        <v>AVERAGE</v>
      </c>
    </row>
    <row r="167" spans="1:13" x14ac:dyDescent="0.3">
      <c r="A167" s="1" t="s">
        <v>32</v>
      </c>
      <c r="B167" s="1" t="s">
        <v>31</v>
      </c>
      <c r="C167" s="1" t="s">
        <v>13</v>
      </c>
      <c r="D167" s="1" t="s">
        <v>37</v>
      </c>
      <c r="E167" s="1">
        <v>1</v>
      </c>
      <c r="F167" s="1">
        <v>396</v>
      </c>
      <c r="G167" s="1">
        <v>5</v>
      </c>
      <c r="H167" s="2">
        <v>46092</v>
      </c>
      <c r="I167" s="2">
        <v>46093</v>
      </c>
      <c r="J167" s="1" t="s">
        <v>20</v>
      </c>
      <c r="K167" s="1">
        <v>1166</v>
      </c>
      <c r="L167" s="1">
        <f t="shared" si="0"/>
        <v>376.2</v>
      </c>
      <c r="M167" s="1" t="str">
        <f t="shared" si="1"/>
        <v>AVERAGE</v>
      </c>
    </row>
    <row r="168" spans="1:13" x14ac:dyDescent="0.3">
      <c r="A168" s="1" t="s">
        <v>48</v>
      </c>
      <c r="B168" s="1" t="s">
        <v>17</v>
      </c>
      <c r="C168" s="1" t="s">
        <v>13</v>
      </c>
      <c r="D168" s="1" t="s">
        <v>37</v>
      </c>
      <c r="E168" s="1">
        <v>20</v>
      </c>
      <c r="F168" s="1">
        <v>251</v>
      </c>
      <c r="G168" s="1">
        <v>5</v>
      </c>
      <c r="H168" s="2">
        <v>46160</v>
      </c>
      <c r="I168" s="2">
        <v>46170</v>
      </c>
      <c r="J168" s="1" t="s">
        <v>29</v>
      </c>
      <c r="K168" s="1">
        <v>1167</v>
      </c>
      <c r="L168" s="1">
        <f t="shared" si="0"/>
        <v>4769</v>
      </c>
      <c r="M168" s="1" t="str">
        <f t="shared" si="1"/>
        <v>AVERAGE</v>
      </c>
    </row>
    <row r="169" spans="1:13" x14ac:dyDescent="0.3">
      <c r="A169" s="1" t="s">
        <v>54</v>
      </c>
      <c r="B169" s="1" t="s">
        <v>12</v>
      </c>
      <c r="C169" s="1" t="s">
        <v>13</v>
      </c>
      <c r="D169" s="1" t="s">
        <v>37</v>
      </c>
      <c r="E169" s="1">
        <v>18</v>
      </c>
      <c r="F169" s="1">
        <v>335</v>
      </c>
      <c r="G169" s="1">
        <v>15</v>
      </c>
      <c r="H169" s="2">
        <v>46130</v>
      </c>
      <c r="I169" s="2">
        <v>46140</v>
      </c>
      <c r="J169" s="1" t="s">
        <v>29</v>
      </c>
      <c r="K169" s="1">
        <v>1168</v>
      </c>
      <c r="L169" s="1">
        <f t="shared" si="0"/>
        <v>5125.5</v>
      </c>
      <c r="M169" s="1" t="str">
        <f t="shared" si="1"/>
        <v>AVERAGE</v>
      </c>
    </row>
    <row r="170" spans="1:13" x14ac:dyDescent="0.3">
      <c r="A170" s="1" t="s">
        <v>47</v>
      </c>
      <c r="B170" s="1" t="s">
        <v>12</v>
      </c>
      <c r="C170" s="1" t="s">
        <v>18</v>
      </c>
      <c r="D170" s="1" t="s">
        <v>56</v>
      </c>
      <c r="E170" s="1">
        <v>12</v>
      </c>
      <c r="F170" s="1">
        <v>12104</v>
      </c>
      <c r="G170" s="1">
        <v>7</v>
      </c>
      <c r="H170" s="2">
        <v>46121</v>
      </c>
      <c r="I170" s="2">
        <v>46130</v>
      </c>
      <c r="J170" s="1" t="s">
        <v>24</v>
      </c>
      <c r="K170" s="1">
        <v>1169</v>
      </c>
      <c r="L170" s="1">
        <f t="shared" si="0"/>
        <v>135080.63999999998</v>
      </c>
      <c r="M170" s="1" t="str">
        <f t="shared" si="1"/>
        <v>EXCELLENT</v>
      </c>
    </row>
    <row r="171" spans="1:13" x14ac:dyDescent="0.3">
      <c r="A171" s="1" t="s">
        <v>49</v>
      </c>
      <c r="B171" s="1" t="s">
        <v>38</v>
      </c>
      <c r="C171" s="1" t="s">
        <v>13</v>
      </c>
      <c r="D171" s="1" t="s">
        <v>14</v>
      </c>
      <c r="E171" s="1">
        <v>6</v>
      </c>
      <c r="F171" s="1">
        <v>339</v>
      </c>
      <c r="G171" s="1">
        <v>12</v>
      </c>
      <c r="H171" s="2">
        <v>46105</v>
      </c>
      <c r="I171" s="2">
        <v>46106</v>
      </c>
      <c r="J171" s="1" t="s">
        <v>24</v>
      </c>
      <c r="K171" s="1">
        <v>1170</v>
      </c>
      <c r="L171" s="1">
        <f t="shared" si="0"/>
        <v>1789.92</v>
      </c>
      <c r="M171" s="1" t="str">
        <f t="shared" si="1"/>
        <v>AVERAGE</v>
      </c>
    </row>
    <row r="172" spans="1:13" x14ac:dyDescent="0.3">
      <c r="A172" s="1" t="s">
        <v>57</v>
      </c>
      <c r="B172" s="1" t="s">
        <v>25</v>
      </c>
      <c r="C172" s="1" t="s">
        <v>13</v>
      </c>
      <c r="D172" s="1" t="s">
        <v>50</v>
      </c>
      <c r="E172" s="1">
        <v>17</v>
      </c>
      <c r="F172" s="1">
        <v>147</v>
      </c>
      <c r="G172" s="1">
        <v>12</v>
      </c>
      <c r="H172" s="2">
        <v>46155</v>
      </c>
      <c r="I172" s="2">
        <v>46160</v>
      </c>
      <c r="J172" s="1" t="s">
        <v>20</v>
      </c>
      <c r="K172" s="1">
        <v>1171</v>
      </c>
      <c r="L172" s="1">
        <f t="shared" si="0"/>
        <v>2199.12</v>
      </c>
      <c r="M172" s="1" t="str">
        <f t="shared" si="1"/>
        <v>AVERAGE</v>
      </c>
    </row>
    <row r="173" spans="1:13" x14ac:dyDescent="0.3">
      <c r="A173" s="1" t="s">
        <v>16</v>
      </c>
      <c r="B173" s="1" t="s">
        <v>12</v>
      </c>
      <c r="C173" s="1" t="s">
        <v>34</v>
      </c>
      <c r="D173" s="1" t="s">
        <v>45</v>
      </c>
      <c r="E173" s="1">
        <v>13</v>
      </c>
      <c r="F173" s="1">
        <v>43163</v>
      </c>
      <c r="G173" s="1">
        <v>12</v>
      </c>
      <c r="H173" s="2">
        <v>46120</v>
      </c>
      <c r="I173" s="2">
        <v>46129</v>
      </c>
      <c r="J173" s="1" t="s">
        <v>24</v>
      </c>
      <c r="K173" s="1">
        <v>1172</v>
      </c>
      <c r="L173" s="1">
        <f t="shared" si="0"/>
        <v>493784.72000000003</v>
      </c>
      <c r="M173" s="1" t="str">
        <f t="shared" si="1"/>
        <v>EXCELLENT</v>
      </c>
    </row>
    <row r="174" spans="1:13" x14ac:dyDescent="0.3">
      <c r="A174" s="1" t="s">
        <v>40</v>
      </c>
      <c r="B174" s="1" t="s">
        <v>17</v>
      </c>
      <c r="C174" s="1" t="s">
        <v>13</v>
      </c>
      <c r="D174" s="1" t="s">
        <v>37</v>
      </c>
      <c r="E174" s="1">
        <v>15</v>
      </c>
      <c r="F174" s="1">
        <v>214</v>
      </c>
      <c r="G174" s="1">
        <v>10</v>
      </c>
      <c r="H174" s="2">
        <v>46050</v>
      </c>
      <c r="I174" s="2">
        <v>46060</v>
      </c>
      <c r="J174" s="1" t="s">
        <v>51</v>
      </c>
      <c r="K174" s="1">
        <v>1173</v>
      </c>
      <c r="L174" s="1">
        <f t="shared" si="0"/>
        <v>2889</v>
      </c>
      <c r="M174" s="1" t="str">
        <f t="shared" si="1"/>
        <v>AVERAGE</v>
      </c>
    </row>
    <row r="175" spans="1:13" x14ac:dyDescent="0.3">
      <c r="A175" s="1" t="s">
        <v>58</v>
      </c>
      <c r="B175" s="1" t="s">
        <v>38</v>
      </c>
      <c r="C175" s="1" t="s">
        <v>13</v>
      </c>
      <c r="D175" s="1" t="s">
        <v>14</v>
      </c>
      <c r="E175" s="1">
        <v>13</v>
      </c>
      <c r="F175" s="1">
        <v>155</v>
      </c>
      <c r="G175" s="1">
        <v>2</v>
      </c>
      <c r="H175" s="2">
        <v>46066</v>
      </c>
      <c r="I175" s="2">
        <v>46069</v>
      </c>
      <c r="J175" s="1" t="s">
        <v>24</v>
      </c>
      <c r="K175" s="1">
        <v>1174</v>
      </c>
      <c r="L175" s="1">
        <f t="shared" si="0"/>
        <v>1974.7</v>
      </c>
      <c r="M175" s="1" t="str">
        <f t="shared" si="1"/>
        <v>AVERAGE</v>
      </c>
    </row>
    <row r="176" spans="1:13" x14ac:dyDescent="0.3">
      <c r="A176" s="1" t="s">
        <v>26</v>
      </c>
      <c r="B176" s="1" t="s">
        <v>17</v>
      </c>
      <c r="C176" s="1" t="s">
        <v>34</v>
      </c>
      <c r="D176" s="1" t="s">
        <v>41</v>
      </c>
      <c r="E176" s="1">
        <v>10</v>
      </c>
      <c r="F176" s="1">
        <v>20339</v>
      </c>
      <c r="G176" s="1">
        <v>2</v>
      </c>
      <c r="H176" s="2">
        <v>46088</v>
      </c>
      <c r="I176" s="2">
        <v>46094</v>
      </c>
      <c r="J176" s="1" t="s">
        <v>20</v>
      </c>
      <c r="K176" s="1">
        <v>1175</v>
      </c>
      <c r="L176" s="1">
        <f t="shared" si="0"/>
        <v>199322.19999999998</v>
      </c>
      <c r="M176" s="1" t="str">
        <f t="shared" si="1"/>
        <v>EXCELLENT</v>
      </c>
    </row>
    <row r="177" spans="1:13" x14ac:dyDescent="0.3">
      <c r="A177" s="1" t="s">
        <v>58</v>
      </c>
      <c r="B177" s="1" t="s">
        <v>38</v>
      </c>
      <c r="C177" s="1" t="s">
        <v>34</v>
      </c>
      <c r="D177" s="1" t="s">
        <v>41</v>
      </c>
      <c r="E177" s="1">
        <v>17</v>
      </c>
      <c r="F177" s="1">
        <v>46937</v>
      </c>
      <c r="G177" s="1">
        <v>12</v>
      </c>
      <c r="H177" s="2">
        <v>46048</v>
      </c>
      <c r="I177" s="2">
        <v>46056</v>
      </c>
      <c r="J177" s="1" t="s">
        <v>29</v>
      </c>
      <c r="K177" s="1">
        <v>1176</v>
      </c>
      <c r="L177" s="1">
        <f t="shared" si="0"/>
        <v>702177.52</v>
      </c>
      <c r="M177" s="1" t="str">
        <f t="shared" si="1"/>
        <v>EXCELLENT</v>
      </c>
    </row>
    <row r="178" spans="1:13" x14ac:dyDescent="0.3">
      <c r="A178" s="1" t="s">
        <v>29</v>
      </c>
      <c r="B178" s="1" t="s">
        <v>22</v>
      </c>
      <c r="C178" s="1" t="s">
        <v>18</v>
      </c>
      <c r="D178" s="1" t="s">
        <v>19</v>
      </c>
      <c r="E178" s="1">
        <v>14</v>
      </c>
      <c r="F178" s="1">
        <v>7501</v>
      </c>
      <c r="G178" s="1">
        <v>7</v>
      </c>
      <c r="H178" s="2">
        <v>46169</v>
      </c>
      <c r="I178" s="2">
        <v>46179</v>
      </c>
      <c r="J178" s="1" t="s">
        <v>20</v>
      </c>
      <c r="K178" s="1">
        <v>1177</v>
      </c>
      <c r="L178" s="1">
        <f t="shared" si="0"/>
        <v>97663.01999999999</v>
      </c>
      <c r="M178" s="1" t="str">
        <f t="shared" si="1"/>
        <v>VERY GOOD</v>
      </c>
    </row>
    <row r="179" spans="1:13" x14ac:dyDescent="0.3">
      <c r="A179" s="1" t="s">
        <v>57</v>
      </c>
      <c r="B179" s="1" t="s">
        <v>17</v>
      </c>
      <c r="C179" s="1" t="s">
        <v>13</v>
      </c>
      <c r="D179" s="1" t="s">
        <v>50</v>
      </c>
      <c r="E179" s="1">
        <v>5</v>
      </c>
      <c r="F179" s="1">
        <v>50</v>
      </c>
      <c r="G179" s="1">
        <v>0</v>
      </c>
      <c r="H179" s="2">
        <v>46111</v>
      </c>
      <c r="I179" s="2">
        <v>46117</v>
      </c>
      <c r="J179" s="1" t="s">
        <v>20</v>
      </c>
      <c r="K179" s="1">
        <v>1178</v>
      </c>
      <c r="L179" s="1">
        <f t="shared" si="0"/>
        <v>250</v>
      </c>
      <c r="M179" s="1" t="str">
        <f t="shared" si="1"/>
        <v>AVERAGE</v>
      </c>
    </row>
    <row r="180" spans="1:13" x14ac:dyDescent="0.3">
      <c r="A180" s="1" t="s">
        <v>47</v>
      </c>
      <c r="B180" s="1" t="s">
        <v>17</v>
      </c>
      <c r="C180" s="1" t="s">
        <v>34</v>
      </c>
      <c r="D180" s="1" t="s">
        <v>39</v>
      </c>
      <c r="E180" s="1">
        <v>6</v>
      </c>
      <c r="F180" s="1">
        <v>10400</v>
      </c>
      <c r="G180" s="1">
        <v>2</v>
      </c>
      <c r="H180" s="2">
        <v>46155</v>
      </c>
      <c r="I180" s="2">
        <v>46158</v>
      </c>
      <c r="J180" s="1" t="s">
        <v>15</v>
      </c>
      <c r="K180" s="1">
        <v>1179</v>
      </c>
      <c r="L180" s="1">
        <f t="shared" si="0"/>
        <v>61152</v>
      </c>
      <c r="M180" s="1" t="str">
        <f t="shared" si="1"/>
        <v>VERY GOOD</v>
      </c>
    </row>
    <row r="181" spans="1:13" x14ac:dyDescent="0.3">
      <c r="A181" s="1" t="s">
        <v>40</v>
      </c>
      <c r="B181" s="1" t="s">
        <v>31</v>
      </c>
      <c r="C181" s="1" t="s">
        <v>18</v>
      </c>
      <c r="D181" s="1" t="s">
        <v>28</v>
      </c>
      <c r="E181" s="1">
        <v>2</v>
      </c>
      <c r="F181" s="1">
        <v>2076</v>
      </c>
      <c r="G181" s="1">
        <v>2</v>
      </c>
      <c r="H181" s="2">
        <v>46111</v>
      </c>
      <c r="I181" s="2">
        <v>46121</v>
      </c>
      <c r="J181" s="1" t="s">
        <v>29</v>
      </c>
      <c r="K181" s="1">
        <v>1180</v>
      </c>
      <c r="L181" s="1">
        <f t="shared" si="0"/>
        <v>4068.96</v>
      </c>
      <c r="M181" s="1" t="str">
        <f t="shared" si="1"/>
        <v>AVERAGE</v>
      </c>
    </row>
    <row r="182" spans="1:13" x14ac:dyDescent="0.3">
      <c r="A182" s="1" t="s">
        <v>58</v>
      </c>
      <c r="B182" s="1" t="s">
        <v>33</v>
      </c>
      <c r="C182" s="1" t="s">
        <v>13</v>
      </c>
      <c r="D182" s="1" t="s">
        <v>36</v>
      </c>
      <c r="E182" s="1">
        <v>4</v>
      </c>
      <c r="F182" s="1">
        <v>357</v>
      </c>
      <c r="G182" s="1">
        <v>2</v>
      </c>
      <c r="H182" s="2">
        <v>46033</v>
      </c>
      <c r="I182" s="2">
        <v>46035</v>
      </c>
      <c r="J182" s="1" t="s">
        <v>15</v>
      </c>
      <c r="K182" s="1">
        <v>1181</v>
      </c>
      <c r="L182" s="1">
        <f t="shared" si="0"/>
        <v>1399.44</v>
      </c>
      <c r="M182" s="1" t="str">
        <f t="shared" si="1"/>
        <v>AVERAGE</v>
      </c>
    </row>
    <row r="183" spans="1:13" x14ac:dyDescent="0.3">
      <c r="A183" s="1" t="s">
        <v>42</v>
      </c>
      <c r="B183" s="1" t="s">
        <v>12</v>
      </c>
      <c r="C183" s="1" t="s">
        <v>34</v>
      </c>
      <c r="D183" s="1" t="s">
        <v>39</v>
      </c>
      <c r="E183" s="1">
        <v>8</v>
      </c>
      <c r="F183" s="1">
        <v>66022</v>
      </c>
      <c r="G183" s="1">
        <v>12</v>
      </c>
      <c r="H183" s="2">
        <v>46108</v>
      </c>
      <c r="I183" s="2">
        <v>46114</v>
      </c>
      <c r="J183" s="1" t="s">
        <v>24</v>
      </c>
      <c r="K183" s="1">
        <v>1182</v>
      </c>
      <c r="L183" s="1">
        <f t="shared" si="0"/>
        <v>464794.88</v>
      </c>
      <c r="M183" s="1" t="str">
        <f t="shared" si="1"/>
        <v>EXCELLENT</v>
      </c>
    </row>
    <row r="184" spans="1:13" x14ac:dyDescent="0.3">
      <c r="A184" s="1" t="s">
        <v>52</v>
      </c>
      <c r="B184" s="1" t="s">
        <v>43</v>
      </c>
      <c r="C184" s="1" t="s">
        <v>13</v>
      </c>
      <c r="D184" s="1" t="s">
        <v>14</v>
      </c>
      <c r="E184" s="1">
        <v>2</v>
      </c>
      <c r="F184" s="1">
        <v>309</v>
      </c>
      <c r="G184" s="1">
        <v>2</v>
      </c>
      <c r="H184" s="2">
        <v>46109</v>
      </c>
      <c r="I184" s="2">
        <v>46111</v>
      </c>
      <c r="J184" s="1" t="s">
        <v>20</v>
      </c>
      <c r="K184" s="1">
        <v>1183</v>
      </c>
      <c r="L184" s="1">
        <f t="shared" si="0"/>
        <v>605.64</v>
      </c>
      <c r="M184" s="1" t="str">
        <f t="shared" si="1"/>
        <v>AVERAGE</v>
      </c>
    </row>
    <row r="185" spans="1:13" x14ac:dyDescent="0.3">
      <c r="A185" s="1" t="s">
        <v>40</v>
      </c>
      <c r="B185" s="1" t="s">
        <v>31</v>
      </c>
      <c r="C185" s="1" t="s">
        <v>34</v>
      </c>
      <c r="D185" s="1" t="s">
        <v>39</v>
      </c>
      <c r="E185" s="1">
        <v>12</v>
      </c>
      <c r="F185" s="1">
        <v>50517</v>
      </c>
      <c r="G185" s="1">
        <v>15</v>
      </c>
      <c r="H185" s="2">
        <v>46145</v>
      </c>
      <c r="I185" s="2">
        <v>46153</v>
      </c>
      <c r="J185" s="1" t="s">
        <v>29</v>
      </c>
      <c r="K185" s="1">
        <v>1184</v>
      </c>
      <c r="L185" s="1">
        <f t="shared" si="0"/>
        <v>515273.39999999997</v>
      </c>
      <c r="M185" s="1" t="str">
        <f t="shared" si="1"/>
        <v>EXCELLENT</v>
      </c>
    </row>
    <row r="186" spans="1:13" x14ac:dyDescent="0.3">
      <c r="A186" s="1" t="s">
        <v>58</v>
      </c>
      <c r="B186" s="1" t="s">
        <v>22</v>
      </c>
      <c r="C186" s="1" t="s">
        <v>34</v>
      </c>
      <c r="D186" s="1" t="s">
        <v>60</v>
      </c>
      <c r="E186" s="1">
        <v>16</v>
      </c>
      <c r="F186" s="1">
        <v>15536</v>
      </c>
      <c r="G186" s="1">
        <v>2</v>
      </c>
      <c r="H186" s="2">
        <v>46153</v>
      </c>
      <c r="I186" s="2">
        <v>46156</v>
      </c>
      <c r="J186" s="1" t="s">
        <v>15</v>
      </c>
      <c r="K186" s="1">
        <v>1185</v>
      </c>
      <c r="L186" s="1">
        <f t="shared" si="0"/>
        <v>243604.47999999998</v>
      </c>
      <c r="M186" s="1" t="str">
        <f t="shared" si="1"/>
        <v>EXCELLENT</v>
      </c>
    </row>
    <row r="187" spans="1:13" x14ac:dyDescent="0.3">
      <c r="A187" s="1" t="s">
        <v>16</v>
      </c>
      <c r="B187" s="1" t="s">
        <v>25</v>
      </c>
      <c r="C187" s="1" t="s">
        <v>18</v>
      </c>
      <c r="D187" s="1" t="s">
        <v>44</v>
      </c>
      <c r="E187" s="1">
        <v>10</v>
      </c>
      <c r="F187" s="1">
        <v>14951</v>
      </c>
      <c r="G187" s="1">
        <v>2</v>
      </c>
      <c r="H187" s="2">
        <v>46188</v>
      </c>
      <c r="I187" s="2">
        <v>46196</v>
      </c>
      <c r="J187" s="1" t="s">
        <v>24</v>
      </c>
      <c r="K187" s="1">
        <v>1186</v>
      </c>
      <c r="L187" s="1">
        <f t="shared" si="0"/>
        <v>146519.79999999999</v>
      </c>
      <c r="M187" s="1" t="str">
        <f t="shared" si="1"/>
        <v>EXCELLENT</v>
      </c>
    </row>
    <row r="188" spans="1:13" x14ac:dyDescent="0.3">
      <c r="A188" s="1" t="s">
        <v>54</v>
      </c>
      <c r="B188" s="1" t="s">
        <v>22</v>
      </c>
      <c r="C188" s="1" t="s">
        <v>34</v>
      </c>
      <c r="D188" s="1" t="s">
        <v>45</v>
      </c>
      <c r="E188" s="1">
        <v>18</v>
      </c>
      <c r="F188" s="1">
        <v>68527</v>
      </c>
      <c r="G188" s="1">
        <v>12</v>
      </c>
      <c r="H188" s="2">
        <v>46178</v>
      </c>
      <c r="I188" s="2">
        <v>46184</v>
      </c>
      <c r="J188" s="1" t="s">
        <v>51</v>
      </c>
      <c r="K188" s="1">
        <v>1187</v>
      </c>
      <c r="L188" s="1">
        <f t="shared" si="0"/>
        <v>1085467.68</v>
      </c>
      <c r="M188" s="1" t="str">
        <f t="shared" si="1"/>
        <v>EXCELLENT</v>
      </c>
    </row>
    <row r="189" spans="1:13" x14ac:dyDescent="0.3">
      <c r="A189" s="1" t="s">
        <v>29</v>
      </c>
      <c r="B189" s="1" t="s">
        <v>22</v>
      </c>
      <c r="C189" s="1" t="s">
        <v>18</v>
      </c>
      <c r="D189" s="1" t="s">
        <v>56</v>
      </c>
      <c r="E189" s="1">
        <v>6</v>
      </c>
      <c r="F189" s="1">
        <v>10368</v>
      </c>
      <c r="G189" s="1">
        <v>7</v>
      </c>
      <c r="H189" s="2">
        <v>46137</v>
      </c>
      <c r="I189" s="2">
        <v>46142</v>
      </c>
      <c r="J189" s="1" t="s">
        <v>15</v>
      </c>
      <c r="K189" s="1">
        <v>1188</v>
      </c>
      <c r="L189" s="1">
        <f t="shared" si="0"/>
        <v>57853.439999999995</v>
      </c>
      <c r="M189" s="1" t="str">
        <f t="shared" si="1"/>
        <v>VERY GOOD</v>
      </c>
    </row>
    <row r="190" spans="1:13" x14ac:dyDescent="0.3">
      <c r="A190" s="1" t="s">
        <v>49</v>
      </c>
      <c r="B190" s="1" t="s">
        <v>31</v>
      </c>
      <c r="C190" s="1" t="s">
        <v>18</v>
      </c>
      <c r="D190" s="1" t="s">
        <v>56</v>
      </c>
      <c r="E190" s="1">
        <v>12</v>
      </c>
      <c r="F190" s="1">
        <v>8327</v>
      </c>
      <c r="G190" s="1">
        <v>10</v>
      </c>
      <c r="H190" s="2">
        <v>46184</v>
      </c>
      <c r="I190" s="2">
        <v>46185</v>
      </c>
      <c r="J190" s="1" t="s">
        <v>29</v>
      </c>
      <c r="K190" s="1">
        <v>1189</v>
      </c>
      <c r="L190" s="1">
        <f t="shared" si="0"/>
        <v>89931.6</v>
      </c>
      <c r="M190" s="1" t="str">
        <f t="shared" si="1"/>
        <v>VERY GOOD</v>
      </c>
    </row>
    <row r="191" spans="1:13" x14ac:dyDescent="0.3">
      <c r="A191" s="1" t="s">
        <v>57</v>
      </c>
      <c r="B191" s="1" t="s">
        <v>17</v>
      </c>
      <c r="C191" s="1" t="s">
        <v>18</v>
      </c>
      <c r="D191" s="1" t="s">
        <v>28</v>
      </c>
      <c r="E191" s="1">
        <v>4</v>
      </c>
      <c r="F191" s="1">
        <v>10154</v>
      </c>
      <c r="G191" s="1">
        <v>7</v>
      </c>
      <c r="H191" s="2">
        <v>46052</v>
      </c>
      <c r="I191" s="2">
        <v>46062</v>
      </c>
      <c r="J191" s="1" t="s">
        <v>20</v>
      </c>
      <c r="K191" s="1">
        <v>1190</v>
      </c>
      <c r="L191" s="1">
        <f t="shared" si="0"/>
        <v>37772.879999999997</v>
      </c>
      <c r="M191" s="1" t="str">
        <f t="shared" si="1"/>
        <v>GOOD</v>
      </c>
    </row>
    <row r="192" spans="1:13" x14ac:dyDescent="0.3">
      <c r="A192" s="1" t="s">
        <v>52</v>
      </c>
      <c r="B192" s="1" t="s">
        <v>33</v>
      </c>
      <c r="C192" s="1" t="s">
        <v>18</v>
      </c>
      <c r="D192" s="1" t="s">
        <v>56</v>
      </c>
      <c r="E192" s="1">
        <v>9</v>
      </c>
      <c r="F192" s="1">
        <v>8631</v>
      </c>
      <c r="G192" s="1">
        <v>10</v>
      </c>
      <c r="H192" s="2">
        <v>46149</v>
      </c>
      <c r="I192" s="2">
        <v>46156</v>
      </c>
      <c r="J192" s="1" t="s">
        <v>20</v>
      </c>
      <c r="K192" s="1">
        <v>1191</v>
      </c>
      <c r="L192" s="1">
        <f t="shared" si="0"/>
        <v>69911.100000000006</v>
      </c>
      <c r="M192" s="1" t="str">
        <f t="shared" si="1"/>
        <v>VERY GOOD</v>
      </c>
    </row>
    <row r="193" spans="1:13" x14ac:dyDescent="0.3">
      <c r="A193" s="1" t="s">
        <v>21</v>
      </c>
      <c r="B193" s="1" t="s">
        <v>33</v>
      </c>
      <c r="C193" s="1" t="s">
        <v>13</v>
      </c>
      <c r="D193" s="1" t="s">
        <v>53</v>
      </c>
      <c r="E193" s="1">
        <v>18</v>
      </c>
      <c r="F193" s="1">
        <v>49</v>
      </c>
      <c r="G193" s="1">
        <v>12</v>
      </c>
      <c r="H193" s="2">
        <v>46089</v>
      </c>
      <c r="I193" s="2">
        <v>46095</v>
      </c>
      <c r="J193" s="1" t="s">
        <v>24</v>
      </c>
      <c r="K193" s="1">
        <v>1192</v>
      </c>
      <c r="L193" s="1">
        <f t="shared" si="0"/>
        <v>776.16</v>
      </c>
      <c r="M193" s="1" t="str">
        <f t="shared" si="1"/>
        <v>AVERAGE</v>
      </c>
    </row>
    <row r="194" spans="1:13" x14ac:dyDescent="0.3">
      <c r="A194" s="1" t="s">
        <v>57</v>
      </c>
      <c r="B194" s="1" t="s">
        <v>12</v>
      </c>
      <c r="C194" s="1" t="s">
        <v>18</v>
      </c>
      <c r="D194" s="1" t="s">
        <v>23</v>
      </c>
      <c r="E194" s="1">
        <v>19</v>
      </c>
      <c r="F194" s="1">
        <v>2699</v>
      </c>
      <c r="G194" s="1">
        <v>7</v>
      </c>
      <c r="H194" s="2">
        <v>46110</v>
      </c>
      <c r="I194" s="2">
        <v>46112</v>
      </c>
      <c r="J194" s="1" t="s">
        <v>29</v>
      </c>
      <c r="K194" s="1">
        <v>1193</v>
      </c>
      <c r="L194" s="1">
        <f t="shared" si="0"/>
        <v>47691.329999999994</v>
      </c>
      <c r="M194" s="1" t="str">
        <f t="shared" si="1"/>
        <v>GOOD</v>
      </c>
    </row>
    <row r="195" spans="1:13" x14ac:dyDescent="0.3">
      <c r="A195" s="1" t="s">
        <v>57</v>
      </c>
      <c r="B195" s="1" t="s">
        <v>43</v>
      </c>
      <c r="C195" s="1" t="s">
        <v>18</v>
      </c>
      <c r="D195" s="1" t="s">
        <v>28</v>
      </c>
      <c r="E195" s="1">
        <v>13</v>
      </c>
      <c r="F195" s="1">
        <v>12856</v>
      </c>
      <c r="G195" s="1">
        <v>15</v>
      </c>
      <c r="H195" s="2">
        <v>46129</v>
      </c>
      <c r="I195" s="2">
        <v>46133</v>
      </c>
      <c r="J195" s="1" t="s">
        <v>51</v>
      </c>
      <c r="K195" s="1">
        <v>1194</v>
      </c>
      <c r="L195" s="1">
        <f t="shared" si="0"/>
        <v>142058.79999999999</v>
      </c>
      <c r="M195" s="1" t="str">
        <f t="shared" si="1"/>
        <v>EXCELLENT</v>
      </c>
    </row>
    <row r="196" spans="1:13" x14ac:dyDescent="0.3">
      <c r="A196" s="1" t="s">
        <v>59</v>
      </c>
      <c r="B196" s="1" t="s">
        <v>17</v>
      </c>
      <c r="C196" s="1" t="s">
        <v>13</v>
      </c>
      <c r="D196" s="1" t="s">
        <v>50</v>
      </c>
      <c r="E196" s="1">
        <v>19</v>
      </c>
      <c r="F196" s="1">
        <v>313</v>
      </c>
      <c r="G196" s="1">
        <v>2</v>
      </c>
      <c r="H196" s="2">
        <v>46198</v>
      </c>
      <c r="I196" s="2">
        <v>46206</v>
      </c>
      <c r="J196" s="1" t="s">
        <v>51</v>
      </c>
      <c r="K196" s="1">
        <v>1195</v>
      </c>
      <c r="L196" s="1">
        <f t="shared" si="0"/>
        <v>5828.0599999999995</v>
      </c>
      <c r="M196" s="1" t="str">
        <f t="shared" si="1"/>
        <v>AVERAGE</v>
      </c>
    </row>
    <row r="197" spans="1:13" x14ac:dyDescent="0.3">
      <c r="A197" s="1" t="s">
        <v>48</v>
      </c>
      <c r="B197" s="1" t="s">
        <v>22</v>
      </c>
      <c r="C197" s="1" t="s">
        <v>34</v>
      </c>
      <c r="D197" s="1" t="s">
        <v>35</v>
      </c>
      <c r="E197" s="1">
        <v>20</v>
      </c>
      <c r="F197" s="1">
        <v>3172</v>
      </c>
      <c r="G197" s="1">
        <v>5</v>
      </c>
      <c r="H197" s="2">
        <v>46155</v>
      </c>
      <c r="I197" s="2">
        <v>46159</v>
      </c>
      <c r="J197" s="1" t="s">
        <v>20</v>
      </c>
      <c r="K197" s="1">
        <v>1196</v>
      </c>
      <c r="L197" s="1">
        <f t="shared" si="0"/>
        <v>60268</v>
      </c>
      <c r="M197" s="1" t="str">
        <f t="shared" si="1"/>
        <v>VERY GOOD</v>
      </c>
    </row>
    <row r="198" spans="1:13" x14ac:dyDescent="0.3">
      <c r="A198" s="1" t="s">
        <v>52</v>
      </c>
      <c r="B198" s="1" t="s">
        <v>31</v>
      </c>
      <c r="C198" s="1" t="s">
        <v>34</v>
      </c>
      <c r="D198" s="1" t="s">
        <v>35</v>
      </c>
      <c r="E198" s="1">
        <v>5</v>
      </c>
      <c r="F198" s="1">
        <v>45352</v>
      </c>
      <c r="G198" s="1">
        <v>12</v>
      </c>
      <c r="H198" s="2">
        <v>46045</v>
      </c>
      <c r="I198" s="2">
        <v>46048</v>
      </c>
      <c r="J198" s="1" t="s">
        <v>15</v>
      </c>
      <c r="K198" s="1">
        <v>1197</v>
      </c>
      <c r="L198" s="1">
        <f t="shared" si="0"/>
        <v>199548.79999999999</v>
      </c>
      <c r="M198" s="1" t="str">
        <f t="shared" si="1"/>
        <v>EXCELLENT</v>
      </c>
    </row>
    <row r="199" spans="1:13" x14ac:dyDescent="0.3">
      <c r="A199" s="1" t="s">
        <v>58</v>
      </c>
      <c r="B199" s="1" t="s">
        <v>12</v>
      </c>
      <c r="C199" s="1" t="s">
        <v>13</v>
      </c>
      <c r="D199" s="1" t="s">
        <v>14</v>
      </c>
      <c r="E199" s="1">
        <v>12</v>
      </c>
      <c r="F199" s="1">
        <v>491</v>
      </c>
      <c r="G199" s="1">
        <v>2</v>
      </c>
      <c r="H199" s="2">
        <v>46106</v>
      </c>
      <c r="I199" s="2">
        <v>46109</v>
      </c>
      <c r="J199" s="1" t="s">
        <v>51</v>
      </c>
      <c r="K199" s="1">
        <v>1198</v>
      </c>
      <c r="L199" s="1">
        <f t="shared" si="0"/>
        <v>5774.16</v>
      </c>
      <c r="M199" s="1" t="str">
        <f t="shared" si="1"/>
        <v>AVERAGE</v>
      </c>
    </row>
    <row r="200" spans="1:13" x14ac:dyDescent="0.3">
      <c r="A200" s="1" t="s">
        <v>11</v>
      </c>
      <c r="B200" s="1" t="s">
        <v>25</v>
      </c>
      <c r="C200" s="1" t="s">
        <v>34</v>
      </c>
      <c r="D200" s="1" t="s">
        <v>45</v>
      </c>
      <c r="E200" s="1">
        <v>2</v>
      </c>
      <c r="F200" s="1">
        <v>4375</v>
      </c>
      <c r="G200" s="1">
        <v>7</v>
      </c>
      <c r="H200" s="2">
        <v>46178</v>
      </c>
      <c r="I200" s="2">
        <v>46180</v>
      </c>
      <c r="J200" s="1" t="s">
        <v>24</v>
      </c>
      <c r="K200" s="1">
        <v>1199</v>
      </c>
      <c r="L200" s="1">
        <f t="shared" si="0"/>
        <v>8137.4999999999991</v>
      </c>
      <c r="M200" s="1" t="str">
        <f t="shared" si="1"/>
        <v>AVERAGE</v>
      </c>
    </row>
    <row r="201" spans="1:13" x14ac:dyDescent="0.3">
      <c r="A201" s="1" t="s">
        <v>29</v>
      </c>
      <c r="B201" s="1" t="s">
        <v>31</v>
      </c>
      <c r="C201" s="1" t="s">
        <v>34</v>
      </c>
      <c r="D201" s="1" t="s">
        <v>45</v>
      </c>
      <c r="E201" s="1">
        <v>13</v>
      </c>
      <c r="F201" s="1">
        <v>69422</v>
      </c>
      <c r="G201" s="1">
        <v>0</v>
      </c>
      <c r="H201" s="2">
        <v>46134</v>
      </c>
      <c r="I201" s="2">
        <v>46143</v>
      </c>
      <c r="J201" s="1" t="s">
        <v>29</v>
      </c>
      <c r="K201" s="1">
        <v>1200</v>
      </c>
      <c r="L201" s="1">
        <f t="shared" si="0"/>
        <v>902486</v>
      </c>
      <c r="M201" s="1" t="str">
        <f t="shared" si="1"/>
        <v>EXCELLENT</v>
      </c>
    </row>
    <row r="202" spans="1:13" x14ac:dyDescent="0.3">
      <c r="A202" s="1" t="s">
        <v>54</v>
      </c>
      <c r="B202" s="1" t="s">
        <v>31</v>
      </c>
      <c r="C202" s="1" t="s">
        <v>13</v>
      </c>
      <c r="D202" s="1" t="s">
        <v>53</v>
      </c>
      <c r="E202" s="1">
        <v>18</v>
      </c>
      <c r="F202" s="1">
        <v>139</v>
      </c>
      <c r="G202" s="1">
        <v>12</v>
      </c>
      <c r="H202" s="2">
        <v>46075</v>
      </c>
      <c r="I202" s="2">
        <v>46076</v>
      </c>
      <c r="J202" s="1" t="s">
        <v>20</v>
      </c>
      <c r="K202" s="1">
        <v>1201</v>
      </c>
      <c r="L202" s="1">
        <f t="shared" si="0"/>
        <v>2201.7600000000002</v>
      </c>
      <c r="M202" s="1" t="str">
        <f t="shared" si="1"/>
        <v>AVERAGE</v>
      </c>
    </row>
    <row r="203" spans="1:13" x14ac:dyDescent="0.3">
      <c r="A203" s="1" t="s">
        <v>57</v>
      </c>
      <c r="B203" s="1" t="s">
        <v>22</v>
      </c>
      <c r="C203" s="1" t="s">
        <v>34</v>
      </c>
      <c r="D203" s="1" t="s">
        <v>35</v>
      </c>
      <c r="E203" s="1">
        <v>2</v>
      </c>
      <c r="F203" s="1">
        <v>20312</v>
      </c>
      <c r="G203" s="1">
        <v>12</v>
      </c>
      <c r="H203" s="2">
        <v>46082</v>
      </c>
      <c r="I203" s="2">
        <v>46091</v>
      </c>
      <c r="J203" s="1" t="s">
        <v>15</v>
      </c>
      <c r="K203" s="1">
        <v>1202</v>
      </c>
      <c r="L203" s="1">
        <f t="shared" si="0"/>
        <v>35749.120000000003</v>
      </c>
      <c r="M203" s="1" t="str">
        <f t="shared" si="1"/>
        <v>GOOD</v>
      </c>
    </row>
    <row r="204" spans="1:13" x14ac:dyDescent="0.3">
      <c r="A204" s="1" t="s">
        <v>40</v>
      </c>
      <c r="B204" s="1" t="s">
        <v>22</v>
      </c>
      <c r="C204" s="1" t="s">
        <v>18</v>
      </c>
      <c r="D204" s="1" t="s">
        <v>23</v>
      </c>
      <c r="E204" s="1">
        <v>17</v>
      </c>
      <c r="F204" s="1">
        <v>6695</v>
      </c>
      <c r="G204" s="1">
        <v>2</v>
      </c>
      <c r="H204" s="2">
        <v>46119</v>
      </c>
      <c r="I204" s="2">
        <v>46122</v>
      </c>
      <c r="J204" s="1" t="s">
        <v>51</v>
      </c>
      <c r="K204" s="1">
        <v>1203</v>
      </c>
      <c r="L204" s="1">
        <f t="shared" si="0"/>
        <v>111538.7</v>
      </c>
      <c r="M204" s="1" t="str">
        <f t="shared" si="1"/>
        <v>EXCELLENT</v>
      </c>
    </row>
    <row r="205" spans="1:13" x14ac:dyDescent="0.3">
      <c r="A205" s="1" t="s">
        <v>16</v>
      </c>
      <c r="B205" s="1" t="s">
        <v>31</v>
      </c>
      <c r="C205" s="1" t="s">
        <v>13</v>
      </c>
      <c r="D205" s="1" t="s">
        <v>37</v>
      </c>
      <c r="E205" s="1">
        <v>13</v>
      </c>
      <c r="F205" s="1">
        <v>416</v>
      </c>
      <c r="G205" s="1">
        <v>10</v>
      </c>
      <c r="H205" s="2">
        <v>46123</v>
      </c>
      <c r="I205" s="2">
        <v>46132</v>
      </c>
      <c r="J205" s="1" t="s">
        <v>20</v>
      </c>
      <c r="K205" s="1">
        <v>1204</v>
      </c>
      <c r="L205" s="1">
        <f t="shared" si="0"/>
        <v>4867.2</v>
      </c>
      <c r="M205" s="1" t="str">
        <f t="shared" si="1"/>
        <v>AVERAGE</v>
      </c>
    </row>
    <row r="206" spans="1:13" x14ac:dyDescent="0.3">
      <c r="A206" s="1" t="s">
        <v>21</v>
      </c>
      <c r="B206" s="1" t="s">
        <v>38</v>
      </c>
      <c r="C206" s="1" t="s">
        <v>13</v>
      </c>
      <c r="D206" s="1" t="s">
        <v>36</v>
      </c>
      <c r="E206" s="1">
        <v>1</v>
      </c>
      <c r="F206" s="1">
        <v>112</v>
      </c>
      <c r="G206" s="1">
        <v>7</v>
      </c>
      <c r="H206" s="2">
        <v>46033</v>
      </c>
      <c r="I206" s="2">
        <v>46040</v>
      </c>
      <c r="J206" s="1" t="s">
        <v>51</v>
      </c>
      <c r="K206" s="1">
        <v>1205</v>
      </c>
      <c r="L206" s="1">
        <f t="shared" si="0"/>
        <v>104.16</v>
      </c>
      <c r="M206" s="1" t="str">
        <f t="shared" si="1"/>
        <v>AVERAGE</v>
      </c>
    </row>
    <row r="207" spans="1:13" x14ac:dyDescent="0.3">
      <c r="A207" s="1" t="s">
        <v>55</v>
      </c>
      <c r="B207" s="1" t="s">
        <v>33</v>
      </c>
      <c r="C207" s="1" t="s">
        <v>13</v>
      </c>
      <c r="D207" s="1" t="s">
        <v>14</v>
      </c>
      <c r="E207" s="1">
        <v>9</v>
      </c>
      <c r="F207" s="1">
        <v>60</v>
      </c>
      <c r="G207" s="1">
        <v>0</v>
      </c>
      <c r="H207" s="2">
        <v>46166</v>
      </c>
      <c r="I207" s="2">
        <v>46174</v>
      </c>
      <c r="J207" s="1" t="s">
        <v>15</v>
      </c>
      <c r="K207" s="1">
        <v>1206</v>
      </c>
      <c r="L207" s="1">
        <f t="shared" si="0"/>
        <v>540</v>
      </c>
      <c r="M207" s="1" t="str">
        <f t="shared" si="1"/>
        <v>AVERAGE</v>
      </c>
    </row>
    <row r="208" spans="1:13" x14ac:dyDescent="0.3">
      <c r="A208" s="1" t="s">
        <v>55</v>
      </c>
      <c r="B208" s="1" t="s">
        <v>25</v>
      </c>
      <c r="C208" s="1" t="s">
        <v>13</v>
      </c>
      <c r="D208" s="1" t="s">
        <v>53</v>
      </c>
      <c r="E208" s="1">
        <v>7</v>
      </c>
      <c r="F208" s="1">
        <v>244</v>
      </c>
      <c r="G208" s="1">
        <v>2</v>
      </c>
      <c r="H208" s="2">
        <v>46164</v>
      </c>
      <c r="I208" s="2">
        <v>46173</v>
      </c>
      <c r="J208" s="1" t="s">
        <v>24</v>
      </c>
      <c r="K208" s="1">
        <v>1207</v>
      </c>
      <c r="L208" s="1">
        <f t="shared" si="0"/>
        <v>1673.84</v>
      </c>
      <c r="M208" s="1" t="str">
        <f t="shared" si="1"/>
        <v>AVERAGE</v>
      </c>
    </row>
    <row r="209" spans="1:13" x14ac:dyDescent="0.3">
      <c r="A209" s="1" t="s">
        <v>54</v>
      </c>
      <c r="B209" s="1" t="s">
        <v>43</v>
      </c>
      <c r="C209" s="1" t="s">
        <v>18</v>
      </c>
      <c r="D209" s="1" t="s">
        <v>44</v>
      </c>
      <c r="E209" s="1">
        <v>6</v>
      </c>
      <c r="F209" s="1">
        <v>7627</v>
      </c>
      <c r="G209" s="1">
        <v>10</v>
      </c>
      <c r="H209" s="2">
        <v>46042</v>
      </c>
      <c r="I209" s="2">
        <v>46047</v>
      </c>
      <c r="J209" s="1" t="s">
        <v>20</v>
      </c>
      <c r="K209" s="1">
        <v>1208</v>
      </c>
      <c r="L209" s="1">
        <f t="shared" si="0"/>
        <v>41185.800000000003</v>
      </c>
      <c r="M209" s="1" t="str">
        <f t="shared" si="1"/>
        <v>GOOD</v>
      </c>
    </row>
    <row r="210" spans="1:13" x14ac:dyDescent="0.3">
      <c r="A210" s="1" t="s">
        <v>48</v>
      </c>
      <c r="B210" s="1" t="s">
        <v>38</v>
      </c>
      <c r="C210" s="1" t="s">
        <v>34</v>
      </c>
      <c r="D210" s="1" t="s">
        <v>35</v>
      </c>
      <c r="E210" s="1">
        <v>19</v>
      </c>
      <c r="F210" s="1">
        <v>20284</v>
      </c>
      <c r="G210" s="1">
        <v>10</v>
      </c>
      <c r="H210" s="2">
        <v>46103</v>
      </c>
      <c r="I210" s="2">
        <v>46110</v>
      </c>
      <c r="J210" s="1" t="s">
        <v>20</v>
      </c>
      <c r="K210" s="1">
        <v>1209</v>
      </c>
      <c r="L210" s="1">
        <f t="shared" si="0"/>
        <v>346856.4</v>
      </c>
      <c r="M210" s="1" t="str">
        <f t="shared" si="1"/>
        <v>EXCELLENT</v>
      </c>
    </row>
    <row r="211" spans="1:13" x14ac:dyDescent="0.3">
      <c r="A211" s="1" t="s">
        <v>30</v>
      </c>
      <c r="B211" s="1" t="s">
        <v>31</v>
      </c>
      <c r="C211" s="1" t="s">
        <v>13</v>
      </c>
      <c r="D211" s="1" t="s">
        <v>53</v>
      </c>
      <c r="E211" s="1">
        <v>10</v>
      </c>
      <c r="F211" s="1">
        <v>349</v>
      </c>
      <c r="G211" s="1">
        <v>0</v>
      </c>
      <c r="H211" s="2">
        <v>46052</v>
      </c>
      <c r="I211" s="2">
        <v>46060</v>
      </c>
      <c r="J211" s="1" t="s">
        <v>29</v>
      </c>
      <c r="K211" s="1">
        <v>1210</v>
      </c>
      <c r="L211" s="1">
        <f t="shared" si="0"/>
        <v>3490</v>
      </c>
      <c r="M211" s="1" t="str">
        <f t="shared" si="1"/>
        <v>AVERAGE</v>
      </c>
    </row>
    <row r="212" spans="1:13" x14ac:dyDescent="0.3">
      <c r="A212" s="1" t="s">
        <v>48</v>
      </c>
      <c r="B212" s="1" t="s">
        <v>17</v>
      </c>
      <c r="C212" s="1" t="s">
        <v>34</v>
      </c>
      <c r="D212" s="1" t="s">
        <v>35</v>
      </c>
      <c r="E212" s="1">
        <v>3</v>
      </c>
      <c r="F212" s="1">
        <v>5962</v>
      </c>
      <c r="G212" s="1">
        <v>7</v>
      </c>
      <c r="H212" s="2">
        <v>46175</v>
      </c>
      <c r="I212" s="2">
        <v>46183</v>
      </c>
      <c r="J212" s="1" t="s">
        <v>15</v>
      </c>
      <c r="K212" s="1">
        <v>1211</v>
      </c>
      <c r="L212" s="1">
        <f t="shared" si="0"/>
        <v>16633.98</v>
      </c>
      <c r="M212" s="1" t="str">
        <f t="shared" si="1"/>
        <v>AVERAGE</v>
      </c>
    </row>
    <row r="213" spans="1:13" x14ac:dyDescent="0.3">
      <c r="A213" s="1" t="s">
        <v>59</v>
      </c>
      <c r="B213" s="1" t="s">
        <v>25</v>
      </c>
      <c r="C213" s="1" t="s">
        <v>34</v>
      </c>
      <c r="D213" s="1" t="s">
        <v>60</v>
      </c>
      <c r="E213" s="1">
        <v>10</v>
      </c>
      <c r="F213" s="1">
        <v>34380</v>
      </c>
      <c r="G213" s="1">
        <v>7</v>
      </c>
      <c r="H213" s="2">
        <v>46194</v>
      </c>
      <c r="I213" s="2">
        <v>46195</v>
      </c>
      <c r="J213" s="1" t="s">
        <v>29</v>
      </c>
      <c r="K213" s="1">
        <v>1212</v>
      </c>
      <c r="L213" s="1">
        <f t="shared" si="0"/>
        <v>319734</v>
      </c>
      <c r="M213" s="1" t="str">
        <f t="shared" si="1"/>
        <v>EXCELLENT</v>
      </c>
    </row>
    <row r="214" spans="1:13" x14ac:dyDescent="0.3">
      <c r="A214" s="1" t="s">
        <v>32</v>
      </c>
      <c r="B214" s="1" t="s">
        <v>38</v>
      </c>
      <c r="C214" s="1" t="s">
        <v>34</v>
      </c>
      <c r="D214" s="1" t="s">
        <v>45</v>
      </c>
      <c r="E214" s="1">
        <v>16</v>
      </c>
      <c r="F214" s="1">
        <v>27741</v>
      </c>
      <c r="G214" s="1">
        <v>12</v>
      </c>
      <c r="H214" s="2">
        <v>46116</v>
      </c>
      <c r="I214" s="2">
        <v>46119</v>
      </c>
      <c r="J214" s="1" t="s">
        <v>15</v>
      </c>
      <c r="K214" s="1">
        <v>1213</v>
      </c>
      <c r="L214" s="1">
        <f t="shared" si="0"/>
        <v>390593.28000000003</v>
      </c>
      <c r="M214" s="1" t="str">
        <f t="shared" si="1"/>
        <v>EXCELLENT</v>
      </c>
    </row>
    <row r="215" spans="1:13" x14ac:dyDescent="0.3">
      <c r="A215" s="1" t="s">
        <v>42</v>
      </c>
      <c r="B215" s="1" t="s">
        <v>25</v>
      </c>
      <c r="C215" s="1" t="s">
        <v>18</v>
      </c>
      <c r="D215" s="1" t="s">
        <v>28</v>
      </c>
      <c r="E215" s="1">
        <v>19</v>
      </c>
      <c r="F215" s="1">
        <v>13832</v>
      </c>
      <c r="G215" s="1">
        <v>0</v>
      </c>
      <c r="H215" s="2">
        <v>46140</v>
      </c>
      <c r="I215" s="2">
        <v>46145</v>
      </c>
      <c r="J215" s="1" t="s">
        <v>51</v>
      </c>
      <c r="K215" s="1">
        <v>1214</v>
      </c>
      <c r="L215" s="1">
        <f t="shared" si="0"/>
        <v>262808</v>
      </c>
      <c r="M215" s="1" t="str">
        <f t="shared" si="1"/>
        <v>EXCELLENT</v>
      </c>
    </row>
    <row r="216" spans="1:13" x14ac:dyDescent="0.3">
      <c r="A216" s="1" t="s">
        <v>27</v>
      </c>
      <c r="B216" s="1" t="s">
        <v>12</v>
      </c>
      <c r="C216" s="1" t="s">
        <v>18</v>
      </c>
      <c r="D216" s="1" t="s">
        <v>28</v>
      </c>
      <c r="E216" s="1">
        <v>6</v>
      </c>
      <c r="F216" s="1">
        <v>1254</v>
      </c>
      <c r="G216" s="1">
        <v>0</v>
      </c>
      <c r="H216" s="2">
        <v>46131</v>
      </c>
      <c r="I216" s="2">
        <v>46136</v>
      </c>
      <c r="J216" s="1" t="s">
        <v>29</v>
      </c>
      <c r="K216" s="1">
        <v>1215</v>
      </c>
      <c r="L216" s="1">
        <f t="shared" si="0"/>
        <v>7524</v>
      </c>
      <c r="M216" s="1" t="str">
        <f t="shared" si="1"/>
        <v>AVERAGE</v>
      </c>
    </row>
    <row r="217" spans="1:13" x14ac:dyDescent="0.3">
      <c r="A217" s="1" t="s">
        <v>40</v>
      </c>
      <c r="B217" s="1" t="s">
        <v>22</v>
      </c>
      <c r="C217" s="1" t="s">
        <v>34</v>
      </c>
      <c r="D217" s="1" t="s">
        <v>45</v>
      </c>
      <c r="E217" s="1">
        <v>10</v>
      </c>
      <c r="F217" s="1">
        <v>56709</v>
      </c>
      <c r="G217" s="1">
        <v>15</v>
      </c>
      <c r="H217" s="2">
        <v>46135</v>
      </c>
      <c r="I217" s="2">
        <v>46139</v>
      </c>
      <c r="J217" s="1" t="s">
        <v>29</v>
      </c>
      <c r="K217" s="1">
        <v>1216</v>
      </c>
      <c r="L217" s="1">
        <f t="shared" si="0"/>
        <v>482026.5</v>
      </c>
      <c r="M217" s="1" t="str">
        <f t="shared" si="1"/>
        <v>EXCELLENT</v>
      </c>
    </row>
    <row r="218" spans="1:13" x14ac:dyDescent="0.3">
      <c r="A218" s="1" t="s">
        <v>30</v>
      </c>
      <c r="B218" s="1" t="s">
        <v>22</v>
      </c>
      <c r="C218" s="1" t="s">
        <v>13</v>
      </c>
      <c r="D218" s="1" t="s">
        <v>50</v>
      </c>
      <c r="E218" s="1">
        <v>18</v>
      </c>
      <c r="F218" s="1">
        <v>60</v>
      </c>
      <c r="G218" s="1">
        <v>0</v>
      </c>
      <c r="H218" s="2">
        <v>46171</v>
      </c>
      <c r="I218" s="2">
        <v>46172</v>
      </c>
      <c r="J218" s="1" t="s">
        <v>29</v>
      </c>
      <c r="K218" s="1">
        <v>1217</v>
      </c>
      <c r="L218" s="1">
        <f t="shared" si="0"/>
        <v>1080</v>
      </c>
      <c r="M218" s="1" t="str">
        <f t="shared" si="1"/>
        <v>AVERAGE</v>
      </c>
    </row>
    <row r="219" spans="1:13" x14ac:dyDescent="0.3">
      <c r="A219" s="1" t="s">
        <v>55</v>
      </c>
      <c r="B219" s="1" t="s">
        <v>38</v>
      </c>
      <c r="C219" s="1" t="s">
        <v>13</v>
      </c>
      <c r="D219" s="1" t="s">
        <v>14</v>
      </c>
      <c r="E219" s="1">
        <v>1</v>
      </c>
      <c r="F219" s="1">
        <v>134</v>
      </c>
      <c r="G219" s="1">
        <v>10</v>
      </c>
      <c r="H219" s="2">
        <v>46143</v>
      </c>
      <c r="I219" s="2">
        <v>46151</v>
      </c>
      <c r="J219" s="1" t="s">
        <v>51</v>
      </c>
      <c r="K219" s="1">
        <v>1218</v>
      </c>
      <c r="L219" s="1">
        <f t="shared" si="0"/>
        <v>120.60000000000001</v>
      </c>
      <c r="M219" s="1" t="str">
        <f t="shared" si="1"/>
        <v>AVERAGE</v>
      </c>
    </row>
    <row r="220" spans="1:13" x14ac:dyDescent="0.3">
      <c r="A220" s="1" t="s">
        <v>46</v>
      </c>
      <c r="B220" s="1" t="s">
        <v>22</v>
      </c>
      <c r="C220" s="1" t="s">
        <v>13</v>
      </c>
      <c r="D220" s="1" t="s">
        <v>14</v>
      </c>
      <c r="E220" s="1">
        <v>4</v>
      </c>
      <c r="F220" s="1">
        <v>117</v>
      </c>
      <c r="G220" s="1">
        <v>15</v>
      </c>
      <c r="H220" s="2">
        <v>46202</v>
      </c>
      <c r="I220" s="2">
        <v>46206</v>
      </c>
      <c r="J220" s="1" t="s">
        <v>29</v>
      </c>
      <c r="K220" s="1">
        <v>1219</v>
      </c>
      <c r="L220" s="1">
        <f t="shared" si="0"/>
        <v>397.8</v>
      </c>
      <c r="M220" s="1" t="str">
        <f t="shared" si="1"/>
        <v>AVERAGE</v>
      </c>
    </row>
    <row r="221" spans="1:13" x14ac:dyDescent="0.3">
      <c r="A221" s="1" t="s">
        <v>11</v>
      </c>
      <c r="B221" s="1" t="s">
        <v>25</v>
      </c>
      <c r="C221" s="1" t="s">
        <v>18</v>
      </c>
      <c r="D221" s="1" t="s">
        <v>56</v>
      </c>
      <c r="E221" s="1">
        <v>2</v>
      </c>
      <c r="F221" s="1">
        <v>8861</v>
      </c>
      <c r="G221" s="1">
        <v>2</v>
      </c>
      <c r="H221" s="2">
        <v>46170</v>
      </c>
      <c r="I221" s="2">
        <v>46174</v>
      </c>
      <c r="J221" s="1" t="s">
        <v>24</v>
      </c>
      <c r="K221" s="1">
        <v>1220</v>
      </c>
      <c r="L221" s="1">
        <f t="shared" si="0"/>
        <v>17367.560000000001</v>
      </c>
      <c r="M221" s="1" t="str">
        <f t="shared" si="1"/>
        <v>AVERAGE</v>
      </c>
    </row>
    <row r="222" spans="1:13" x14ac:dyDescent="0.3">
      <c r="A222" s="1" t="s">
        <v>11</v>
      </c>
      <c r="B222" s="1" t="s">
        <v>31</v>
      </c>
      <c r="C222" s="1" t="s">
        <v>18</v>
      </c>
      <c r="D222" s="1" t="s">
        <v>56</v>
      </c>
      <c r="E222" s="1">
        <v>18</v>
      </c>
      <c r="F222" s="1">
        <v>2681</v>
      </c>
      <c r="G222" s="1">
        <v>10</v>
      </c>
      <c r="H222" s="2">
        <v>46122</v>
      </c>
      <c r="I222" s="2">
        <v>46125</v>
      </c>
      <c r="J222" s="1" t="s">
        <v>51</v>
      </c>
      <c r="K222" s="1">
        <v>1221</v>
      </c>
      <c r="L222" s="1">
        <f t="shared" si="0"/>
        <v>43432.200000000004</v>
      </c>
      <c r="M222" s="1" t="str">
        <f t="shared" si="1"/>
        <v>GOOD</v>
      </c>
    </row>
    <row r="223" spans="1:13" x14ac:dyDescent="0.3">
      <c r="A223" s="1" t="s">
        <v>30</v>
      </c>
      <c r="B223" s="1" t="s">
        <v>33</v>
      </c>
      <c r="C223" s="1" t="s">
        <v>18</v>
      </c>
      <c r="D223" s="1" t="s">
        <v>23</v>
      </c>
      <c r="E223" s="1">
        <v>9</v>
      </c>
      <c r="F223" s="1">
        <v>2712</v>
      </c>
      <c r="G223" s="1">
        <v>12</v>
      </c>
      <c r="H223" s="2">
        <v>46154</v>
      </c>
      <c r="I223" s="2">
        <v>46163</v>
      </c>
      <c r="J223" s="1" t="s">
        <v>15</v>
      </c>
      <c r="K223" s="1">
        <v>1222</v>
      </c>
      <c r="L223" s="1">
        <f t="shared" si="0"/>
        <v>21479.040000000001</v>
      </c>
      <c r="M223" s="1" t="str">
        <f t="shared" si="1"/>
        <v>GOOD</v>
      </c>
    </row>
    <row r="224" spans="1:13" x14ac:dyDescent="0.3">
      <c r="A224" s="1" t="s">
        <v>59</v>
      </c>
      <c r="B224" s="1" t="s">
        <v>17</v>
      </c>
      <c r="C224" s="1" t="s">
        <v>18</v>
      </c>
      <c r="D224" s="1" t="s">
        <v>23</v>
      </c>
      <c r="E224" s="1">
        <v>4</v>
      </c>
      <c r="F224" s="1">
        <v>2249</v>
      </c>
      <c r="G224" s="1">
        <v>7</v>
      </c>
      <c r="H224" s="2">
        <v>46077</v>
      </c>
      <c r="I224" s="2">
        <v>46084</v>
      </c>
      <c r="J224" s="1" t="s">
        <v>15</v>
      </c>
      <c r="K224" s="1">
        <v>1223</v>
      </c>
      <c r="L224" s="1">
        <f t="shared" si="0"/>
        <v>8366.2799999999988</v>
      </c>
      <c r="M224" s="1" t="str">
        <f t="shared" si="1"/>
        <v>AVERAGE</v>
      </c>
    </row>
    <row r="225" spans="1:13" x14ac:dyDescent="0.3">
      <c r="A225" s="1" t="s">
        <v>30</v>
      </c>
      <c r="B225" s="1" t="s">
        <v>38</v>
      </c>
      <c r="C225" s="1" t="s">
        <v>34</v>
      </c>
      <c r="D225" s="1" t="s">
        <v>45</v>
      </c>
      <c r="E225" s="1">
        <v>16</v>
      </c>
      <c r="F225" s="1">
        <v>18378</v>
      </c>
      <c r="G225" s="1">
        <v>10</v>
      </c>
      <c r="H225" s="2">
        <v>46045</v>
      </c>
      <c r="I225" s="2">
        <v>46052</v>
      </c>
      <c r="J225" s="1" t="s">
        <v>24</v>
      </c>
      <c r="K225" s="1">
        <v>1224</v>
      </c>
      <c r="L225" s="1">
        <f t="shared" si="0"/>
        <v>264643.20000000001</v>
      </c>
      <c r="M225" s="1" t="str">
        <f t="shared" si="1"/>
        <v>EXCELLENT</v>
      </c>
    </row>
    <row r="226" spans="1:13" x14ac:dyDescent="0.3">
      <c r="A226" s="1" t="s">
        <v>42</v>
      </c>
      <c r="B226" s="1" t="s">
        <v>31</v>
      </c>
      <c r="C226" s="1" t="s">
        <v>34</v>
      </c>
      <c r="D226" s="1" t="s">
        <v>35</v>
      </c>
      <c r="E226" s="1">
        <v>16</v>
      </c>
      <c r="F226" s="1">
        <v>32262</v>
      </c>
      <c r="G226" s="1">
        <v>12</v>
      </c>
      <c r="H226" s="2">
        <v>46125</v>
      </c>
      <c r="I226" s="2">
        <v>46126</v>
      </c>
      <c r="J226" s="1" t="s">
        <v>20</v>
      </c>
      <c r="K226" s="1">
        <v>1225</v>
      </c>
      <c r="L226" s="1">
        <f t="shared" si="0"/>
        <v>454248.96000000002</v>
      </c>
      <c r="M226" s="1" t="str">
        <f t="shared" si="1"/>
        <v>EXCELLENT</v>
      </c>
    </row>
    <row r="227" spans="1:13" x14ac:dyDescent="0.3">
      <c r="A227" s="1" t="s">
        <v>29</v>
      </c>
      <c r="B227" s="1" t="s">
        <v>31</v>
      </c>
      <c r="C227" s="1" t="s">
        <v>34</v>
      </c>
      <c r="D227" s="1" t="s">
        <v>41</v>
      </c>
      <c r="E227" s="1">
        <v>13</v>
      </c>
      <c r="F227" s="1">
        <v>21332</v>
      </c>
      <c r="G227" s="1">
        <v>0</v>
      </c>
      <c r="H227" s="2">
        <v>46044</v>
      </c>
      <c r="I227" s="2">
        <v>46048</v>
      </c>
      <c r="J227" s="1" t="s">
        <v>29</v>
      </c>
      <c r="K227" s="1">
        <v>1226</v>
      </c>
      <c r="L227" s="1">
        <f t="shared" si="0"/>
        <v>277316</v>
      </c>
      <c r="M227" s="1" t="str">
        <f t="shared" si="1"/>
        <v>EXCELLENT</v>
      </c>
    </row>
    <row r="228" spans="1:13" x14ac:dyDescent="0.3">
      <c r="A228" s="1" t="s">
        <v>58</v>
      </c>
      <c r="B228" s="1" t="s">
        <v>22</v>
      </c>
      <c r="C228" s="1" t="s">
        <v>34</v>
      </c>
      <c r="D228" s="1" t="s">
        <v>45</v>
      </c>
      <c r="E228" s="1">
        <v>16</v>
      </c>
      <c r="F228" s="1">
        <v>1321</v>
      </c>
      <c r="G228" s="1">
        <v>12</v>
      </c>
      <c r="H228" s="2">
        <v>46113</v>
      </c>
      <c r="I228" s="2">
        <v>46116</v>
      </c>
      <c r="J228" s="1" t="s">
        <v>15</v>
      </c>
      <c r="K228" s="1">
        <v>1227</v>
      </c>
      <c r="L228" s="1">
        <f t="shared" si="0"/>
        <v>18599.68</v>
      </c>
      <c r="M228" s="1" t="str">
        <f t="shared" si="1"/>
        <v>AVERAGE</v>
      </c>
    </row>
    <row r="229" spans="1:13" x14ac:dyDescent="0.3">
      <c r="A229" s="1" t="s">
        <v>29</v>
      </c>
      <c r="B229" s="1" t="s">
        <v>25</v>
      </c>
      <c r="C229" s="1" t="s">
        <v>34</v>
      </c>
      <c r="D229" s="1" t="s">
        <v>45</v>
      </c>
      <c r="E229" s="1">
        <v>16</v>
      </c>
      <c r="F229" s="1">
        <v>17477</v>
      </c>
      <c r="G229" s="1">
        <v>10</v>
      </c>
      <c r="H229" s="2">
        <v>46041</v>
      </c>
      <c r="I229" s="2">
        <v>46043</v>
      </c>
      <c r="J229" s="1" t="s">
        <v>24</v>
      </c>
      <c r="K229" s="1">
        <v>1228</v>
      </c>
      <c r="L229" s="1">
        <f t="shared" si="0"/>
        <v>251668.80000000002</v>
      </c>
      <c r="M229" s="1" t="str">
        <f t="shared" si="1"/>
        <v>EXCELLENT</v>
      </c>
    </row>
    <row r="230" spans="1:13" x14ac:dyDescent="0.3">
      <c r="A230" s="1" t="s">
        <v>57</v>
      </c>
      <c r="B230" s="1" t="s">
        <v>12</v>
      </c>
      <c r="C230" s="1" t="s">
        <v>18</v>
      </c>
      <c r="D230" s="1" t="s">
        <v>56</v>
      </c>
      <c r="E230" s="1">
        <v>14</v>
      </c>
      <c r="F230" s="1">
        <v>5859</v>
      </c>
      <c r="G230" s="1">
        <v>12</v>
      </c>
      <c r="H230" s="2">
        <v>46027</v>
      </c>
      <c r="I230" s="2">
        <v>46036</v>
      </c>
      <c r="J230" s="1" t="s">
        <v>20</v>
      </c>
      <c r="K230" s="1">
        <v>1229</v>
      </c>
      <c r="L230" s="1">
        <f t="shared" si="0"/>
        <v>72182.880000000005</v>
      </c>
      <c r="M230" s="1" t="str">
        <f t="shared" si="1"/>
        <v>VERY GOOD</v>
      </c>
    </row>
    <row r="231" spans="1:13" x14ac:dyDescent="0.3">
      <c r="A231" s="1" t="s">
        <v>59</v>
      </c>
      <c r="B231" s="1" t="s">
        <v>33</v>
      </c>
      <c r="C231" s="1" t="s">
        <v>34</v>
      </c>
      <c r="D231" s="1" t="s">
        <v>60</v>
      </c>
      <c r="E231" s="1">
        <v>7</v>
      </c>
      <c r="F231" s="1">
        <v>2932</v>
      </c>
      <c r="G231" s="1">
        <v>7</v>
      </c>
      <c r="H231" s="2">
        <v>46050</v>
      </c>
      <c r="I231" s="2">
        <v>46059</v>
      </c>
      <c r="J231" s="1" t="s">
        <v>24</v>
      </c>
      <c r="K231" s="1">
        <v>1230</v>
      </c>
      <c r="L231" s="1">
        <f t="shared" si="0"/>
        <v>19087.32</v>
      </c>
      <c r="M231" s="1" t="str">
        <f t="shared" si="1"/>
        <v>AVERAGE</v>
      </c>
    </row>
    <row r="232" spans="1:13" x14ac:dyDescent="0.3">
      <c r="A232" s="1" t="s">
        <v>48</v>
      </c>
      <c r="B232" s="1" t="s">
        <v>38</v>
      </c>
      <c r="C232" s="1" t="s">
        <v>18</v>
      </c>
      <c r="D232" s="1" t="s">
        <v>19</v>
      </c>
      <c r="E232" s="1">
        <v>13</v>
      </c>
      <c r="F232" s="1">
        <v>10297</v>
      </c>
      <c r="G232" s="1">
        <v>12</v>
      </c>
      <c r="H232" s="2">
        <v>46178</v>
      </c>
      <c r="I232" s="2">
        <v>46186</v>
      </c>
      <c r="J232" s="1" t="s">
        <v>20</v>
      </c>
      <c r="K232" s="1">
        <v>1231</v>
      </c>
      <c r="L232" s="1">
        <f t="shared" si="0"/>
        <v>117797.68000000001</v>
      </c>
      <c r="M232" s="1" t="str">
        <f t="shared" si="1"/>
        <v>EXCELLENT</v>
      </c>
    </row>
    <row r="233" spans="1:13" x14ac:dyDescent="0.3">
      <c r="A233" s="1" t="s">
        <v>21</v>
      </c>
      <c r="B233" s="1" t="s">
        <v>12</v>
      </c>
      <c r="C233" s="1" t="s">
        <v>34</v>
      </c>
      <c r="D233" s="1" t="s">
        <v>60</v>
      </c>
      <c r="E233" s="1">
        <v>3</v>
      </c>
      <c r="F233" s="1">
        <v>13272</v>
      </c>
      <c r="G233" s="1">
        <v>2</v>
      </c>
      <c r="H233" s="2">
        <v>46060</v>
      </c>
      <c r="I233" s="2">
        <v>46065</v>
      </c>
      <c r="J233" s="1" t="s">
        <v>15</v>
      </c>
      <c r="K233" s="1">
        <v>1232</v>
      </c>
      <c r="L233" s="1">
        <f t="shared" si="0"/>
        <v>39019.68</v>
      </c>
      <c r="M233" s="1" t="str">
        <f t="shared" si="1"/>
        <v>GOOD</v>
      </c>
    </row>
    <row r="234" spans="1:13" x14ac:dyDescent="0.3">
      <c r="A234" s="1" t="s">
        <v>58</v>
      </c>
      <c r="B234" s="1" t="s">
        <v>22</v>
      </c>
      <c r="C234" s="1" t="s">
        <v>18</v>
      </c>
      <c r="D234" s="1" t="s">
        <v>19</v>
      </c>
      <c r="E234" s="1">
        <v>20</v>
      </c>
      <c r="F234" s="1">
        <v>13941</v>
      </c>
      <c r="G234" s="1">
        <v>15</v>
      </c>
      <c r="H234" s="2">
        <v>46198</v>
      </c>
      <c r="I234" s="2">
        <v>46202</v>
      </c>
      <c r="J234" s="1" t="s">
        <v>24</v>
      </c>
      <c r="K234" s="1">
        <v>1233</v>
      </c>
      <c r="L234" s="1">
        <f t="shared" si="0"/>
        <v>236997</v>
      </c>
      <c r="M234" s="1" t="str">
        <f t="shared" si="1"/>
        <v>EXCELLENT</v>
      </c>
    </row>
    <row r="235" spans="1:13" x14ac:dyDescent="0.3">
      <c r="A235" s="1" t="s">
        <v>11</v>
      </c>
      <c r="B235" s="1" t="s">
        <v>25</v>
      </c>
      <c r="C235" s="1" t="s">
        <v>18</v>
      </c>
      <c r="D235" s="1" t="s">
        <v>28</v>
      </c>
      <c r="E235" s="1">
        <v>1</v>
      </c>
      <c r="F235" s="1">
        <v>14320</v>
      </c>
      <c r="G235" s="1">
        <v>12</v>
      </c>
      <c r="H235" s="2">
        <v>46114</v>
      </c>
      <c r="I235" s="2">
        <v>46121</v>
      </c>
      <c r="J235" s="1" t="s">
        <v>51</v>
      </c>
      <c r="K235" s="1">
        <v>1234</v>
      </c>
      <c r="L235" s="1">
        <f t="shared" si="0"/>
        <v>12601.6</v>
      </c>
      <c r="M235" s="1" t="str">
        <f t="shared" si="1"/>
        <v>AVERAGE</v>
      </c>
    </row>
    <row r="236" spans="1:13" x14ac:dyDescent="0.3">
      <c r="A236" s="1" t="s">
        <v>57</v>
      </c>
      <c r="B236" s="1" t="s">
        <v>25</v>
      </c>
      <c r="C236" s="1" t="s">
        <v>13</v>
      </c>
      <c r="D236" s="1" t="s">
        <v>50</v>
      </c>
      <c r="E236" s="1">
        <v>15</v>
      </c>
      <c r="F236" s="1">
        <v>267</v>
      </c>
      <c r="G236" s="1">
        <v>15</v>
      </c>
      <c r="H236" s="2">
        <v>46172</v>
      </c>
      <c r="I236" s="2">
        <v>46177</v>
      </c>
      <c r="J236" s="1" t="s">
        <v>29</v>
      </c>
      <c r="K236" s="1">
        <v>1235</v>
      </c>
      <c r="L236" s="1">
        <f t="shared" si="0"/>
        <v>3404.25</v>
      </c>
      <c r="M236" s="1" t="str">
        <f t="shared" si="1"/>
        <v>AVERAGE</v>
      </c>
    </row>
    <row r="237" spans="1:13" x14ac:dyDescent="0.3">
      <c r="A237" s="1" t="s">
        <v>54</v>
      </c>
      <c r="B237" s="1" t="s">
        <v>43</v>
      </c>
      <c r="C237" s="1" t="s">
        <v>13</v>
      </c>
      <c r="D237" s="1" t="s">
        <v>37</v>
      </c>
      <c r="E237" s="1">
        <v>12</v>
      </c>
      <c r="F237" s="1">
        <v>189</v>
      </c>
      <c r="G237" s="1">
        <v>7</v>
      </c>
      <c r="H237" s="2">
        <v>46164</v>
      </c>
      <c r="I237" s="2">
        <v>46169</v>
      </c>
      <c r="J237" s="1" t="s">
        <v>29</v>
      </c>
      <c r="K237" s="1">
        <v>1236</v>
      </c>
      <c r="L237" s="1">
        <f t="shared" si="0"/>
        <v>2109.2399999999998</v>
      </c>
      <c r="M237" s="1" t="str">
        <f t="shared" si="1"/>
        <v>AVERAGE</v>
      </c>
    </row>
    <row r="238" spans="1:13" x14ac:dyDescent="0.3">
      <c r="A238" s="1" t="s">
        <v>46</v>
      </c>
      <c r="B238" s="1" t="s">
        <v>38</v>
      </c>
      <c r="C238" s="1" t="s">
        <v>18</v>
      </c>
      <c r="D238" s="1" t="s">
        <v>56</v>
      </c>
      <c r="E238" s="1">
        <v>8</v>
      </c>
      <c r="F238" s="1">
        <v>12123</v>
      </c>
      <c r="G238" s="1">
        <v>2</v>
      </c>
      <c r="H238" s="2">
        <v>46137</v>
      </c>
      <c r="I238" s="2">
        <v>46145</v>
      </c>
      <c r="J238" s="1" t="s">
        <v>15</v>
      </c>
      <c r="K238" s="1">
        <v>1237</v>
      </c>
      <c r="L238" s="1">
        <f t="shared" si="0"/>
        <v>95044.319999999992</v>
      </c>
      <c r="M238" s="1" t="str">
        <f t="shared" si="1"/>
        <v>VERY GOOD</v>
      </c>
    </row>
    <row r="239" spans="1:13" x14ac:dyDescent="0.3">
      <c r="A239" s="1" t="s">
        <v>30</v>
      </c>
      <c r="B239" s="1" t="s">
        <v>31</v>
      </c>
      <c r="C239" s="1" t="s">
        <v>13</v>
      </c>
      <c r="D239" s="1" t="s">
        <v>14</v>
      </c>
      <c r="E239" s="1">
        <v>6</v>
      </c>
      <c r="F239" s="1">
        <v>180</v>
      </c>
      <c r="G239" s="1">
        <v>12</v>
      </c>
      <c r="H239" s="2">
        <v>46096</v>
      </c>
      <c r="I239" s="2">
        <v>46097</v>
      </c>
      <c r="J239" s="1" t="s">
        <v>51</v>
      </c>
      <c r="K239" s="1">
        <v>1238</v>
      </c>
      <c r="L239" s="1">
        <f t="shared" si="0"/>
        <v>950.4</v>
      </c>
      <c r="M239" s="1" t="str">
        <f t="shared" si="1"/>
        <v>AVERAGE</v>
      </c>
    </row>
    <row r="240" spans="1:13" x14ac:dyDescent="0.3">
      <c r="A240" s="1" t="s">
        <v>48</v>
      </c>
      <c r="B240" s="1" t="s">
        <v>17</v>
      </c>
      <c r="C240" s="1" t="s">
        <v>18</v>
      </c>
      <c r="D240" s="1" t="s">
        <v>56</v>
      </c>
      <c r="E240" s="1">
        <v>2</v>
      </c>
      <c r="F240" s="1">
        <v>12330</v>
      </c>
      <c r="G240" s="1">
        <v>12</v>
      </c>
      <c r="H240" s="2">
        <v>46122</v>
      </c>
      <c r="I240" s="2">
        <v>46125</v>
      </c>
      <c r="J240" s="1" t="s">
        <v>15</v>
      </c>
      <c r="K240" s="1">
        <v>1239</v>
      </c>
      <c r="L240" s="1">
        <f t="shared" si="0"/>
        <v>21700.799999999999</v>
      </c>
      <c r="M240" s="1" t="str">
        <f t="shared" si="1"/>
        <v>GOOD</v>
      </c>
    </row>
    <row r="241" spans="1:13" x14ac:dyDescent="0.3">
      <c r="A241" s="1" t="s">
        <v>55</v>
      </c>
      <c r="B241" s="1" t="s">
        <v>33</v>
      </c>
      <c r="C241" s="1" t="s">
        <v>18</v>
      </c>
      <c r="D241" s="1" t="s">
        <v>23</v>
      </c>
      <c r="E241" s="1">
        <v>2</v>
      </c>
      <c r="F241" s="1">
        <v>5475</v>
      </c>
      <c r="G241" s="1">
        <v>2</v>
      </c>
      <c r="H241" s="2">
        <v>46142</v>
      </c>
      <c r="I241" s="2">
        <v>46146</v>
      </c>
      <c r="J241" s="1" t="s">
        <v>29</v>
      </c>
      <c r="K241" s="1">
        <v>1240</v>
      </c>
      <c r="L241" s="1">
        <f t="shared" si="0"/>
        <v>10731</v>
      </c>
      <c r="M241" s="1" t="str">
        <f t="shared" si="1"/>
        <v>AVERAGE</v>
      </c>
    </row>
    <row r="242" spans="1:13" x14ac:dyDescent="0.3">
      <c r="A242" s="1" t="s">
        <v>46</v>
      </c>
      <c r="B242" s="1" t="s">
        <v>31</v>
      </c>
      <c r="C242" s="1" t="s">
        <v>18</v>
      </c>
      <c r="D242" s="1" t="s">
        <v>44</v>
      </c>
      <c r="E242" s="1">
        <v>1</v>
      </c>
      <c r="F242" s="1">
        <v>12537</v>
      </c>
      <c r="G242" s="1">
        <v>0</v>
      </c>
      <c r="H242" s="2">
        <v>46119</v>
      </c>
      <c r="I242" s="2">
        <v>46122</v>
      </c>
      <c r="J242" s="1" t="s">
        <v>15</v>
      </c>
      <c r="K242" s="1">
        <v>1241</v>
      </c>
      <c r="L242" s="1">
        <f t="shared" si="0"/>
        <v>12537</v>
      </c>
      <c r="M242" s="1" t="str">
        <f t="shared" si="1"/>
        <v>AVERAGE</v>
      </c>
    </row>
    <row r="243" spans="1:13" x14ac:dyDescent="0.3">
      <c r="A243" s="1" t="s">
        <v>54</v>
      </c>
      <c r="B243" s="1" t="s">
        <v>38</v>
      </c>
      <c r="C243" s="1" t="s">
        <v>13</v>
      </c>
      <c r="D243" s="1" t="s">
        <v>50</v>
      </c>
      <c r="E243" s="1">
        <v>7</v>
      </c>
      <c r="F243" s="1">
        <v>168</v>
      </c>
      <c r="G243" s="1">
        <v>10</v>
      </c>
      <c r="H243" s="2">
        <v>46191</v>
      </c>
      <c r="I243" s="2">
        <v>46196</v>
      </c>
      <c r="J243" s="1" t="s">
        <v>51</v>
      </c>
      <c r="K243" s="1">
        <v>1242</v>
      </c>
      <c r="L243" s="1">
        <f t="shared" si="0"/>
        <v>1058.4000000000001</v>
      </c>
      <c r="M243" s="1" t="str">
        <f t="shared" si="1"/>
        <v>AVERAGE</v>
      </c>
    </row>
    <row r="244" spans="1:13" x14ac:dyDescent="0.3">
      <c r="A244" s="1" t="s">
        <v>30</v>
      </c>
      <c r="B244" s="1" t="s">
        <v>31</v>
      </c>
      <c r="C244" s="1" t="s">
        <v>34</v>
      </c>
      <c r="D244" s="1" t="s">
        <v>41</v>
      </c>
      <c r="E244" s="1">
        <v>5</v>
      </c>
      <c r="F244" s="1">
        <v>11570</v>
      </c>
      <c r="G244" s="1">
        <v>15</v>
      </c>
      <c r="H244" s="2">
        <v>46069</v>
      </c>
      <c r="I244" s="2">
        <v>46077</v>
      </c>
      <c r="J244" s="1" t="s">
        <v>24</v>
      </c>
      <c r="K244" s="1">
        <v>1243</v>
      </c>
      <c r="L244" s="1">
        <f t="shared" si="0"/>
        <v>49172.5</v>
      </c>
      <c r="M244" s="1" t="str">
        <f t="shared" si="1"/>
        <v>GOOD</v>
      </c>
    </row>
    <row r="245" spans="1:13" x14ac:dyDescent="0.3">
      <c r="A245" s="1" t="s">
        <v>57</v>
      </c>
      <c r="B245" s="1" t="s">
        <v>38</v>
      </c>
      <c r="C245" s="1" t="s">
        <v>18</v>
      </c>
      <c r="D245" s="1" t="s">
        <v>28</v>
      </c>
      <c r="E245" s="1">
        <v>10</v>
      </c>
      <c r="F245" s="1">
        <v>6339</v>
      </c>
      <c r="G245" s="1">
        <v>12</v>
      </c>
      <c r="H245" s="2">
        <v>46200</v>
      </c>
      <c r="I245" s="2">
        <v>46205</v>
      </c>
      <c r="J245" s="1" t="s">
        <v>15</v>
      </c>
      <c r="K245" s="1">
        <v>1244</v>
      </c>
      <c r="L245" s="1">
        <f t="shared" si="0"/>
        <v>55783.199999999997</v>
      </c>
      <c r="M245" s="1" t="str">
        <f t="shared" si="1"/>
        <v>VERY GOOD</v>
      </c>
    </row>
    <row r="246" spans="1:13" x14ac:dyDescent="0.3">
      <c r="A246" s="1" t="s">
        <v>55</v>
      </c>
      <c r="B246" s="1" t="s">
        <v>43</v>
      </c>
      <c r="C246" s="1" t="s">
        <v>34</v>
      </c>
      <c r="D246" s="1" t="s">
        <v>41</v>
      </c>
      <c r="E246" s="1">
        <v>19</v>
      </c>
      <c r="F246" s="1">
        <v>69029</v>
      </c>
      <c r="G246" s="1">
        <v>7</v>
      </c>
      <c r="H246" s="2">
        <v>46176</v>
      </c>
      <c r="I246" s="2">
        <v>46179</v>
      </c>
      <c r="J246" s="1" t="s">
        <v>29</v>
      </c>
      <c r="K246" s="1">
        <v>1245</v>
      </c>
      <c r="L246" s="1">
        <f t="shared" si="0"/>
        <v>1219742.43</v>
      </c>
      <c r="M246" s="1" t="str">
        <f t="shared" si="1"/>
        <v>EXCELLENT</v>
      </c>
    </row>
    <row r="247" spans="1:13" x14ac:dyDescent="0.3">
      <c r="A247" s="1" t="s">
        <v>55</v>
      </c>
      <c r="B247" s="1" t="s">
        <v>22</v>
      </c>
      <c r="C247" s="1" t="s">
        <v>34</v>
      </c>
      <c r="D247" s="1" t="s">
        <v>35</v>
      </c>
      <c r="E247" s="1">
        <v>13</v>
      </c>
      <c r="F247" s="1">
        <v>1825</v>
      </c>
      <c r="G247" s="1">
        <v>2</v>
      </c>
      <c r="H247" s="2">
        <v>46039</v>
      </c>
      <c r="I247" s="2">
        <v>46045</v>
      </c>
      <c r="J247" s="1" t="s">
        <v>51</v>
      </c>
      <c r="K247" s="1">
        <v>1246</v>
      </c>
      <c r="L247" s="1">
        <f t="shared" si="0"/>
        <v>23250.5</v>
      </c>
      <c r="M247" s="1" t="str">
        <f t="shared" si="1"/>
        <v>GOOD</v>
      </c>
    </row>
    <row r="248" spans="1:13" x14ac:dyDescent="0.3">
      <c r="A248" s="1" t="s">
        <v>26</v>
      </c>
      <c r="B248" s="1" t="s">
        <v>12</v>
      </c>
      <c r="C248" s="1" t="s">
        <v>13</v>
      </c>
      <c r="D248" s="1" t="s">
        <v>50</v>
      </c>
      <c r="E248" s="1">
        <v>10</v>
      </c>
      <c r="F248" s="1">
        <v>336</v>
      </c>
      <c r="G248" s="1">
        <v>7</v>
      </c>
      <c r="H248" s="2">
        <v>46173</v>
      </c>
      <c r="I248" s="2">
        <v>46175</v>
      </c>
      <c r="J248" s="1" t="s">
        <v>20</v>
      </c>
      <c r="K248" s="1">
        <v>1247</v>
      </c>
      <c r="L248" s="1">
        <f t="shared" si="0"/>
        <v>3124.7999999999997</v>
      </c>
      <c r="M248" s="1" t="str">
        <f t="shared" si="1"/>
        <v>AVERAGE</v>
      </c>
    </row>
    <row r="249" spans="1:13" x14ac:dyDescent="0.3">
      <c r="A249" s="1" t="s">
        <v>27</v>
      </c>
      <c r="B249" s="1" t="s">
        <v>43</v>
      </c>
      <c r="C249" s="1" t="s">
        <v>13</v>
      </c>
      <c r="D249" s="1" t="s">
        <v>37</v>
      </c>
      <c r="E249" s="1">
        <v>5</v>
      </c>
      <c r="F249" s="1">
        <v>398</v>
      </c>
      <c r="G249" s="1">
        <v>7</v>
      </c>
      <c r="H249" s="2">
        <v>46161</v>
      </c>
      <c r="I249" s="2">
        <v>46171</v>
      </c>
      <c r="J249" s="1" t="s">
        <v>29</v>
      </c>
      <c r="K249" s="1">
        <v>1248</v>
      </c>
      <c r="L249" s="1">
        <f t="shared" si="0"/>
        <v>1850.6999999999998</v>
      </c>
      <c r="M249" s="1" t="str">
        <f t="shared" si="1"/>
        <v>AVERAGE</v>
      </c>
    </row>
    <row r="250" spans="1:13" x14ac:dyDescent="0.3">
      <c r="A250" s="1" t="s">
        <v>16</v>
      </c>
      <c r="B250" s="1" t="s">
        <v>25</v>
      </c>
      <c r="C250" s="1" t="s">
        <v>34</v>
      </c>
      <c r="D250" s="1" t="s">
        <v>41</v>
      </c>
      <c r="E250" s="1">
        <v>18</v>
      </c>
      <c r="F250" s="1">
        <v>6360</v>
      </c>
      <c r="G250" s="1">
        <v>12</v>
      </c>
      <c r="H250" s="2">
        <v>46163</v>
      </c>
      <c r="I250" s="2">
        <v>46165</v>
      </c>
      <c r="J250" s="1" t="s">
        <v>20</v>
      </c>
      <c r="K250" s="1">
        <v>1249</v>
      </c>
      <c r="L250" s="1">
        <f t="shared" si="0"/>
        <v>100742.39999999999</v>
      </c>
      <c r="M250" s="1" t="str">
        <f t="shared" si="1"/>
        <v>EXCELLENT</v>
      </c>
    </row>
    <row r="251" spans="1:13" x14ac:dyDescent="0.3">
      <c r="A251" s="1" t="s">
        <v>11</v>
      </c>
      <c r="B251" s="1" t="s">
        <v>17</v>
      </c>
      <c r="C251" s="1" t="s">
        <v>34</v>
      </c>
      <c r="D251" s="1" t="s">
        <v>45</v>
      </c>
      <c r="E251" s="1">
        <v>2</v>
      </c>
      <c r="F251" s="1">
        <v>65953</v>
      </c>
      <c r="G251" s="1">
        <v>7</v>
      </c>
      <c r="H251" s="2">
        <v>46051</v>
      </c>
      <c r="I251" s="2">
        <v>46053</v>
      </c>
      <c r="J251" s="1" t="s">
        <v>29</v>
      </c>
      <c r="K251" s="1">
        <v>1250</v>
      </c>
      <c r="L251" s="1">
        <f t="shared" si="0"/>
        <v>122672.57999999999</v>
      </c>
      <c r="M251" s="1" t="str">
        <f t="shared" si="1"/>
        <v>EXCELLENT</v>
      </c>
    </row>
    <row r="252" spans="1:13" x14ac:dyDescent="0.3">
      <c r="A252" s="1" t="s">
        <v>55</v>
      </c>
      <c r="B252" s="1" t="s">
        <v>38</v>
      </c>
      <c r="C252" s="1" t="s">
        <v>34</v>
      </c>
      <c r="D252" s="1" t="s">
        <v>61</v>
      </c>
      <c r="E252" s="1">
        <v>19</v>
      </c>
      <c r="F252" s="1">
        <v>48548</v>
      </c>
      <c r="G252" s="1">
        <v>0</v>
      </c>
      <c r="H252" s="2">
        <v>46112</v>
      </c>
      <c r="I252" s="2">
        <v>46121</v>
      </c>
      <c r="J252" s="1" t="s">
        <v>51</v>
      </c>
      <c r="K252" s="1">
        <v>1251</v>
      </c>
      <c r="L252" s="1">
        <f t="shared" si="0"/>
        <v>922412</v>
      </c>
      <c r="M252" s="1" t="str">
        <f t="shared" si="1"/>
        <v>EXCELLENT</v>
      </c>
    </row>
    <row r="253" spans="1:13" x14ac:dyDescent="0.3">
      <c r="A253" s="1" t="s">
        <v>47</v>
      </c>
      <c r="B253" s="1" t="s">
        <v>25</v>
      </c>
      <c r="C253" s="1" t="s">
        <v>13</v>
      </c>
      <c r="D253" s="1" t="s">
        <v>36</v>
      </c>
      <c r="E253" s="1">
        <v>15</v>
      </c>
      <c r="F253" s="1">
        <v>257</v>
      </c>
      <c r="G253" s="1">
        <v>5</v>
      </c>
      <c r="H253" s="2">
        <v>46166</v>
      </c>
      <c r="I253" s="2">
        <v>46173</v>
      </c>
      <c r="J253" s="1" t="s">
        <v>20</v>
      </c>
      <c r="K253" s="1">
        <v>1252</v>
      </c>
      <c r="L253" s="1">
        <f t="shared" si="0"/>
        <v>3662.25</v>
      </c>
      <c r="M253" s="1" t="str">
        <f t="shared" si="1"/>
        <v>AVERAGE</v>
      </c>
    </row>
    <row r="254" spans="1:13" x14ac:dyDescent="0.3">
      <c r="A254" s="1" t="s">
        <v>21</v>
      </c>
      <c r="B254" s="1" t="s">
        <v>31</v>
      </c>
      <c r="C254" s="1" t="s">
        <v>34</v>
      </c>
      <c r="D254" s="1" t="s">
        <v>45</v>
      </c>
      <c r="E254" s="1">
        <v>20</v>
      </c>
      <c r="F254" s="1">
        <v>47880</v>
      </c>
      <c r="G254" s="1">
        <v>7</v>
      </c>
      <c r="H254" s="2">
        <v>46074</v>
      </c>
      <c r="I254" s="2">
        <v>46075</v>
      </c>
      <c r="J254" s="1" t="s">
        <v>29</v>
      </c>
      <c r="K254" s="1">
        <v>1253</v>
      </c>
      <c r="L254" s="1">
        <f t="shared" si="0"/>
        <v>890567.99999999988</v>
      </c>
      <c r="M254" s="1" t="str">
        <f t="shared" si="1"/>
        <v>EXCELLENT</v>
      </c>
    </row>
    <row r="255" spans="1:13" x14ac:dyDescent="0.3">
      <c r="A255" s="1" t="s">
        <v>52</v>
      </c>
      <c r="B255" s="1" t="s">
        <v>22</v>
      </c>
      <c r="C255" s="1" t="s">
        <v>13</v>
      </c>
      <c r="D255" s="1" t="s">
        <v>50</v>
      </c>
      <c r="E255" s="1">
        <v>18</v>
      </c>
      <c r="F255" s="1">
        <v>447</v>
      </c>
      <c r="G255" s="1">
        <v>15</v>
      </c>
      <c r="H255" s="2">
        <v>46141</v>
      </c>
      <c r="I255" s="2">
        <v>46149</v>
      </c>
      <c r="J255" s="1" t="s">
        <v>24</v>
      </c>
      <c r="K255" s="1">
        <v>1254</v>
      </c>
      <c r="L255" s="1">
        <f t="shared" si="0"/>
        <v>6839.0999999999995</v>
      </c>
      <c r="M255" s="1" t="str">
        <f t="shared" si="1"/>
        <v>AVERAGE</v>
      </c>
    </row>
    <row r="256" spans="1:13" x14ac:dyDescent="0.3">
      <c r="A256" s="1" t="s">
        <v>32</v>
      </c>
      <c r="B256" s="1" t="s">
        <v>17</v>
      </c>
      <c r="C256" s="1" t="s">
        <v>18</v>
      </c>
      <c r="D256" s="1" t="s">
        <v>19</v>
      </c>
      <c r="E256" s="1">
        <v>1</v>
      </c>
      <c r="F256" s="1">
        <v>2240</v>
      </c>
      <c r="G256" s="1">
        <v>5</v>
      </c>
      <c r="H256" s="2">
        <v>46091</v>
      </c>
      <c r="I256" s="2">
        <v>46095</v>
      </c>
      <c r="J256" s="1" t="s">
        <v>20</v>
      </c>
      <c r="K256" s="1">
        <v>1255</v>
      </c>
      <c r="L256" s="1">
        <f t="shared" si="0"/>
        <v>2128</v>
      </c>
      <c r="M256" s="1" t="str">
        <f t="shared" si="1"/>
        <v>AVERAGE</v>
      </c>
    </row>
    <row r="257" spans="1:13" x14ac:dyDescent="0.3">
      <c r="A257" s="1" t="s">
        <v>48</v>
      </c>
      <c r="B257" s="1" t="s">
        <v>31</v>
      </c>
      <c r="C257" s="1" t="s">
        <v>13</v>
      </c>
      <c r="D257" s="1" t="s">
        <v>50</v>
      </c>
      <c r="E257" s="1">
        <v>19</v>
      </c>
      <c r="F257" s="1">
        <v>406</v>
      </c>
      <c r="G257" s="1">
        <v>7</v>
      </c>
      <c r="H257" s="2">
        <v>46057</v>
      </c>
      <c r="I257" s="2">
        <v>46061</v>
      </c>
      <c r="J257" s="1" t="s">
        <v>15</v>
      </c>
      <c r="K257" s="1">
        <v>1256</v>
      </c>
      <c r="L257" s="1">
        <f t="shared" ref="L257:L401" si="2">E257*F257*(1-G257/100)</f>
        <v>7174.0199999999995</v>
      </c>
      <c r="M257" s="1" t="str">
        <f t="shared" ref="M257:M401" si="3">IF(L257&gt;=100000,"EXCELLENT",IF(L257&gt;=50000,"VERY GOOD",IF(L257&gt;=20000,"GOOD","AVERAGE")))</f>
        <v>AVERAGE</v>
      </c>
    </row>
    <row r="258" spans="1:13" x14ac:dyDescent="0.3">
      <c r="A258" s="1" t="s">
        <v>54</v>
      </c>
      <c r="B258" s="1" t="s">
        <v>25</v>
      </c>
      <c r="C258" s="1" t="s">
        <v>34</v>
      </c>
      <c r="D258" s="1" t="s">
        <v>61</v>
      </c>
      <c r="E258" s="1">
        <v>7</v>
      </c>
      <c r="F258" s="1">
        <v>53243</v>
      </c>
      <c r="G258" s="1">
        <v>12</v>
      </c>
      <c r="H258" s="2">
        <v>46161</v>
      </c>
      <c r="I258" s="2">
        <v>46171</v>
      </c>
      <c r="J258" s="1" t="s">
        <v>15</v>
      </c>
      <c r="K258" s="1">
        <v>1257</v>
      </c>
      <c r="L258" s="1">
        <f t="shared" si="2"/>
        <v>327976.88</v>
      </c>
      <c r="M258" s="1" t="str">
        <f t="shared" si="3"/>
        <v>EXCELLENT</v>
      </c>
    </row>
    <row r="259" spans="1:13" x14ac:dyDescent="0.3">
      <c r="A259" s="1" t="s">
        <v>32</v>
      </c>
      <c r="B259" s="1" t="s">
        <v>31</v>
      </c>
      <c r="C259" s="1" t="s">
        <v>34</v>
      </c>
      <c r="D259" s="1" t="s">
        <v>60</v>
      </c>
      <c r="E259" s="1">
        <v>1</v>
      </c>
      <c r="F259" s="1">
        <v>10600</v>
      </c>
      <c r="G259" s="1">
        <v>5</v>
      </c>
      <c r="H259" s="2">
        <v>46137</v>
      </c>
      <c r="I259" s="2">
        <v>46138</v>
      </c>
      <c r="J259" s="1" t="s">
        <v>29</v>
      </c>
      <c r="K259" s="1">
        <v>1258</v>
      </c>
      <c r="L259" s="1">
        <f t="shared" si="2"/>
        <v>10070</v>
      </c>
      <c r="M259" s="1" t="str">
        <f t="shared" si="3"/>
        <v>AVERAGE</v>
      </c>
    </row>
    <row r="260" spans="1:13" x14ac:dyDescent="0.3">
      <c r="A260" s="1" t="s">
        <v>42</v>
      </c>
      <c r="B260" s="1" t="s">
        <v>22</v>
      </c>
      <c r="C260" s="1" t="s">
        <v>34</v>
      </c>
      <c r="D260" s="1" t="s">
        <v>45</v>
      </c>
      <c r="E260" s="1">
        <v>10</v>
      </c>
      <c r="F260" s="1">
        <v>38771</v>
      </c>
      <c r="G260" s="1">
        <v>15</v>
      </c>
      <c r="H260" s="2">
        <v>46172</v>
      </c>
      <c r="I260" s="2">
        <v>46182</v>
      </c>
      <c r="J260" s="1" t="s">
        <v>15</v>
      </c>
      <c r="K260" s="1">
        <v>1259</v>
      </c>
      <c r="L260" s="1">
        <f t="shared" si="2"/>
        <v>329553.5</v>
      </c>
      <c r="M260" s="1" t="str">
        <f t="shared" si="3"/>
        <v>EXCELLENT</v>
      </c>
    </row>
    <row r="261" spans="1:13" x14ac:dyDescent="0.3">
      <c r="A261" s="1" t="s">
        <v>54</v>
      </c>
      <c r="B261" s="1" t="s">
        <v>38</v>
      </c>
      <c r="C261" s="1" t="s">
        <v>34</v>
      </c>
      <c r="D261" s="1" t="s">
        <v>41</v>
      </c>
      <c r="E261" s="1">
        <v>19</v>
      </c>
      <c r="F261" s="1">
        <v>54981</v>
      </c>
      <c r="G261" s="1">
        <v>10</v>
      </c>
      <c r="H261" s="2">
        <v>46040</v>
      </c>
      <c r="I261" s="2">
        <v>46045</v>
      </c>
      <c r="J261" s="1" t="s">
        <v>29</v>
      </c>
      <c r="K261" s="1">
        <v>1260</v>
      </c>
      <c r="L261" s="1">
        <f t="shared" si="2"/>
        <v>940175.1</v>
      </c>
      <c r="M261" s="1" t="str">
        <f t="shared" si="3"/>
        <v>EXCELLENT</v>
      </c>
    </row>
    <row r="262" spans="1:13" x14ac:dyDescent="0.3">
      <c r="A262" s="1" t="s">
        <v>40</v>
      </c>
      <c r="B262" s="1" t="s">
        <v>17</v>
      </c>
      <c r="C262" s="1" t="s">
        <v>13</v>
      </c>
      <c r="D262" s="1" t="s">
        <v>50</v>
      </c>
      <c r="E262" s="1">
        <v>20</v>
      </c>
      <c r="F262" s="1">
        <v>162</v>
      </c>
      <c r="G262" s="1">
        <v>7</v>
      </c>
      <c r="H262" s="2">
        <v>46119</v>
      </c>
      <c r="I262" s="2">
        <v>46120</v>
      </c>
      <c r="J262" s="1" t="s">
        <v>51</v>
      </c>
      <c r="K262" s="1">
        <v>1261</v>
      </c>
      <c r="L262" s="1">
        <f t="shared" si="2"/>
        <v>3013.2</v>
      </c>
      <c r="M262" s="1" t="str">
        <f t="shared" si="3"/>
        <v>AVERAGE</v>
      </c>
    </row>
    <row r="263" spans="1:13" x14ac:dyDescent="0.3">
      <c r="A263" s="1" t="s">
        <v>16</v>
      </c>
      <c r="B263" s="1" t="s">
        <v>22</v>
      </c>
      <c r="C263" s="1" t="s">
        <v>18</v>
      </c>
      <c r="D263" s="1" t="s">
        <v>28</v>
      </c>
      <c r="E263" s="1">
        <v>9</v>
      </c>
      <c r="F263" s="1">
        <v>2231</v>
      </c>
      <c r="G263" s="1">
        <v>15</v>
      </c>
      <c r="H263" s="2">
        <v>46174</v>
      </c>
      <c r="I263" s="2">
        <v>46183</v>
      </c>
      <c r="J263" s="1" t="s">
        <v>15</v>
      </c>
      <c r="K263" s="1">
        <v>1262</v>
      </c>
      <c r="L263" s="1">
        <f t="shared" si="2"/>
        <v>17067.149999999998</v>
      </c>
      <c r="M263" s="1" t="str">
        <f t="shared" si="3"/>
        <v>AVERAGE</v>
      </c>
    </row>
    <row r="264" spans="1:13" x14ac:dyDescent="0.3">
      <c r="A264" s="1" t="s">
        <v>29</v>
      </c>
      <c r="B264" s="1" t="s">
        <v>38</v>
      </c>
      <c r="C264" s="1" t="s">
        <v>18</v>
      </c>
      <c r="D264" s="1" t="s">
        <v>28</v>
      </c>
      <c r="E264" s="1">
        <v>10</v>
      </c>
      <c r="F264" s="1">
        <v>1505</v>
      </c>
      <c r="G264" s="1">
        <v>0</v>
      </c>
      <c r="H264" s="2">
        <v>46130</v>
      </c>
      <c r="I264" s="2">
        <v>46138</v>
      </c>
      <c r="J264" s="1" t="s">
        <v>51</v>
      </c>
      <c r="K264" s="1">
        <v>1263</v>
      </c>
      <c r="L264" s="1">
        <f t="shared" si="2"/>
        <v>15050</v>
      </c>
      <c r="M264" s="1" t="str">
        <f t="shared" si="3"/>
        <v>AVERAGE</v>
      </c>
    </row>
    <row r="265" spans="1:13" x14ac:dyDescent="0.3">
      <c r="A265" s="1" t="s">
        <v>11</v>
      </c>
      <c r="B265" s="1" t="s">
        <v>22</v>
      </c>
      <c r="C265" s="1" t="s">
        <v>18</v>
      </c>
      <c r="D265" s="1" t="s">
        <v>28</v>
      </c>
      <c r="E265" s="1">
        <v>15</v>
      </c>
      <c r="F265" s="1">
        <v>6365</v>
      </c>
      <c r="G265" s="1">
        <v>10</v>
      </c>
      <c r="H265" s="2">
        <v>46200</v>
      </c>
      <c r="I265" s="2">
        <v>46206</v>
      </c>
      <c r="J265" s="1" t="s">
        <v>20</v>
      </c>
      <c r="K265" s="1">
        <v>1264</v>
      </c>
      <c r="L265" s="1">
        <f t="shared" si="2"/>
        <v>85927.5</v>
      </c>
      <c r="M265" s="1" t="str">
        <f t="shared" si="3"/>
        <v>VERY GOOD</v>
      </c>
    </row>
    <row r="266" spans="1:13" x14ac:dyDescent="0.3">
      <c r="A266" s="1" t="s">
        <v>58</v>
      </c>
      <c r="B266" s="1" t="s">
        <v>22</v>
      </c>
      <c r="C266" s="1" t="s">
        <v>18</v>
      </c>
      <c r="D266" s="1" t="s">
        <v>19</v>
      </c>
      <c r="E266" s="1">
        <v>1</v>
      </c>
      <c r="F266" s="1">
        <v>1052</v>
      </c>
      <c r="G266" s="1">
        <v>7</v>
      </c>
      <c r="H266" s="2">
        <v>46117</v>
      </c>
      <c r="I266" s="2">
        <v>46127</v>
      </c>
      <c r="J266" s="1" t="s">
        <v>51</v>
      </c>
      <c r="K266" s="1">
        <v>1265</v>
      </c>
      <c r="L266" s="1">
        <f t="shared" si="2"/>
        <v>978.3599999999999</v>
      </c>
      <c r="M266" s="1" t="str">
        <f t="shared" si="3"/>
        <v>AVERAGE</v>
      </c>
    </row>
    <row r="267" spans="1:13" x14ac:dyDescent="0.3">
      <c r="A267" s="1" t="s">
        <v>29</v>
      </c>
      <c r="B267" s="1" t="s">
        <v>33</v>
      </c>
      <c r="C267" s="1" t="s">
        <v>13</v>
      </c>
      <c r="D267" s="1" t="s">
        <v>14</v>
      </c>
      <c r="E267" s="1">
        <v>17</v>
      </c>
      <c r="F267" s="1">
        <v>365</v>
      </c>
      <c r="G267" s="1">
        <v>2</v>
      </c>
      <c r="H267" s="2">
        <v>46096</v>
      </c>
      <c r="I267" s="2">
        <v>46104</v>
      </c>
      <c r="J267" s="1" t="s">
        <v>51</v>
      </c>
      <c r="K267" s="1">
        <v>1266</v>
      </c>
      <c r="L267" s="1">
        <f t="shared" si="2"/>
        <v>6080.9</v>
      </c>
      <c r="M267" s="1" t="str">
        <f t="shared" si="3"/>
        <v>AVERAGE</v>
      </c>
    </row>
    <row r="268" spans="1:13" x14ac:dyDescent="0.3">
      <c r="A268" s="1" t="s">
        <v>27</v>
      </c>
      <c r="B268" s="1" t="s">
        <v>38</v>
      </c>
      <c r="C268" s="1" t="s">
        <v>13</v>
      </c>
      <c r="D268" s="1" t="s">
        <v>50</v>
      </c>
      <c r="E268" s="1">
        <v>1</v>
      </c>
      <c r="F268" s="1">
        <v>50</v>
      </c>
      <c r="G268" s="1">
        <v>0</v>
      </c>
      <c r="H268" s="2">
        <v>46129</v>
      </c>
      <c r="I268" s="2">
        <v>46138</v>
      </c>
      <c r="J268" s="1" t="s">
        <v>20</v>
      </c>
      <c r="K268" s="1">
        <v>1267</v>
      </c>
      <c r="L268" s="1">
        <f t="shared" si="2"/>
        <v>50</v>
      </c>
      <c r="M268" s="1" t="str">
        <f t="shared" si="3"/>
        <v>AVERAGE</v>
      </c>
    </row>
    <row r="269" spans="1:13" x14ac:dyDescent="0.3">
      <c r="A269" s="1" t="s">
        <v>42</v>
      </c>
      <c r="B269" s="1" t="s">
        <v>38</v>
      </c>
      <c r="C269" s="1" t="s">
        <v>34</v>
      </c>
      <c r="D269" s="1" t="s">
        <v>45</v>
      </c>
      <c r="E269" s="1">
        <v>10</v>
      </c>
      <c r="F269" s="1">
        <v>46291</v>
      </c>
      <c r="G269" s="1">
        <v>12</v>
      </c>
      <c r="H269" s="2">
        <v>46199</v>
      </c>
      <c r="I269" s="2">
        <v>46202</v>
      </c>
      <c r="J269" s="1" t="s">
        <v>20</v>
      </c>
      <c r="K269" s="1">
        <v>1268</v>
      </c>
      <c r="L269" s="1">
        <f t="shared" si="2"/>
        <v>407360.8</v>
      </c>
      <c r="M269" s="1" t="str">
        <f t="shared" si="3"/>
        <v>EXCELLENT</v>
      </c>
    </row>
    <row r="270" spans="1:13" x14ac:dyDescent="0.3">
      <c r="A270" s="1" t="s">
        <v>52</v>
      </c>
      <c r="B270" s="1" t="s">
        <v>43</v>
      </c>
      <c r="C270" s="1" t="s">
        <v>18</v>
      </c>
      <c r="D270" s="1" t="s">
        <v>19</v>
      </c>
      <c r="E270" s="1">
        <v>14</v>
      </c>
      <c r="F270" s="1">
        <v>5704</v>
      </c>
      <c r="G270" s="1">
        <v>2</v>
      </c>
      <c r="H270" s="2">
        <v>46129</v>
      </c>
      <c r="I270" s="2">
        <v>46131</v>
      </c>
      <c r="J270" s="1" t="s">
        <v>15</v>
      </c>
      <c r="K270" s="1">
        <v>1269</v>
      </c>
      <c r="L270" s="1">
        <f t="shared" si="2"/>
        <v>78258.880000000005</v>
      </c>
      <c r="M270" s="1" t="str">
        <f t="shared" si="3"/>
        <v>VERY GOOD</v>
      </c>
    </row>
    <row r="271" spans="1:13" x14ac:dyDescent="0.3">
      <c r="A271" s="1" t="s">
        <v>49</v>
      </c>
      <c r="B271" s="1" t="s">
        <v>43</v>
      </c>
      <c r="C271" s="1" t="s">
        <v>34</v>
      </c>
      <c r="D271" s="1" t="s">
        <v>35</v>
      </c>
      <c r="E271" s="1">
        <v>16</v>
      </c>
      <c r="F271" s="1">
        <v>62941</v>
      </c>
      <c r="G271" s="1">
        <v>7</v>
      </c>
      <c r="H271" s="2">
        <v>46135</v>
      </c>
      <c r="I271" s="2">
        <v>46141</v>
      </c>
      <c r="J271" s="1" t="s">
        <v>51</v>
      </c>
      <c r="K271" s="1">
        <v>1270</v>
      </c>
      <c r="L271" s="1">
        <f t="shared" si="2"/>
        <v>936562.08</v>
      </c>
      <c r="M271" s="1" t="str">
        <f t="shared" si="3"/>
        <v>EXCELLENT</v>
      </c>
    </row>
    <row r="272" spans="1:13" x14ac:dyDescent="0.3">
      <c r="A272" s="1" t="s">
        <v>40</v>
      </c>
      <c r="B272" s="1" t="s">
        <v>33</v>
      </c>
      <c r="C272" s="1" t="s">
        <v>34</v>
      </c>
      <c r="D272" s="1" t="s">
        <v>60</v>
      </c>
      <c r="E272" s="1">
        <v>20</v>
      </c>
      <c r="F272" s="1">
        <v>36941</v>
      </c>
      <c r="G272" s="1">
        <v>15</v>
      </c>
      <c r="H272" s="2">
        <v>46083</v>
      </c>
      <c r="I272" s="2">
        <v>46085</v>
      </c>
      <c r="J272" s="1" t="s">
        <v>29</v>
      </c>
      <c r="K272" s="1">
        <v>1271</v>
      </c>
      <c r="L272" s="1">
        <f t="shared" si="2"/>
        <v>627997</v>
      </c>
      <c r="M272" s="1" t="str">
        <f t="shared" si="3"/>
        <v>EXCELLENT</v>
      </c>
    </row>
    <row r="273" spans="1:13" x14ac:dyDescent="0.3">
      <c r="A273" s="1" t="s">
        <v>52</v>
      </c>
      <c r="B273" s="1" t="s">
        <v>38</v>
      </c>
      <c r="C273" s="1" t="s">
        <v>34</v>
      </c>
      <c r="D273" s="1" t="s">
        <v>41</v>
      </c>
      <c r="E273" s="1">
        <v>13</v>
      </c>
      <c r="F273" s="1">
        <v>42179</v>
      </c>
      <c r="G273" s="1">
        <v>0</v>
      </c>
      <c r="H273" s="2">
        <v>46078</v>
      </c>
      <c r="I273" s="2">
        <v>46084</v>
      </c>
      <c r="J273" s="1" t="s">
        <v>20</v>
      </c>
      <c r="K273" s="1">
        <v>1272</v>
      </c>
      <c r="L273" s="1">
        <f t="shared" si="2"/>
        <v>548327</v>
      </c>
      <c r="M273" s="1" t="str">
        <f t="shared" si="3"/>
        <v>EXCELLENT</v>
      </c>
    </row>
    <row r="274" spans="1:13" x14ac:dyDescent="0.3">
      <c r="A274" s="1" t="s">
        <v>46</v>
      </c>
      <c r="B274" s="1" t="s">
        <v>25</v>
      </c>
      <c r="C274" s="1" t="s">
        <v>34</v>
      </c>
      <c r="D274" s="1" t="s">
        <v>39</v>
      </c>
      <c r="E274" s="1">
        <v>12</v>
      </c>
      <c r="F274" s="1">
        <v>20618</v>
      </c>
      <c r="G274" s="1">
        <v>12</v>
      </c>
      <c r="H274" s="2">
        <v>46172</v>
      </c>
      <c r="I274" s="2">
        <v>46174</v>
      </c>
      <c r="J274" s="1" t="s">
        <v>20</v>
      </c>
      <c r="K274" s="1">
        <v>1273</v>
      </c>
      <c r="L274" s="1">
        <f t="shared" si="2"/>
        <v>217726.07999999999</v>
      </c>
      <c r="M274" s="1" t="str">
        <f t="shared" si="3"/>
        <v>EXCELLENT</v>
      </c>
    </row>
    <row r="275" spans="1:13" x14ac:dyDescent="0.3">
      <c r="A275" s="1" t="s">
        <v>26</v>
      </c>
      <c r="B275" s="1" t="s">
        <v>25</v>
      </c>
      <c r="C275" s="1" t="s">
        <v>34</v>
      </c>
      <c r="D275" s="1" t="s">
        <v>41</v>
      </c>
      <c r="E275" s="1">
        <v>13</v>
      </c>
      <c r="F275" s="1">
        <v>36652</v>
      </c>
      <c r="G275" s="1">
        <v>12</v>
      </c>
      <c r="H275" s="2">
        <v>46179</v>
      </c>
      <c r="I275" s="2">
        <v>46186</v>
      </c>
      <c r="J275" s="1" t="s">
        <v>20</v>
      </c>
      <c r="K275" s="1">
        <v>1274</v>
      </c>
      <c r="L275" s="1">
        <f t="shared" si="2"/>
        <v>419298.88</v>
      </c>
      <c r="M275" s="1" t="str">
        <f t="shared" si="3"/>
        <v>EXCELLENT</v>
      </c>
    </row>
    <row r="276" spans="1:13" x14ac:dyDescent="0.3">
      <c r="A276" s="1" t="s">
        <v>16</v>
      </c>
      <c r="B276" s="1" t="s">
        <v>31</v>
      </c>
      <c r="C276" s="1" t="s">
        <v>13</v>
      </c>
      <c r="D276" s="1" t="s">
        <v>50</v>
      </c>
      <c r="E276" s="1">
        <v>20</v>
      </c>
      <c r="F276" s="1">
        <v>451</v>
      </c>
      <c r="G276" s="1">
        <v>15</v>
      </c>
      <c r="H276" s="2">
        <v>46092</v>
      </c>
      <c r="I276" s="2">
        <v>46094</v>
      </c>
      <c r="J276" s="1" t="s">
        <v>20</v>
      </c>
      <c r="K276" s="1">
        <v>1275</v>
      </c>
      <c r="L276" s="1">
        <f t="shared" si="2"/>
        <v>7667</v>
      </c>
      <c r="M276" s="1" t="str">
        <f t="shared" si="3"/>
        <v>AVERAGE</v>
      </c>
    </row>
    <row r="277" spans="1:13" x14ac:dyDescent="0.3">
      <c r="A277" s="1" t="s">
        <v>40</v>
      </c>
      <c r="B277" s="1" t="s">
        <v>12</v>
      </c>
      <c r="C277" s="1" t="s">
        <v>18</v>
      </c>
      <c r="D277" s="1" t="s">
        <v>19</v>
      </c>
      <c r="E277" s="1">
        <v>1</v>
      </c>
      <c r="F277" s="1">
        <v>13437</v>
      </c>
      <c r="G277" s="1">
        <v>15</v>
      </c>
      <c r="H277" s="2">
        <v>46097</v>
      </c>
      <c r="I277" s="2">
        <v>46099</v>
      </c>
      <c r="J277" s="1" t="s">
        <v>24</v>
      </c>
      <c r="K277" s="1">
        <v>1276</v>
      </c>
      <c r="L277" s="1">
        <f t="shared" si="2"/>
        <v>11421.449999999999</v>
      </c>
      <c r="M277" s="1" t="str">
        <f t="shared" si="3"/>
        <v>AVERAGE</v>
      </c>
    </row>
    <row r="278" spans="1:13" x14ac:dyDescent="0.3">
      <c r="A278" s="1" t="s">
        <v>59</v>
      </c>
      <c r="B278" s="1" t="s">
        <v>17</v>
      </c>
      <c r="C278" s="1" t="s">
        <v>13</v>
      </c>
      <c r="D278" s="1" t="s">
        <v>36</v>
      </c>
      <c r="E278" s="1">
        <v>14</v>
      </c>
      <c r="F278" s="1">
        <v>276</v>
      </c>
      <c r="G278" s="1">
        <v>0</v>
      </c>
      <c r="H278" s="2">
        <v>46086</v>
      </c>
      <c r="I278" s="2">
        <v>46089</v>
      </c>
      <c r="J278" s="1" t="s">
        <v>15</v>
      </c>
      <c r="K278" s="1">
        <v>1277</v>
      </c>
      <c r="L278" s="1">
        <f t="shared" si="2"/>
        <v>3864</v>
      </c>
      <c r="M278" s="1" t="str">
        <f t="shared" si="3"/>
        <v>AVERAGE</v>
      </c>
    </row>
    <row r="279" spans="1:13" x14ac:dyDescent="0.3">
      <c r="A279" s="1" t="s">
        <v>47</v>
      </c>
      <c r="B279" s="1" t="s">
        <v>22</v>
      </c>
      <c r="C279" s="1" t="s">
        <v>34</v>
      </c>
      <c r="D279" s="1" t="s">
        <v>61</v>
      </c>
      <c r="E279" s="1">
        <v>4</v>
      </c>
      <c r="F279" s="1">
        <v>20639</v>
      </c>
      <c r="G279" s="1">
        <v>7</v>
      </c>
      <c r="H279" s="2">
        <v>46180</v>
      </c>
      <c r="I279" s="2">
        <v>46186</v>
      </c>
      <c r="J279" s="1" t="s">
        <v>20</v>
      </c>
      <c r="K279" s="1">
        <v>1278</v>
      </c>
      <c r="L279" s="1">
        <f t="shared" si="2"/>
        <v>76777.08</v>
      </c>
      <c r="M279" s="1" t="str">
        <f t="shared" si="3"/>
        <v>VERY GOOD</v>
      </c>
    </row>
    <row r="280" spans="1:13" x14ac:dyDescent="0.3">
      <c r="A280" s="1" t="s">
        <v>55</v>
      </c>
      <c r="B280" s="1" t="s">
        <v>33</v>
      </c>
      <c r="C280" s="1" t="s">
        <v>34</v>
      </c>
      <c r="D280" s="1" t="s">
        <v>45</v>
      </c>
      <c r="E280" s="1">
        <v>20</v>
      </c>
      <c r="F280" s="1">
        <v>49042</v>
      </c>
      <c r="G280" s="1">
        <v>2</v>
      </c>
      <c r="H280" s="2">
        <v>46124</v>
      </c>
      <c r="I280" s="2">
        <v>46126</v>
      </c>
      <c r="J280" s="1" t="s">
        <v>15</v>
      </c>
      <c r="K280" s="1">
        <v>1279</v>
      </c>
      <c r="L280" s="1">
        <f t="shared" si="2"/>
        <v>961223.2</v>
      </c>
      <c r="M280" s="1" t="str">
        <f t="shared" si="3"/>
        <v>EXCELLENT</v>
      </c>
    </row>
    <row r="281" spans="1:13" x14ac:dyDescent="0.3">
      <c r="A281" s="1" t="s">
        <v>59</v>
      </c>
      <c r="B281" s="1" t="s">
        <v>38</v>
      </c>
      <c r="C281" s="1" t="s">
        <v>13</v>
      </c>
      <c r="D281" s="1" t="s">
        <v>53</v>
      </c>
      <c r="E281" s="1">
        <v>9</v>
      </c>
      <c r="F281" s="1">
        <v>50</v>
      </c>
      <c r="G281" s="1">
        <v>7</v>
      </c>
      <c r="H281" s="2">
        <v>46085</v>
      </c>
      <c r="I281" s="2">
        <v>46095</v>
      </c>
      <c r="J281" s="1" t="s">
        <v>51</v>
      </c>
      <c r="K281" s="1">
        <v>1280</v>
      </c>
      <c r="L281" s="1">
        <f t="shared" si="2"/>
        <v>418.5</v>
      </c>
      <c r="M281" s="1" t="str">
        <f t="shared" si="3"/>
        <v>AVERAGE</v>
      </c>
    </row>
    <row r="282" spans="1:13" x14ac:dyDescent="0.3">
      <c r="A282" s="1" t="s">
        <v>55</v>
      </c>
      <c r="B282" s="1" t="s">
        <v>17</v>
      </c>
      <c r="C282" s="1" t="s">
        <v>13</v>
      </c>
      <c r="D282" s="1" t="s">
        <v>50</v>
      </c>
      <c r="E282" s="1">
        <v>6</v>
      </c>
      <c r="F282" s="1">
        <v>253</v>
      </c>
      <c r="G282" s="1">
        <v>0</v>
      </c>
      <c r="H282" s="2">
        <v>46055</v>
      </c>
      <c r="I282" s="2">
        <v>46063</v>
      </c>
      <c r="J282" s="1" t="s">
        <v>24</v>
      </c>
      <c r="K282" s="1">
        <v>1281</v>
      </c>
      <c r="L282" s="1">
        <f t="shared" si="2"/>
        <v>1518</v>
      </c>
      <c r="M282" s="1" t="str">
        <f t="shared" si="3"/>
        <v>AVERAGE</v>
      </c>
    </row>
    <row r="283" spans="1:13" x14ac:dyDescent="0.3">
      <c r="A283" s="1" t="s">
        <v>57</v>
      </c>
      <c r="B283" s="1" t="s">
        <v>43</v>
      </c>
      <c r="C283" s="1" t="s">
        <v>18</v>
      </c>
      <c r="D283" s="1" t="s">
        <v>44</v>
      </c>
      <c r="E283" s="1">
        <v>12</v>
      </c>
      <c r="F283" s="1">
        <v>3178</v>
      </c>
      <c r="G283" s="1">
        <v>10</v>
      </c>
      <c r="H283" s="2">
        <v>46176</v>
      </c>
      <c r="I283" s="2">
        <v>46177</v>
      </c>
      <c r="J283" s="1" t="s">
        <v>29</v>
      </c>
      <c r="K283" s="1">
        <v>1282</v>
      </c>
      <c r="L283" s="1">
        <f t="shared" si="2"/>
        <v>34322.400000000001</v>
      </c>
      <c r="M283" s="1" t="str">
        <f t="shared" si="3"/>
        <v>GOOD</v>
      </c>
    </row>
    <row r="284" spans="1:13" x14ac:dyDescent="0.3">
      <c r="A284" s="1" t="s">
        <v>40</v>
      </c>
      <c r="B284" s="1" t="s">
        <v>12</v>
      </c>
      <c r="C284" s="1" t="s">
        <v>18</v>
      </c>
      <c r="D284" s="1" t="s">
        <v>23</v>
      </c>
      <c r="E284" s="1">
        <v>6</v>
      </c>
      <c r="F284" s="1">
        <v>1167</v>
      </c>
      <c r="G284" s="1">
        <v>2</v>
      </c>
      <c r="H284" s="2">
        <v>46100</v>
      </c>
      <c r="I284" s="2">
        <v>46106</v>
      </c>
      <c r="J284" s="1" t="s">
        <v>15</v>
      </c>
      <c r="K284" s="1">
        <v>1283</v>
      </c>
      <c r="L284" s="1">
        <f t="shared" si="2"/>
        <v>6861.96</v>
      </c>
      <c r="M284" s="1" t="str">
        <f t="shared" si="3"/>
        <v>AVERAGE</v>
      </c>
    </row>
    <row r="285" spans="1:13" x14ac:dyDescent="0.3">
      <c r="A285" s="1" t="s">
        <v>40</v>
      </c>
      <c r="B285" s="1" t="s">
        <v>25</v>
      </c>
      <c r="C285" s="1" t="s">
        <v>13</v>
      </c>
      <c r="D285" s="1" t="s">
        <v>37</v>
      </c>
      <c r="E285" s="1">
        <v>16</v>
      </c>
      <c r="F285" s="1">
        <v>419</v>
      </c>
      <c r="G285" s="1">
        <v>2</v>
      </c>
      <c r="H285" s="2">
        <v>46082</v>
      </c>
      <c r="I285" s="2">
        <v>46090</v>
      </c>
      <c r="J285" s="1" t="s">
        <v>15</v>
      </c>
      <c r="K285" s="1">
        <v>1284</v>
      </c>
      <c r="L285" s="1">
        <f t="shared" si="2"/>
        <v>6569.92</v>
      </c>
      <c r="M285" s="1" t="str">
        <f t="shared" si="3"/>
        <v>AVERAGE</v>
      </c>
    </row>
    <row r="286" spans="1:13" x14ac:dyDescent="0.3">
      <c r="A286" s="1" t="s">
        <v>32</v>
      </c>
      <c r="B286" s="1" t="s">
        <v>38</v>
      </c>
      <c r="C286" s="1" t="s">
        <v>13</v>
      </c>
      <c r="D286" s="1" t="s">
        <v>36</v>
      </c>
      <c r="E286" s="1">
        <v>7</v>
      </c>
      <c r="F286" s="1">
        <v>439</v>
      </c>
      <c r="G286" s="1">
        <v>15</v>
      </c>
      <c r="H286" s="2">
        <v>46055</v>
      </c>
      <c r="I286" s="2">
        <v>46058</v>
      </c>
      <c r="J286" s="1" t="s">
        <v>20</v>
      </c>
      <c r="K286" s="1">
        <v>1285</v>
      </c>
      <c r="L286" s="1">
        <f t="shared" si="2"/>
        <v>2612.0499999999997</v>
      </c>
      <c r="M286" s="1" t="str">
        <f t="shared" si="3"/>
        <v>AVERAGE</v>
      </c>
    </row>
    <row r="287" spans="1:13" x14ac:dyDescent="0.3">
      <c r="A287" s="1" t="s">
        <v>46</v>
      </c>
      <c r="B287" s="1" t="s">
        <v>17</v>
      </c>
      <c r="C287" s="1" t="s">
        <v>18</v>
      </c>
      <c r="D287" s="1" t="s">
        <v>56</v>
      </c>
      <c r="E287" s="1">
        <v>9</v>
      </c>
      <c r="F287" s="1">
        <v>1340</v>
      </c>
      <c r="G287" s="1">
        <v>2</v>
      </c>
      <c r="H287" s="2">
        <v>46168</v>
      </c>
      <c r="I287" s="2">
        <v>46173</v>
      </c>
      <c r="J287" s="1" t="s">
        <v>15</v>
      </c>
      <c r="K287" s="1">
        <v>1286</v>
      </c>
      <c r="L287" s="1">
        <f t="shared" si="2"/>
        <v>11818.8</v>
      </c>
      <c r="M287" s="1" t="str">
        <f t="shared" si="3"/>
        <v>AVERAGE</v>
      </c>
    </row>
    <row r="288" spans="1:13" x14ac:dyDescent="0.3">
      <c r="A288" s="1" t="s">
        <v>59</v>
      </c>
      <c r="B288" s="1" t="s">
        <v>31</v>
      </c>
      <c r="C288" s="1" t="s">
        <v>13</v>
      </c>
      <c r="D288" s="1" t="s">
        <v>14</v>
      </c>
      <c r="E288" s="1">
        <v>15</v>
      </c>
      <c r="F288" s="1">
        <v>251</v>
      </c>
      <c r="G288" s="1">
        <v>2</v>
      </c>
      <c r="H288" s="2">
        <v>46116</v>
      </c>
      <c r="I288" s="2">
        <v>46122</v>
      </c>
      <c r="J288" s="1" t="s">
        <v>51</v>
      </c>
      <c r="K288" s="1">
        <v>1287</v>
      </c>
      <c r="L288" s="1">
        <f t="shared" si="2"/>
        <v>3689.7</v>
      </c>
      <c r="M288" s="1" t="str">
        <f t="shared" si="3"/>
        <v>AVERAGE</v>
      </c>
    </row>
    <row r="289" spans="1:13" x14ac:dyDescent="0.3">
      <c r="A289" s="1" t="s">
        <v>54</v>
      </c>
      <c r="B289" s="1" t="s">
        <v>22</v>
      </c>
      <c r="C289" s="1" t="s">
        <v>34</v>
      </c>
      <c r="D289" s="1" t="s">
        <v>60</v>
      </c>
      <c r="E289" s="1">
        <v>14</v>
      </c>
      <c r="F289" s="1">
        <v>35601</v>
      </c>
      <c r="G289" s="1">
        <v>10</v>
      </c>
      <c r="H289" s="2">
        <v>46179</v>
      </c>
      <c r="I289" s="2">
        <v>46187</v>
      </c>
      <c r="J289" s="1" t="s">
        <v>29</v>
      </c>
      <c r="K289" s="1">
        <v>1288</v>
      </c>
      <c r="L289" s="1">
        <f t="shared" si="2"/>
        <v>448572.60000000003</v>
      </c>
      <c r="M289" s="1" t="str">
        <f t="shared" si="3"/>
        <v>EXCELLENT</v>
      </c>
    </row>
    <row r="290" spans="1:13" x14ac:dyDescent="0.3">
      <c r="A290" s="1" t="s">
        <v>26</v>
      </c>
      <c r="B290" s="1" t="s">
        <v>22</v>
      </c>
      <c r="C290" s="1" t="s">
        <v>34</v>
      </c>
      <c r="D290" s="1" t="s">
        <v>45</v>
      </c>
      <c r="E290" s="1">
        <v>19</v>
      </c>
      <c r="F290" s="1">
        <v>25336</v>
      </c>
      <c r="G290" s="1">
        <v>2</v>
      </c>
      <c r="H290" s="2">
        <v>46122</v>
      </c>
      <c r="I290" s="2">
        <v>46130</v>
      </c>
      <c r="J290" s="1" t="s">
        <v>24</v>
      </c>
      <c r="K290" s="1">
        <v>1289</v>
      </c>
      <c r="L290" s="1">
        <f t="shared" si="2"/>
        <v>471756.32</v>
      </c>
      <c r="M290" s="1" t="str">
        <f t="shared" si="3"/>
        <v>EXCELLENT</v>
      </c>
    </row>
    <row r="291" spans="1:13" x14ac:dyDescent="0.3">
      <c r="A291" s="1" t="s">
        <v>26</v>
      </c>
      <c r="B291" s="1" t="s">
        <v>22</v>
      </c>
      <c r="C291" s="1" t="s">
        <v>34</v>
      </c>
      <c r="D291" s="1" t="s">
        <v>35</v>
      </c>
      <c r="E291" s="1">
        <v>3</v>
      </c>
      <c r="F291" s="1">
        <v>69793</v>
      </c>
      <c r="G291" s="1">
        <v>15</v>
      </c>
      <c r="H291" s="2">
        <v>46110</v>
      </c>
      <c r="I291" s="2">
        <v>46111</v>
      </c>
      <c r="J291" s="1" t="s">
        <v>29</v>
      </c>
      <c r="K291" s="1">
        <v>1290</v>
      </c>
      <c r="L291" s="1">
        <f t="shared" si="2"/>
        <v>177972.15</v>
      </c>
      <c r="M291" s="1" t="str">
        <f t="shared" si="3"/>
        <v>EXCELLENT</v>
      </c>
    </row>
    <row r="292" spans="1:13" x14ac:dyDescent="0.3">
      <c r="A292" s="1" t="s">
        <v>21</v>
      </c>
      <c r="B292" s="1" t="s">
        <v>17</v>
      </c>
      <c r="C292" s="1" t="s">
        <v>13</v>
      </c>
      <c r="D292" s="1" t="s">
        <v>36</v>
      </c>
      <c r="E292" s="1">
        <v>17</v>
      </c>
      <c r="F292" s="1">
        <v>415</v>
      </c>
      <c r="G292" s="1">
        <v>5</v>
      </c>
      <c r="H292" s="2">
        <v>46137</v>
      </c>
      <c r="I292" s="2">
        <v>46141</v>
      </c>
      <c r="J292" s="1" t="s">
        <v>20</v>
      </c>
      <c r="K292" s="1">
        <v>1291</v>
      </c>
      <c r="L292" s="1">
        <f t="shared" si="2"/>
        <v>6702.25</v>
      </c>
      <c r="M292" s="1" t="str">
        <f t="shared" si="3"/>
        <v>AVERAGE</v>
      </c>
    </row>
    <row r="293" spans="1:13" x14ac:dyDescent="0.3">
      <c r="A293" s="1" t="s">
        <v>54</v>
      </c>
      <c r="B293" s="1" t="s">
        <v>33</v>
      </c>
      <c r="C293" s="1" t="s">
        <v>34</v>
      </c>
      <c r="D293" s="1" t="s">
        <v>61</v>
      </c>
      <c r="E293" s="1">
        <v>11</v>
      </c>
      <c r="F293" s="1">
        <v>25158</v>
      </c>
      <c r="G293" s="1">
        <v>5</v>
      </c>
      <c r="H293" s="2">
        <v>46186</v>
      </c>
      <c r="I293" s="2">
        <v>46193</v>
      </c>
      <c r="J293" s="1" t="s">
        <v>20</v>
      </c>
      <c r="K293" s="1">
        <v>1292</v>
      </c>
      <c r="L293" s="1">
        <f t="shared" si="2"/>
        <v>262901.09999999998</v>
      </c>
      <c r="M293" s="1" t="str">
        <f t="shared" si="3"/>
        <v>EXCELLENT</v>
      </c>
    </row>
    <row r="294" spans="1:13" x14ac:dyDescent="0.3">
      <c r="A294" s="1" t="s">
        <v>49</v>
      </c>
      <c r="B294" s="1" t="s">
        <v>43</v>
      </c>
      <c r="C294" s="1" t="s">
        <v>18</v>
      </c>
      <c r="D294" s="1" t="s">
        <v>23</v>
      </c>
      <c r="E294" s="1">
        <v>7</v>
      </c>
      <c r="F294" s="1">
        <v>11481</v>
      </c>
      <c r="G294" s="1">
        <v>15</v>
      </c>
      <c r="H294" s="2">
        <v>46045</v>
      </c>
      <c r="I294" s="2">
        <v>46050</v>
      </c>
      <c r="J294" s="1" t="s">
        <v>20</v>
      </c>
      <c r="K294" s="1">
        <v>1293</v>
      </c>
      <c r="L294" s="1">
        <f t="shared" si="2"/>
        <v>68311.95</v>
      </c>
      <c r="M294" s="1" t="str">
        <f t="shared" si="3"/>
        <v>VERY GOOD</v>
      </c>
    </row>
    <row r="295" spans="1:13" x14ac:dyDescent="0.3">
      <c r="A295" s="1" t="s">
        <v>21</v>
      </c>
      <c r="B295" s="1" t="s">
        <v>12</v>
      </c>
      <c r="C295" s="1" t="s">
        <v>18</v>
      </c>
      <c r="D295" s="1" t="s">
        <v>19</v>
      </c>
      <c r="E295" s="1">
        <v>8</v>
      </c>
      <c r="F295" s="1">
        <v>14448</v>
      </c>
      <c r="G295" s="1">
        <v>10</v>
      </c>
      <c r="H295" s="2">
        <v>46181</v>
      </c>
      <c r="I295" s="2">
        <v>46189</v>
      </c>
      <c r="J295" s="1" t="s">
        <v>15</v>
      </c>
      <c r="K295" s="1">
        <v>1294</v>
      </c>
      <c r="L295" s="1">
        <f t="shared" si="2"/>
        <v>104025.60000000001</v>
      </c>
      <c r="M295" s="1" t="str">
        <f t="shared" si="3"/>
        <v>EXCELLENT</v>
      </c>
    </row>
    <row r="296" spans="1:13" x14ac:dyDescent="0.3">
      <c r="A296" s="1" t="s">
        <v>52</v>
      </c>
      <c r="B296" s="1" t="s">
        <v>38</v>
      </c>
      <c r="C296" s="1" t="s">
        <v>18</v>
      </c>
      <c r="D296" s="1" t="s">
        <v>28</v>
      </c>
      <c r="E296" s="1">
        <v>16</v>
      </c>
      <c r="F296" s="1">
        <v>11935</v>
      </c>
      <c r="G296" s="1">
        <v>12</v>
      </c>
      <c r="H296" s="2">
        <v>46157</v>
      </c>
      <c r="I296" s="2">
        <v>46162</v>
      </c>
      <c r="J296" s="1" t="s">
        <v>15</v>
      </c>
      <c r="K296" s="1">
        <v>1295</v>
      </c>
      <c r="L296" s="1">
        <f t="shared" si="2"/>
        <v>168044.79999999999</v>
      </c>
      <c r="M296" s="1" t="str">
        <f t="shared" si="3"/>
        <v>EXCELLENT</v>
      </c>
    </row>
    <row r="297" spans="1:13" x14ac:dyDescent="0.3">
      <c r="A297" s="1" t="s">
        <v>26</v>
      </c>
      <c r="B297" s="1" t="s">
        <v>38</v>
      </c>
      <c r="C297" s="1" t="s">
        <v>13</v>
      </c>
      <c r="D297" s="1" t="s">
        <v>50</v>
      </c>
      <c r="E297" s="1">
        <v>6</v>
      </c>
      <c r="F297" s="1">
        <v>201</v>
      </c>
      <c r="G297" s="1">
        <v>0</v>
      </c>
      <c r="H297" s="2">
        <v>46063</v>
      </c>
      <c r="I297" s="2">
        <v>46072</v>
      </c>
      <c r="J297" s="1" t="s">
        <v>51</v>
      </c>
      <c r="K297" s="1">
        <v>1296</v>
      </c>
      <c r="L297" s="1">
        <f t="shared" si="2"/>
        <v>1206</v>
      </c>
      <c r="M297" s="1" t="str">
        <f t="shared" si="3"/>
        <v>AVERAGE</v>
      </c>
    </row>
    <row r="298" spans="1:13" x14ac:dyDescent="0.3">
      <c r="A298" s="1" t="s">
        <v>54</v>
      </c>
      <c r="B298" s="1" t="s">
        <v>25</v>
      </c>
      <c r="C298" s="1" t="s">
        <v>34</v>
      </c>
      <c r="D298" s="1" t="s">
        <v>35</v>
      </c>
      <c r="E298" s="1">
        <v>14</v>
      </c>
      <c r="F298" s="1">
        <v>24524</v>
      </c>
      <c r="G298" s="1">
        <v>10</v>
      </c>
      <c r="H298" s="2">
        <v>46178</v>
      </c>
      <c r="I298" s="2">
        <v>46187</v>
      </c>
      <c r="J298" s="1" t="s">
        <v>29</v>
      </c>
      <c r="K298" s="1">
        <v>1297</v>
      </c>
      <c r="L298" s="1">
        <f t="shared" si="2"/>
        <v>309002.40000000002</v>
      </c>
      <c r="M298" s="1" t="str">
        <f t="shared" si="3"/>
        <v>EXCELLENT</v>
      </c>
    </row>
    <row r="299" spans="1:13" x14ac:dyDescent="0.3">
      <c r="A299" s="1" t="s">
        <v>21</v>
      </c>
      <c r="B299" s="1" t="s">
        <v>12</v>
      </c>
      <c r="C299" s="1" t="s">
        <v>34</v>
      </c>
      <c r="D299" s="1" t="s">
        <v>61</v>
      </c>
      <c r="E299" s="1">
        <v>19</v>
      </c>
      <c r="F299" s="1">
        <v>20745</v>
      </c>
      <c r="G299" s="1">
        <v>2</v>
      </c>
      <c r="H299" s="2">
        <v>46083</v>
      </c>
      <c r="I299" s="2">
        <v>46093</v>
      </c>
      <c r="J299" s="1" t="s">
        <v>24</v>
      </c>
      <c r="K299" s="1">
        <v>1298</v>
      </c>
      <c r="L299" s="1">
        <f t="shared" si="2"/>
        <v>386271.89999999997</v>
      </c>
      <c r="M299" s="1" t="str">
        <f t="shared" si="3"/>
        <v>EXCELLENT</v>
      </c>
    </row>
    <row r="300" spans="1:13" x14ac:dyDescent="0.3">
      <c r="A300" s="1" t="s">
        <v>26</v>
      </c>
      <c r="B300" s="1" t="s">
        <v>17</v>
      </c>
      <c r="C300" s="1" t="s">
        <v>18</v>
      </c>
      <c r="D300" s="1" t="s">
        <v>56</v>
      </c>
      <c r="E300" s="1">
        <v>8</v>
      </c>
      <c r="F300" s="1">
        <v>8783</v>
      </c>
      <c r="G300" s="1">
        <v>2</v>
      </c>
      <c r="H300" s="2">
        <v>46123</v>
      </c>
      <c r="I300" s="2">
        <v>46132</v>
      </c>
      <c r="J300" s="1" t="s">
        <v>15</v>
      </c>
      <c r="K300" s="1">
        <v>1299</v>
      </c>
      <c r="L300" s="1">
        <f t="shared" si="2"/>
        <v>68858.720000000001</v>
      </c>
      <c r="M300" s="1" t="str">
        <f t="shared" si="3"/>
        <v>VERY GOOD</v>
      </c>
    </row>
    <row r="301" spans="1:13" x14ac:dyDescent="0.3">
      <c r="A301" s="1" t="s">
        <v>47</v>
      </c>
      <c r="B301" s="1" t="s">
        <v>33</v>
      </c>
      <c r="C301" s="1" t="s">
        <v>34</v>
      </c>
      <c r="D301" s="1" t="s">
        <v>45</v>
      </c>
      <c r="E301" s="1">
        <v>20</v>
      </c>
      <c r="F301" s="1">
        <v>1392</v>
      </c>
      <c r="G301" s="1">
        <v>2</v>
      </c>
      <c r="H301" s="2">
        <v>46110</v>
      </c>
      <c r="I301" s="2">
        <v>46117</v>
      </c>
      <c r="J301" s="1" t="s">
        <v>24</v>
      </c>
      <c r="K301" s="1">
        <v>1300</v>
      </c>
      <c r="L301" s="1">
        <f t="shared" si="2"/>
        <v>27283.200000000001</v>
      </c>
      <c r="M301" s="1" t="str">
        <f t="shared" si="3"/>
        <v>GOOD</v>
      </c>
    </row>
    <row r="302" spans="1:13" x14ac:dyDescent="0.3">
      <c r="A302" s="1" t="s">
        <v>54</v>
      </c>
      <c r="B302" s="1" t="s">
        <v>17</v>
      </c>
      <c r="C302" s="1" t="s">
        <v>18</v>
      </c>
      <c r="D302" s="1" t="s">
        <v>28</v>
      </c>
      <c r="E302" s="1">
        <v>3</v>
      </c>
      <c r="F302" s="1">
        <v>7020</v>
      </c>
      <c r="G302" s="1">
        <v>10</v>
      </c>
      <c r="H302" s="2">
        <v>46028</v>
      </c>
      <c r="I302" s="2">
        <v>46038</v>
      </c>
      <c r="J302" s="1" t="s">
        <v>24</v>
      </c>
      <c r="K302" s="1">
        <v>1301</v>
      </c>
      <c r="L302" s="1">
        <f t="shared" si="2"/>
        <v>18954</v>
      </c>
      <c r="M302" s="1" t="str">
        <f t="shared" si="3"/>
        <v>AVERAGE</v>
      </c>
    </row>
    <row r="303" spans="1:13" x14ac:dyDescent="0.3">
      <c r="A303" s="1" t="s">
        <v>57</v>
      </c>
      <c r="B303" s="1" t="s">
        <v>12</v>
      </c>
      <c r="C303" s="1" t="s">
        <v>34</v>
      </c>
      <c r="D303" s="1" t="s">
        <v>35</v>
      </c>
      <c r="E303" s="1">
        <v>9</v>
      </c>
      <c r="F303" s="1">
        <v>8500</v>
      </c>
      <c r="G303" s="1">
        <v>15</v>
      </c>
      <c r="H303" s="2">
        <v>46163</v>
      </c>
      <c r="I303" s="2">
        <v>46172</v>
      </c>
      <c r="J303" s="1" t="s">
        <v>24</v>
      </c>
      <c r="K303" s="1">
        <v>1302</v>
      </c>
      <c r="L303" s="1">
        <f t="shared" si="2"/>
        <v>65025</v>
      </c>
      <c r="M303" s="1" t="str">
        <f t="shared" si="3"/>
        <v>VERY GOOD</v>
      </c>
    </row>
    <row r="304" spans="1:13" x14ac:dyDescent="0.3">
      <c r="A304" s="1" t="s">
        <v>57</v>
      </c>
      <c r="B304" s="1" t="s">
        <v>38</v>
      </c>
      <c r="C304" s="1" t="s">
        <v>34</v>
      </c>
      <c r="D304" s="1" t="s">
        <v>35</v>
      </c>
      <c r="E304" s="1">
        <v>13</v>
      </c>
      <c r="F304" s="1">
        <v>5170</v>
      </c>
      <c r="G304" s="1">
        <v>2</v>
      </c>
      <c r="H304" s="2">
        <v>46124</v>
      </c>
      <c r="I304" s="2">
        <v>46127</v>
      </c>
      <c r="J304" s="1" t="s">
        <v>15</v>
      </c>
      <c r="K304" s="1">
        <v>1303</v>
      </c>
      <c r="L304" s="1">
        <f t="shared" si="2"/>
        <v>65865.8</v>
      </c>
      <c r="M304" s="1" t="str">
        <f t="shared" si="3"/>
        <v>VERY GOOD</v>
      </c>
    </row>
    <row r="305" spans="1:13" x14ac:dyDescent="0.3">
      <c r="A305" s="1" t="s">
        <v>59</v>
      </c>
      <c r="B305" s="1" t="s">
        <v>25</v>
      </c>
      <c r="C305" s="1" t="s">
        <v>13</v>
      </c>
      <c r="D305" s="1" t="s">
        <v>36</v>
      </c>
      <c r="E305" s="1">
        <v>20</v>
      </c>
      <c r="F305" s="1">
        <v>368</v>
      </c>
      <c r="G305" s="1">
        <v>7</v>
      </c>
      <c r="H305" s="2">
        <v>46042</v>
      </c>
      <c r="I305" s="2">
        <v>46051</v>
      </c>
      <c r="J305" s="1" t="s">
        <v>51</v>
      </c>
      <c r="K305" s="1">
        <v>1304</v>
      </c>
      <c r="L305" s="1">
        <f t="shared" si="2"/>
        <v>6844.7999999999993</v>
      </c>
      <c r="M305" s="1" t="str">
        <f t="shared" si="3"/>
        <v>AVERAGE</v>
      </c>
    </row>
    <row r="306" spans="1:13" x14ac:dyDescent="0.3">
      <c r="A306" s="1" t="s">
        <v>58</v>
      </c>
      <c r="B306" s="1" t="s">
        <v>31</v>
      </c>
      <c r="C306" s="1" t="s">
        <v>34</v>
      </c>
      <c r="D306" s="1" t="s">
        <v>60</v>
      </c>
      <c r="E306" s="1">
        <v>20</v>
      </c>
      <c r="F306" s="1">
        <v>31406</v>
      </c>
      <c r="G306" s="1">
        <v>15</v>
      </c>
      <c r="H306" s="2">
        <v>46146</v>
      </c>
      <c r="I306" s="2">
        <v>46154</v>
      </c>
      <c r="J306" s="1" t="s">
        <v>51</v>
      </c>
      <c r="K306" s="1">
        <v>1305</v>
      </c>
      <c r="L306" s="1">
        <f t="shared" si="2"/>
        <v>533902</v>
      </c>
      <c r="M306" s="1" t="str">
        <f t="shared" si="3"/>
        <v>EXCELLENT</v>
      </c>
    </row>
    <row r="307" spans="1:13" x14ac:dyDescent="0.3">
      <c r="A307" s="1" t="s">
        <v>54</v>
      </c>
      <c r="B307" s="1" t="s">
        <v>43</v>
      </c>
      <c r="C307" s="1" t="s">
        <v>13</v>
      </c>
      <c r="D307" s="1" t="s">
        <v>36</v>
      </c>
      <c r="E307" s="1">
        <v>1</v>
      </c>
      <c r="F307" s="1">
        <v>332</v>
      </c>
      <c r="G307" s="1">
        <v>0</v>
      </c>
      <c r="H307" s="2">
        <v>46191</v>
      </c>
      <c r="I307" s="2">
        <v>46194</v>
      </c>
      <c r="J307" s="1" t="s">
        <v>20</v>
      </c>
      <c r="K307" s="1">
        <v>1306</v>
      </c>
      <c r="L307" s="1">
        <f t="shared" si="2"/>
        <v>332</v>
      </c>
      <c r="M307" s="1" t="str">
        <f t="shared" si="3"/>
        <v>AVERAGE</v>
      </c>
    </row>
    <row r="308" spans="1:13" x14ac:dyDescent="0.3">
      <c r="A308" s="1" t="s">
        <v>57</v>
      </c>
      <c r="B308" s="1" t="s">
        <v>43</v>
      </c>
      <c r="C308" s="1" t="s">
        <v>34</v>
      </c>
      <c r="D308" s="1" t="s">
        <v>35</v>
      </c>
      <c r="E308" s="1">
        <v>18</v>
      </c>
      <c r="F308" s="1">
        <v>7541</v>
      </c>
      <c r="G308" s="1">
        <v>12</v>
      </c>
      <c r="H308" s="2">
        <v>46048</v>
      </c>
      <c r="I308" s="2">
        <v>46051</v>
      </c>
      <c r="J308" s="1" t="s">
        <v>51</v>
      </c>
      <c r="K308" s="1">
        <v>1307</v>
      </c>
      <c r="L308" s="1">
        <f t="shared" si="2"/>
        <v>119449.44</v>
      </c>
      <c r="M308" s="1" t="str">
        <f t="shared" si="3"/>
        <v>EXCELLENT</v>
      </c>
    </row>
    <row r="309" spans="1:13" x14ac:dyDescent="0.3">
      <c r="A309" s="1" t="s">
        <v>30</v>
      </c>
      <c r="B309" s="1" t="s">
        <v>22</v>
      </c>
      <c r="C309" s="1" t="s">
        <v>34</v>
      </c>
      <c r="D309" s="1" t="s">
        <v>41</v>
      </c>
      <c r="E309" s="1">
        <v>12</v>
      </c>
      <c r="F309" s="1">
        <v>66075</v>
      </c>
      <c r="G309" s="1">
        <v>5</v>
      </c>
      <c r="H309" s="2">
        <v>46129</v>
      </c>
      <c r="I309" s="2">
        <v>46135</v>
      </c>
      <c r="J309" s="1" t="s">
        <v>20</v>
      </c>
      <c r="K309" s="1">
        <v>1308</v>
      </c>
      <c r="L309" s="1">
        <f t="shared" si="2"/>
        <v>753255</v>
      </c>
      <c r="M309" s="1" t="str">
        <f t="shared" si="3"/>
        <v>EXCELLENT</v>
      </c>
    </row>
    <row r="310" spans="1:13" x14ac:dyDescent="0.3">
      <c r="A310" s="1" t="s">
        <v>29</v>
      </c>
      <c r="B310" s="1" t="s">
        <v>31</v>
      </c>
      <c r="C310" s="1" t="s">
        <v>13</v>
      </c>
      <c r="D310" s="1" t="s">
        <v>50</v>
      </c>
      <c r="E310" s="1">
        <v>2</v>
      </c>
      <c r="F310" s="1">
        <v>35</v>
      </c>
      <c r="G310" s="1">
        <v>5</v>
      </c>
      <c r="H310" s="2">
        <v>46197</v>
      </c>
      <c r="I310" s="2">
        <v>46198</v>
      </c>
      <c r="J310" s="1" t="s">
        <v>24</v>
      </c>
      <c r="K310" s="1">
        <v>1309</v>
      </c>
      <c r="L310" s="1">
        <f t="shared" si="2"/>
        <v>66.5</v>
      </c>
      <c r="M310" s="1" t="str">
        <f t="shared" si="3"/>
        <v>AVERAGE</v>
      </c>
    </row>
    <row r="311" spans="1:13" x14ac:dyDescent="0.3">
      <c r="A311" s="1" t="s">
        <v>49</v>
      </c>
      <c r="B311" s="1" t="s">
        <v>17</v>
      </c>
      <c r="C311" s="1" t="s">
        <v>18</v>
      </c>
      <c r="D311" s="1" t="s">
        <v>56</v>
      </c>
      <c r="E311" s="1">
        <v>19</v>
      </c>
      <c r="F311" s="1">
        <v>12691</v>
      </c>
      <c r="G311" s="1">
        <v>0</v>
      </c>
      <c r="H311" s="2">
        <v>46181</v>
      </c>
      <c r="I311" s="2">
        <v>46189</v>
      </c>
      <c r="J311" s="1" t="s">
        <v>29</v>
      </c>
      <c r="K311" s="1">
        <v>1310</v>
      </c>
      <c r="L311" s="1">
        <f t="shared" si="2"/>
        <v>241129</v>
      </c>
      <c r="M311" s="1" t="str">
        <f t="shared" si="3"/>
        <v>EXCELLENT</v>
      </c>
    </row>
    <row r="312" spans="1:13" x14ac:dyDescent="0.3">
      <c r="A312" s="1" t="s">
        <v>55</v>
      </c>
      <c r="B312" s="1" t="s">
        <v>12</v>
      </c>
      <c r="C312" s="1" t="s">
        <v>13</v>
      </c>
      <c r="D312" s="1" t="s">
        <v>14</v>
      </c>
      <c r="E312" s="1">
        <v>2</v>
      </c>
      <c r="F312" s="1">
        <v>209</v>
      </c>
      <c r="G312" s="1">
        <v>0</v>
      </c>
      <c r="H312" s="2">
        <v>46173</v>
      </c>
      <c r="I312" s="2">
        <v>46176</v>
      </c>
      <c r="J312" s="1" t="s">
        <v>20</v>
      </c>
      <c r="K312" s="1">
        <v>1311</v>
      </c>
      <c r="L312" s="1">
        <f t="shared" si="2"/>
        <v>418</v>
      </c>
      <c r="M312" s="1" t="str">
        <f t="shared" si="3"/>
        <v>AVERAGE</v>
      </c>
    </row>
    <row r="313" spans="1:13" x14ac:dyDescent="0.3">
      <c r="A313" s="1" t="s">
        <v>57</v>
      </c>
      <c r="B313" s="1" t="s">
        <v>22</v>
      </c>
      <c r="C313" s="1" t="s">
        <v>18</v>
      </c>
      <c r="D313" s="1" t="s">
        <v>56</v>
      </c>
      <c r="E313" s="1">
        <v>20</v>
      </c>
      <c r="F313" s="1">
        <v>3274</v>
      </c>
      <c r="G313" s="1">
        <v>2</v>
      </c>
      <c r="H313" s="2">
        <v>46148</v>
      </c>
      <c r="I313" s="2">
        <v>46156</v>
      </c>
      <c r="J313" s="1" t="s">
        <v>24</v>
      </c>
      <c r="K313" s="1">
        <v>1312</v>
      </c>
      <c r="L313" s="1">
        <f t="shared" si="2"/>
        <v>64170.400000000001</v>
      </c>
      <c r="M313" s="1" t="str">
        <f t="shared" si="3"/>
        <v>VERY GOOD</v>
      </c>
    </row>
    <row r="314" spans="1:13" x14ac:dyDescent="0.3">
      <c r="A314" s="1" t="s">
        <v>59</v>
      </c>
      <c r="B314" s="1" t="s">
        <v>22</v>
      </c>
      <c r="C314" s="1" t="s">
        <v>18</v>
      </c>
      <c r="D314" s="1" t="s">
        <v>56</v>
      </c>
      <c r="E314" s="1">
        <v>6</v>
      </c>
      <c r="F314" s="1">
        <v>10864</v>
      </c>
      <c r="G314" s="1">
        <v>10</v>
      </c>
      <c r="H314" s="2">
        <v>46041</v>
      </c>
      <c r="I314" s="2">
        <v>46049</v>
      </c>
      <c r="J314" s="1" t="s">
        <v>15</v>
      </c>
      <c r="K314" s="1">
        <v>1313</v>
      </c>
      <c r="L314" s="1">
        <f t="shared" si="2"/>
        <v>58665.599999999999</v>
      </c>
      <c r="M314" s="1" t="str">
        <f t="shared" si="3"/>
        <v>VERY GOOD</v>
      </c>
    </row>
    <row r="315" spans="1:13" x14ac:dyDescent="0.3">
      <c r="A315" s="1" t="s">
        <v>52</v>
      </c>
      <c r="B315" s="1" t="s">
        <v>33</v>
      </c>
      <c r="C315" s="1" t="s">
        <v>18</v>
      </c>
      <c r="D315" s="1" t="s">
        <v>19</v>
      </c>
      <c r="E315" s="1">
        <v>10</v>
      </c>
      <c r="F315" s="1">
        <v>6328</v>
      </c>
      <c r="G315" s="1">
        <v>2</v>
      </c>
      <c r="H315" s="2">
        <v>46196</v>
      </c>
      <c r="I315" s="2">
        <v>46197</v>
      </c>
      <c r="J315" s="1" t="s">
        <v>29</v>
      </c>
      <c r="K315" s="1">
        <v>1314</v>
      </c>
      <c r="L315" s="1">
        <f t="shared" si="2"/>
        <v>62014.400000000001</v>
      </c>
      <c r="M315" s="1" t="str">
        <f t="shared" si="3"/>
        <v>VERY GOOD</v>
      </c>
    </row>
    <row r="316" spans="1:13" x14ac:dyDescent="0.3">
      <c r="A316" s="1" t="s">
        <v>49</v>
      </c>
      <c r="B316" s="1" t="s">
        <v>31</v>
      </c>
      <c r="C316" s="1" t="s">
        <v>34</v>
      </c>
      <c r="D316" s="1" t="s">
        <v>41</v>
      </c>
      <c r="E316" s="1">
        <v>14</v>
      </c>
      <c r="F316" s="1">
        <v>57670</v>
      </c>
      <c r="G316" s="1">
        <v>2</v>
      </c>
      <c r="H316" s="2">
        <v>46186</v>
      </c>
      <c r="I316" s="2">
        <v>46196</v>
      </c>
      <c r="J316" s="1" t="s">
        <v>15</v>
      </c>
      <c r="K316" s="1">
        <v>1315</v>
      </c>
      <c r="L316" s="1">
        <f t="shared" si="2"/>
        <v>791232.4</v>
      </c>
      <c r="M316" s="1" t="str">
        <f t="shared" si="3"/>
        <v>EXCELLENT</v>
      </c>
    </row>
    <row r="317" spans="1:13" x14ac:dyDescent="0.3">
      <c r="A317" s="1" t="s">
        <v>46</v>
      </c>
      <c r="B317" s="1" t="s">
        <v>12</v>
      </c>
      <c r="C317" s="1" t="s">
        <v>18</v>
      </c>
      <c r="D317" s="1" t="s">
        <v>28</v>
      </c>
      <c r="E317" s="1">
        <v>7</v>
      </c>
      <c r="F317" s="1">
        <v>9838</v>
      </c>
      <c r="G317" s="1">
        <v>7</v>
      </c>
      <c r="H317" s="2">
        <v>46078</v>
      </c>
      <c r="I317" s="2">
        <v>46085</v>
      </c>
      <c r="J317" s="1" t="s">
        <v>20</v>
      </c>
      <c r="K317" s="1">
        <v>1316</v>
      </c>
      <c r="L317" s="1">
        <f t="shared" si="2"/>
        <v>64045.38</v>
      </c>
      <c r="M317" s="1" t="str">
        <f t="shared" si="3"/>
        <v>VERY GOOD</v>
      </c>
    </row>
    <row r="318" spans="1:13" x14ac:dyDescent="0.3">
      <c r="A318" s="1" t="s">
        <v>59</v>
      </c>
      <c r="B318" s="1" t="s">
        <v>33</v>
      </c>
      <c r="C318" s="1" t="s">
        <v>34</v>
      </c>
      <c r="D318" s="1" t="s">
        <v>41</v>
      </c>
      <c r="E318" s="1">
        <v>7</v>
      </c>
      <c r="F318" s="1">
        <v>67339</v>
      </c>
      <c r="G318" s="1">
        <v>5</v>
      </c>
      <c r="H318" s="2">
        <v>46159</v>
      </c>
      <c r="I318" s="2">
        <v>46169</v>
      </c>
      <c r="J318" s="1" t="s">
        <v>51</v>
      </c>
      <c r="K318" s="1">
        <v>1317</v>
      </c>
      <c r="L318" s="1">
        <f t="shared" si="2"/>
        <v>447804.35</v>
      </c>
      <c r="M318" s="1" t="str">
        <f t="shared" si="3"/>
        <v>EXCELLENT</v>
      </c>
    </row>
    <row r="319" spans="1:13" x14ac:dyDescent="0.3">
      <c r="A319" s="1" t="s">
        <v>11</v>
      </c>
      <c r="B319" s="1" t="s">
        <v>43</v>
      </c>
      <c r="C319" s="1" t="s">
        <v>13</v>
      </c>
      <c r="D319" s="1" t="s">
        <v>50</v>
      </c>
      <c r="E319" s="1">
        <v>4</v>
      </c>
      <c r="F319" s="1">
        <v>38</v>
      </c>
      <c r="G319" s="1">
        <v>12</v>
      </c>
      <c r="H319" s="2">
        <v>46169</v>
      </c>
      <c r="I319" s="2">
        <v>46175</v>
      </c>
      <c r="J319" s="1" t="s">
        <v>29</v>
      </c>
      <c r="K319" s="1">
        <v>1318</v>
      </c>
      <c r="L319" s="1">
        <f t="shared" si="2"/>
        <v>133.76</v>
      </c>
      <c r="M319" s="1" t="str">
        <f t="shared" si="3"/>
        <v>AVERAGE</v>
      </c>
    </row>
    <row r="320" spans="1:13" x14ac:dyDescent="0.3">
      <c r="A320" s="1" t="s">
        <v>21</v>
      </c>
      <c r="B320" s="1" t="s">
        <v>17</v>
      </c>
      <c r="C320" s="1" t="s">
        <v>34</v>
      </c>
      <c r="D320" s="1" t="s">
        <v>61</v>
      </c>
      <c r="E320" s="1">
        <v>17</v>
      </c>
      <c r="F320" s="1">
        <v>58407</v>
      </c>
      <c r="G320" s="1">
        <v>7</v>
      </c>
      <c r="H320" s="2">
        <v>46094</v>
      </c>
      <c r="I320" s="2">
        <v>46102</v>
      </c>
      <c r="J320" s="1" t="s">
        <v>15</v>
      </c>
      <c r="K320" s="1">
        <v>1319</v>
      </c>
      <c r="L320" s="1">
        <f t="shared" si="2"/>
        <v>923414.66999999993</v>
      </c>
      <c r="M320" s="1" t="str">
        <f t="shared" si="3"/>
        <v>EXCELLENT</v>
      </c>
    </row>
    <row r="321" spans="1:13" x14ac:dyDescent="0.3">
      <c r="A321" s="1" t="s">
        <v>47</v>
      </c>
      <c r="B321" s="1" t="s">
        <v>38</v>
      </c>
      <c r="C321" s="1" t="s">
        <v>13</v>
      </c>
      <c r="D321" s="1" t="s">
        <v>36</v>
      </c>
      <c r="E321" s="1">
        <v>20</v>
      </c>
      <c r="F321" s="1">
        <v>55</v>
      </c>
      <c r="G321" s="1">
        <v>7</v>
      </c>
      <c r="H321" s="2">
        <v>46183</v>
      </c>
      <c r="I321" s="2">
        <v>46186</v>
      </c>
      <c r="J321" s="1" t="s">
        <v>20</v>
      </c>
      <c r="K321" s="1">
        <v>1320</v>
      </c>
      <c r="L321" s="1">
        <f t="shared" si="2"/>
        <v>1022.9999999999999</v>
      </c>
      <c r="M321" s="1" t="str">
        <f t="shared" si="3"/>
        <v>AVERAGE</v>
      </c>
    </row>
    <row r="322" spans="1:13" x14ac:dyDescent="0.3">
      <c r="A322" s="1" t="s">
        <v>32</v>
      </c>
      <c r="B322" s="1" t="s">
        <v>22</v>
      </c>
      <c r="C322" s="1" t="s">
        <v>18</v>
      </c>
      <c r="D322" s="1" t="s">
        <v>19</v>
      </c>
      <c r="E322" s="1">
        <v>8</v>
      </c>
      <c r="F322" s="1">
        <v>5619</v>
      </c>
      <c r="G322" s="1">
        <v>7</v>
      </c>
      <c r="H322" s="2">
        <v>46107</v>
      </c>
      <c r="I322" s="2">
        <v>46109</v>
      </c>
      <c r="J322" s="1" t="s">
        <v>51</v>
      </c>
      <c r="K322" s="1">
        <v>1321</v>
      </c>
      <c r="L322" s="1">
        <f t="shared" si="2"/>
        <v>41805.360000000001</v>
      </c>
      <c r="M322" s="1" t="str">
        <f t="shared" si="3"/>
        <v>GOOD</v>
      </c>
    </row>
    <row r="323" spans="1:13" x14ac:dyDescent="0.3">
      <c r="A323" s="1" t="s">
        <v>27</v>
      </c>
      <c r="B323" s="1" t="s">
        <v>12</v>
      </c>
      <c r="C323" s="1" t="s">
        <v>18</v>
      </c>
      <c r="D323" s="1" t="s">
        <v>23</v>
      </c>
      <c r="E323" s="1">
        <v>14</v>
      </c>
      <c r="F323" s="1">
        <v>9081</v>
      </c>
      <c r="G323" s="1">
        <v>15</v>
      </c>
      <c r="H323" s="2">
        <v>46141</v>
      </c>
      <c r="I323" s="2">
        <v>46146</v>
      </c>
      <c r="J323" s="1" t="s">
        <v>15</v>
      </c>
      <c r="K323" s="1">
        <v>1322</v>
      </c>
      <c r="L323" s="1">
        <f t="shared" si="2"/>
        <v>108063.9</v>
      </c>
      <c r="M323" s="1" t="str">
        <f t="shared" si="3"/>
        <v>EXCELLENT</v>
      </c>
    </row>
    <row r="324" spans="1:13" x14ac:dyDescent="0.3">
      <c r="A324" s="1" t="s">
        <v>57</v>
      </c>
      <c r="B324" s="1" t="s">
        <v>38</v>
      </c>
      <c r="C324" s="1" t="s">
        <v>34</v>
      </c>
      <c r="D324" s="1" t="s">
        <v>61</v>
      </c>
      <c r="E324" s="1">
        <v>2</v>
      </c>
      <c r="F324" s="1">
        <v>32074</v>
      </c>
      <c r="G324" s="1">
        <v>10</v>
      </c>
      <c r="H324" s="2">
        <v>46073</v>
      </c>
      <c r="I324" s="2">
        <v>46078</v>
      </c>
      <c r="J324" s="1" t="s">
        <v>15</v>
      </c>
      <c r="K324" s="1">
        <v>1323</v>
      </c>
      <c r="L324" s="1">
        <f t="shared" si="2"/>
        <v>57733.200000000004</v>
      </c>
      <c r="M324" s="1" t="str">
        <f t="shared" si="3"/>
        <v>VERY GOOD</v>
      </c>
    </row>
    <row r="325" spans="1:13" x14ac:dyDescent="0.3">
      <c r="A325" s="1" t="s">
        <v>32</v>
      </c>
      <c r="B325" s="1" t="s">
        <v>22</v>
      </c>
      <c r="C325" s="1" t="s">
        <v>18</v>
      </c>
      <c r="D325" s="1" t="s">
        <v>19</v>
      </c>
      <c r="E325" s="1">
        <v>1</v>
      </c>
      <c r="F325" s="1">
        <v>4286</v>
      </c>
      <c r="G325" s="1">
        <v>15</v>
      </c>
      <c r="H325" s="2">
        <v>46053</v>
      </c>
      <c r="I325" s="2">
        <v>46056</v>
      </c>
      <c r="J325" s="1" t="s">
        <v>20</v>
      </c>
      <c r="K325" s="1">
        <v>1324</v>
      </c>
      <c r="L325" s="1">
        <f t="shared" si="2"/>
        <v>3643.1</v>
      </c>
      <c r="M325" s="1" t="str">
        <f t="shared" si="3"/>
        <v>AVERAGE</v>
      </c>
    </row>
    <row r="326" spans="1:13" x14ac:dyDescent="0.3">
      <c r="A326" s="1" t="s">
        <v>48</v>
      </c>
      <c r="B326" s="1" t="s">
        <v>43</v>
      </c>
      <c r="C326" s="1" t="s">
        <v>34</v>
      </c>
      <c r="D326" s="1" t="s">
        <v>39</v>
      </c>
      <c r="E326" s="1">
        <v>9</v>
      </c>
      <c r="F326" s="1">
        <v>58442</v>
      </c>
      <c r="G326" s="1">
        <v>12</v>
      </c>
      <c r="H326" s="2">
        <v>46076</v>
      </c>
      <c r="I326" s="2">
        <v>46085</v>
      </c>
      <c r="J326" s="1" t="s">
        <v>20</v>
      </c>
      <c r="K326" s="1">
        <v>1325</v>
      </c>
      <c r="L326" s="1">
        <f t="shared" si="2"/>
        <v>462860.64</v>
      </c>
      <c r="M326" s="1" t="str">
        <f t="shared" si="3"/>
        <v>EXCELLENT</v>
      </c>
    </row>
    <row r="327" spans="1:13" x14ac:dyDescent="0.3">
      <c r="A327" s="1" t="s">
        <v>26</v>
      </c>
      <c r="B327" s="1" t="s">
        <v>17</v>
      </c>
      <c r="C327" s="1" t="s">
        <v>18</v>
      </c>
      <c r="D327" s="1" t="s">
        <v>44</v>
      </c>
      <c r="E327" s="1">
        <v>18</v>
      </c>
      <c r="F327" s="1">
        <v>1830</v>
      </c>
      <c r="G327" s="1">
        <v>10</v>
      </c>
      <c r="H327" s="2">
        <v>46165</v>
      </c>
      <c r="I327" s="2">
        <v>46172</v>
      </c>
      <c r="J327" s="1" t="s">
        <v>15</v>
      </c>
      <c r="K327" s="1">
        <v>1326</v>
      </c>
      <c r="L327" s="1">
        <f t="shared" si="2"/>
        <v>29646</v>
      </c>
      <c r="M327" s="1" t="str">
        <f t="shared" si="3"/>
        <v>GOOD</v>
      </c>
    </row>
    <row r="328" spans="1:13" x14ac:dyDescent="0.3">
      <c r="A328" s="1" t="s">
        <v>48</v>
      </c>
      <c r="B328" s="1" t="s">
        <v>12</v>
      </c>
      <c r="C328" s="1" t="s">
        <v>13</v>
      </c>
      <c r="D328" s="1" t="s">
        <v>53</v>
      </c>
      <c r="E328" s="1">
        <v>15</v>
      </c>
      <c r="F328" s="1">
        <v>449</v>
      </c>
      <c r="G328" s="1">
        <v>5</v>
      </c>
      <c r="H328" s="2">
        <v>46152</v>
      </c>
      <c r="I328" s="2">
        <v>46153</v>
      </c>
      <c r="J328" s="1" t="s">
        <v>15</v>
      </c>
      <c r="K328" s="1">
        <v>1327</v>
      </c>
      <c r="L328" s="1">
        <f t="shared" si="2"/>
        <v>6398.25</v>
      </c>
      <c r="M328" s="1" t="str">
        <f t="shared" si="3"/>
        <v>AVERAGE</v>
      </c>
    </row>
    <row r="329" spans="1:13" x14ac:dyDescent="0.3">
      <c r="A329" s="1" t="s">
        <v>16</v>
      </c>
      <c r="B329" s="1" t="s">
        <v>38</v>
      </c>
      <c r="C329" s="1" t="s">
        <v>13</v>
      </c>
      <c r="D329" s="1" t="s">
        <v>36</v>
      </c>
      <c r="E329" s="1">
        <v>4</v>
      </c>
      <c r="F329" s="1">
        <v>132</v>
      </c>
      <c r="G329" s="1">
        <v>0</v>
      </c>
      <c r="H329" s="2">
        <v>46109</v>
      </c>
      <c r="I329" s="2">
        <v>46114</v>
      </c>
      <c r="J329" s="1" t="s">
        <v>29</v>
      </c>
      <c r="K329" s="1">
        <v>1328</v>
      </c>
      <c r="L329" s="1">
        <f t="shared" si="2"/>
        <v>528</v>
      </c>
      <c r="M329" s="1" t="str">
        <f t="shared" si="3"/>
        <v>AVERAGE</v>
      </c>
    </row>
    <row r="330" spans="1:13" x14ac:dyDescent="0.3">
      <c r="A330" s="1" t="s">
        <v>30</v>
      </c>
      <c r="B330" s="1" t="s">
        <v>43</v>
      </c>
      <c r="C330" s="1" t="s">
        <v>13</v>
      </c>
      <c r="D330" s="1" t="s">
        <v>53</v>
      </c>
      <c r="E330" s="1">
        <v>18</v>
      </c>
      <c r="F330" s="1">
        <v>227</v>
      </c>
      <c r="G330" s="1">
        <v>5</v>
      </c>
      <c r="H330" s="2">
        <v>46126</v>
      </c>
      <c r="I330" s="2">
        <v>46136</v>
      </c>
      <c r="J330" s="1" t="s">
        <v>29</v>
      </c>
      <c r="K330" s="1">
        <v>1329</v>
      </c>
      <c r="L330" s="1">
        <f t="shared" si="2"/>
        <v>3881.7</v>
      </c>
      <c r="M330" s="1" t="str">
        <f t="shared" si="3"/>
        <v>AVERAGE</v>
      </c>
    </row>
    <row r="331" spans="1:13" x14ac:dyDescent="0.3">
      <c r="A331" s="1" t="s">
        <v>49</v>
      </c>
      <c r="B331" s="1" t="s">
        <v>17</v>
      </c>
      <c r="C331" s="1" t="s">
        <v>18</v>
      </c>
      <c r="D331" s="1" t="s">
        <v>19</v>
      </c>
      <c r="E331" s="1">
        <v>13</v>
      </c>
      <c r="F331" s="1">
        <v>12071</v>
      </c>
      <c r="G331" s="1">
        <v>0</v>
      </c>
      <c r="H331" s="2">
        <v>46032</v>
      </c>
      <c r="I331" s="2">
        <v>46036</v>
      </c>
      <c r="J331" s="1" t="s">
        <v>51</v>
      </c>
      <c r="K331" s="1">
        <v>1330</v>
      </c>
      <c r="L331" s="1">
        <f t="shared" si="2"/>
        <v>156923</v>
      </c>
      <c r="M331" s="1" t="str">
        <f t="shared" si="3"/>
        <v>EXCELLENT</v>
      </c>
    </row>
    <row r="332" spans="1:13" x14ac:dyDescent="0.3">
      <c r="A332" s="1" t="s">
        <v>21</v>
      </c>
      <c r="B332" s="1" t="s">
        <v>25</v>
      </c>
      <c r="C332" s="1" t="s">
        <v>34</v>
      </c>
      <c r="D332" s="1" t="s">
        <v>61</v>
      </c>
      <c r="E332" s="1">
        <v>2</v>
      </c>
      <c r="F332" s="1">
        <v>43557</v>
      </c>
      <c r="G332" s="1">
        <v>2</v>
      </c>
      <c r="H332" s="2">
        <v>46190</v>
      </c>
      <c r="I332" s="2">
        <v>46200</v>
      </c>
      <c r="J332" s="1" t="s">
        <v>15</v>
      </c>
      <c r="K332" s="1">
        <v>1331</v>
      </c>
      <c r="L332" s="1">
        <f t="shared" si="2"/>
        <v>85371.72</v>
      </c>
      <c r="M332" s="1" t="str">
        <f t="shared" si="3"/>
        <v>VERY GOOD</v>
      </c>
    </row>
    <row r="333" spans="1:13" x14ac:dyDescent="0.3">
      <c r="A333" s="1" t="s">
        <v>29</v>
      </c>
      <c r="B333" s="1" t="s">
        <v>43</v>
      </c>
      <c r="C333" s="1" t="s">
        <v>13</v>
      </c>
      <c r="D333" s="1" t="s">
        <v>50</v>
      </c>
      <c r="E333" s="1">
        <v>7</v>
      </c>
      <c r="F333" s="1">
        <v>439</v>
      </c>
      <c r="G333" s="1">
        <v>2</v>
      </c>
      <c r="H333" s="2">
        <v>46154</v>
      </c>
      <c r="I333" s="2">
        <v>46157</v>
      </c>
      <c r="J333" s="1" t="s">
        <v>15</v>
      </c>
      <c r="K333" s="1">
        <v>1332</v>
      </c>
      <c r="L333" s="1">
        <f t="shared" si="2"/>
        <v>3011.54</v>
      </c>
      <c r="M333" s="1" t="str">
        <f t="shared" si="3"/>
        <v>AVERAGE</v>
      </c>
    </row>
    <row r="334" spans="1:13" x14ac:dyDescent="0.3">
      <c r="A334" s="1" t="s">
        <v>29</v>
      </c>
      <c r="B334" s="1" t="s">
        <v>38</v>
      </c>
      <c r="C334" s="1" t="s">
        <v>13</v>
      </c>
      <c r="D334" s="1" t="s">
        <v>53</v>
      </c>
      <c r="E334" s="1">
        <v>20</v>
      </c>
      <c r="F334" s="1">
        <v>416</v>
      </c>
      <c r="G334" s="1">
        <v>12</v>
      </c>
      <c r="H334" s="2">
        <v>46145</v>
      </c>
      <c r="I334" s="2">
        <v>46146</v>
      </c>
      <c r="J334" s="1" t="s">
        <v>51</v>
      </c>
      <c r="K334" s="1">
        <v>1333</v>
      </c>
      <c r="L334" s="1">
        <f t="shared" si="2"/>
        <v>7321.6</v>
      </c>
      <c r="M334" s="1" t="str">
        <f t="shared" si="3"/>
        <v>AVERAGE</v>
      </c>
    </row>
    <row r="335" spans="1:13" x14ac:dyDescent="0.3">
      <c r="A335" s="1" t="s">
        <v>40</v>
      </c>
      <c r="B335" s="1" t="s">
        <v>12</v>
      </c>
      <c r="C335" s="1" t="s">
        <v>34</v>
      </c>
      <c r="D335" s="1" t="s">
        <v>41</v>
      </c>
      <c r="E335" s="1">
        <v>15</v>
      </c>
      <c r="F335" s="1">
        <v>39853</v>
      </c>
      <c r="G335" s="1">
        <v>7</v>
      </c>
      <c r="H335" s="2">
        <v>46038</v>
      </c>
      <c r="I335" s="2">
        <v>46047</v>
      </c>
      <c r="J335" s="1" t="s">
        <v>51</v>
      </c>
      <c r="K335" s="1">
        <v>1334</v>
      </c>
      <c r="L335" s="1">
        <f t="shared" si="2"/>
        <v>555949.35</v>
      </c>
      <c r="M335" s="1" t="str">
        <f t="shared" si="3"/>
        <v>EXCELLENT</v>
      </c>
    </row>
    <row r="336" spans="1:13" x14ac:dyDescent="0.3">
      <c r="A336" s="1" t="s">
        <v>47</v>
      </c>
      <c r="B336" s="1" t="s">
        <v>17</v>
      </c>
      <c r="C336" s="1" t="s">
        <v>18</v>
      </c>
      <c r="D336" s="1" t="s">
        <v>19</v>
      </c>
      <c r="E336" s="1">
        <v>9</v>
      </c>
      <c r="F336" s="1">
        <v>1495</v>
      </c>
      <c r="G336" s="1">
        <v>12</v>
      </c>
      <c r="H336" s="2">
        <v>46168</v>
      </c>
      <c r="I336" s="2">
        <v>46173</v>
      </c>
      <c r="J336" s="1" t="s">
        <v>15</v>
      </c>
      <c r="K336" s="1">
        <v>1335</v>
      </c>
      <c r="L336" s="1">
        <f t="shared" si="2"/>
        <v>11840.4</v>
      </c>
      <c r="M336" s="1" t="str">
        <f t="shared" si="3"/>
        <v>AVERAGE</v>
      </c>
    </row>
    <row r="337" spans="1:13" x14ac:dyDescent="0.3">
      <c r="A337" s="1" t="s">
        <v>16</v>
      </c>
      <c r="B337" s="1" t="s">
        <v>25</v>
      </c>
      <c r="C337" s="1" t="s">
        <v>18</v>
      </c>
      <c r="D337" s="1" t="s">
        <v>56</v>
      </c>
      <c r="E337" s="1">
        <v>10</v>
      </c>
      <c r="F337" s="1">
        <v>5624</v>
      </c>
      <c r="G337" s="1">
        <v>0</v>
      </c>
      <c r="H337" s="2">
        <v>46086</v>
      </c>
      <c r="I337" s="2">
        <v>46092</v>
      </c>
      <c r="J337" s="1" t="s">
        <v>29</v>
      </c>
      <c r="K337" s="1">
        <v>1336</v>
      </c>
      <c r="L337" s="1">
        <f t="shared" si="2"/>
        <v>56240</v>
      </c>
      <c r="M337" s="1" t="str">
        <f t="shared" si="3"/>
        <v>VERY GOOD</v>
      </c>
    </row>
    <row r="338" spans="1:13" x14ac:dyDescent="0.3">
      <c r="A338" s="1" t="s">
        <v>16</v>
      </c>
      <c r="B338" s="1" t="s">
        <v>12</v>
      </c>
      <c r="C338" s="1" t="s">
        <v>13</v>
      </c>
      <c r="D338" s="1" t="s">
        <v>53</v>
      </c>
      <c r="E338" s="1">
        <v>14</v>
      </c>
      <c r="F338" s="1">
        <v>373</v>
      </c>
      <c r="G338" s="1">
        <v>10</v>
      </c>
      <c r="H338" s="2">
        <v>46074</v>
      </c>
      <c r="I338" s="2">
        <v>46080</v>
      </c>
      <c r="J338" s="1" t="s">
        <v>29</v>
      </c>
      <c r="K338" s="1">
        <v>1337</v>
      </c>
      <c r="L338" s="1">
        <f t="shared" si="2"/>
        <v>4699.8</v>
      </c>
      <c r="M338" s="1" t="str">
        <f t="shared" si="3"/>
        <v>AVERAGE</v>
      </c>
    </row>
    <row r="339" spans="1:13" x14ac:dyDescent="0.3">
      <c r="A339" s="1" t="s">
        <v>59</v>
      </c>
      <c r="B339" s="1" t="s">
        <v>25</v>
      </c>
      <c r="C339" s="1" t="s">
        <v>34</v>
      </c>
      <c r="D339" s="1" t="s">
        <v>60</v>
      </c>
      <c r="E339" s="1">
        <v>10</v>
      </c>
      <c r="F339" s="1">
        <v>16719</v>
      </c>
      <c r="G339" s="1">
        <v>5</v>
      </c>
      <c r="H339" s="2">
        <v>46177</v>
      </c>
      <c r="I339" s="2">
        <v>46179</v>
      </c>
      <c r="J339" s="1" t="s">
        <v>15</v>
      </c>
      <c r="K339" s="1">
        <v>1338</v>
      </c>
      <c r="L339" s="1">
        <f t="shared" si="2"/>
        <v>158830.5</v>
      </c>
      <c r="M339" s="1" t="str">
        <f t="shared" si="3"/>
        <v>EXCELLENT</v>
      </c>
    </row>
    <row r="340" spans="1:13" x14ac:dyDescent="0.3">
      <c r="A340" s="1" t="s">
        <v>32</v>
      </c>
      <c r="B340" s="1" t="s">
        <v>25</v>
      </c>
      <c r="C340" s="1" t="s">
        <v>13</v>
      </c>
      <c r="D340" s="1" t="s">
        <v>14</v>
      </c>
      <c r="E340" s="1">
        <v>6</v>
      </c>
      <c r="F340" s="1">
        <v>302</v>
      </c>
      <c r="G340" s="1">
        <v>5</v>
      </c>
      <c r="H340" s="2">
        <v>46142</v>
      </c>
      <c r="I340" s="2">
        <v>46148</v>
      </c>
      <c r="J340" s="1" t="s">
        <v>20</v>
      </c>
      <c r="K340" s="1">
        <v>1339</v>
      </c>
      <c r="L340" s="1">
        <f t="shared" si="2"/>
        <v>1721.3999999999999</v>
      </c>
      <c r="M340" s="1" t="str">
        <f t="shared" si="3"/>
        <v>AVERAGE</v>
      </c>
    </row>
    <row r="341" spans="1:13" x14ac:dyDescent="0.3">
      <c r="A341" s="1" t="s">
        <v>48</v>
      </c>
      <c r="B341" s="1" t="s">
        <v>17</v>
      </c>
      <c r="C341" s="1" t="s">
        <v>18</v>
      </c>
      <c r="D341" s="1" t="s">
        <v>19</v>
      </c>
      <c r="E341" s="1">
        <v>12</v>
      </c>
      <c r="F341" s="1">
        <v>3857</v>
      </c>
      <c r="G341" s="1">
        <v>12</v>
      </c>
      <c r="H341" s="2">
        <v>46196</v>
      </c>
      <c r="I341" s="2">
        <v>46198</v>
      </c>
      <c r="J341" s="1" t="s">
        <v>51</v>
      </c>
      <c r="K341" s="1">
        <v>1340</v>
      </c>
      <c r="L341" s="1">
        <f t="shared" si="2"/>
        <v>40729.919999999998</v>
      </c>
      <c r="M341" s="1" t="str">
        <f t="shared" si="3"/>
        <v>GOOD</v>
      </c>
    </row>
    <row r="342" spans="1:13" x14ac:dyDescent="0.3">
      <c r="A342" s="1" t="s">
        <v>57</v>
      </c>
      <c r="B342" s="1" t="s">
        <v>38</v>
      </c>
      <c r="C342" s="1" t="s">
        <v>18</v>
      </c>
      <c r="D342" s="1" t="s">
        <v>19</v>
      </c>
      <c r="E342" s="1">
        <v>19</v>
      </c>
      <c r="F342" s="1">
        <v>6488</v>
      </c>
      <c r="G342" s="1">
        <v>15</v>
      </c>
      <c r="H342" s="2">
        <v>46026</v>
      </c>
      <c r="I342" s="2">
        <v>46030</v>
      </c>
      <c r="J342" s="1" t="s">
        <v>20</v>
      </c>
      <c r="K342" s="1">
        <v>1341</v>
      </c>
      <c r="L342" s="1">
        <f t="shared" si="2"/>
        <v>104781.2</v>
      </c>
      <c r="M342" s="1" t="str">
        <f t="shared" si="3"/>
        <v>EXCELLENT</v>
      </c>
    </row>
    <row r="343" spans="1:13" x14ac:dyDescent="0.3">
      <c r="A343" s="1" t="s">
        <v>59</v>
      </c>
      <c r="B343" s="1" t="s">
        <v>31</v>
      </c>
      <c r="C343" s="1" t="s">
        <v>34</v>
      </c>
      <c r="D343" s="1" t="s">
        <v>35</v>
      </c>
      <c r="E343" s="1">
        <v>13</v>
      </c>
      <c r="F343" s="1">
        <v>47881</v>
      </c>
      <c r="G343" s="1">
        <v>15</v>
      </c>
      <c r="H343" s="2">
        <v>46132</v>
      </c>
      <c r="I343" s="2">
        <v>46139</v>
      </c>
      <c r="J343" s="1" t="s">
        <v>29</v>
      </c>
      <c r="K343" s="1">
        <v>1342</v>
      </c>
      <c r="L343" s="1">
        <f t="shared" si="2"/>
        <v>529085.04999999993</v>
      </c>
      <c r="M343" s="1" t="str">
        <f t="shared" si="3"/>
        <v>EXCELLENT</v>
      </c>
    </row>
    <row r="344" spans="1:13" x14ac:dyDescent="0.3">
      <c r="A344" s="1" t="s">
        <v>59</v>
      </c>
      <c r="B344" s="1" t="s">
        <v>31</v>
      </c>
      <c r="C344" s="1" t="s">
        <v>34</v>
      </c>
      <c r="D344" s="1" t="s">
        <v>39</v>
      </c>
      <c r="E344" s="1">
        <v>14</v>
      </c>
      <c r="F344" s="1">
        <v>32719</v>
      </c>
      <c r="G344" s="1">
        <v>15</v>
      </c>
      <c r="H344" s="2">
        <v>46174</v>
      </c>
      <c r="I344" s="2">
        <v>46179</v>
      </c>
      <c r="J344" s="1" t="s">
        <v>15</v>
      </c>
      <c r="K344" s="1">
        <v>1343</v>
      </c>
      <c r="L344" s="1">
        <f t="shared" si="2"/>
        <v>389356.1</v>
      </c>
      <c r="M344" s="1" t="str">
        <f t="shared" si="3"/>
        <v>EXCELLENT</v>
      </c>
    </row>
    <row r="345" spans="1:13" x14ac:dyDescent="0.3">
      <c r="A345" s="1" t="s">
        <v>30</v>
      </c>
      <c r="B345" s="1" t="s">
        <v>17</v>
      </c>
      <c r="C345" s="1" t="s">
        <v>13</v>
      </c>
      <c r="D345" s="1" t="s">
        <v>53</v>
      </c>
      <c r="E345" s="1">
        <v>18</v>
      </c>
      <c r="F345" s="1">
        <v>240</v>
      </c>
      <c r="G345" s="1">
        <v>10</v>
      </c>
      <c r="H345" s="2">
        <v>46155</v>
      </c>
      <c r="I345" s="2">
        <v>46156</v>
      </c>
      <c r="J345" s="1" t="s">
        <v>24</v>
      </c>
      <c r="K345" s="1">
        <v>1344</v>
      </c>
      <c r="L345" s="1">
        <f t="shared" si="2"/>
        <v>3888</v>
      </c>
      <c r="M345" s="1" t="str">
        <f t="shared" si="3"/>
        <v>AVERAGE</v>
      </c>
    </row>
    <row r="346" spans="1:13" x14ac:dyDescent="0.3">
      <c r="A346" s="1" t="s">
        <v>32</v>
      </c>
      <c r="B346" s="1" t="s">
        <v>12</v>
      </c>
      <c r="C346" s="1" t="s">
        <v>34</v>
      </c>
      <c r="D346" s="1" t="s">
        <v>45</v>
      </c>
      <c r="E346" s="1">
        <v>12</v>
      </c>
      <c r="F346" s="1">
        <v>50544</v>
      </c>
      <c r="G346" s="1">
        <v>10</v>
      </c>
      <c r="H346" s="2">
        <v>46095</v>
      </c>
      <c r="I346" s="2">
        <v>46097</v>
      </c>
      <c r="J346" s="1" t="s">
        <v>29</v>
      </c>
      <c r="K346" s="1">
        <v>1345</v>
      </c>
      <c r="L346" s="1">
        <f t="shared" si="2"/>
        <v>545875.20000000007</v>
      </c>
      <c r="M346" s="1" t="str">
        <f t="shared" si="3"/>
        <v>EXCELLENT</v>
      </c>
    </row>
    <row r="347" spans="1:13" x14ac:dyDescent="0.3">
      <c r="A347" s="1" t="s">
        <v>32</v>
      </c>
      <c r="B347" s="1" t="s">
        <v>22</v>
      </c>
      <c r="C347" s="1" t="s">
        <v>18</v>
      </c>
      <c r="D347" s="1" t="s">
        <v>19</v>
      </c>
      <c r="E347" s="1">
        <v>16</v>
      </c>
      <c r="F347" s="1">
        <v>6910</v>
      </c>
      <c r="G347" s="1">
        <v>15</v>
      </c>
      <c r="H347" s="2">
        <v>46140</v>
      </c>
      <c r="I347" s="2">
        <v>46142</v>
      </c>
      <c r="J347" s="1" t="s">
        <v>29</v>
      </c>
      <c r="K347" s="1">
        <v>1346</v>
      </c>
      <c r="L347" s="1">
        <f t="shared" si="2"/>
        <v>93976</v>
      </c>
      <c r="M347" s="1" t="str">
        <f t="shared" si="3"/>
        <v>VERY GOOD</v>
      </c>
    </row>
    <row r="348" spans="1:13" x14ac:dyDescent="0.3">
      <c r="A348" s="1" t="s">
        <v>29</v>
      </c>
      <c r="B348" s="1" t="s">
        <v>22</v>
      </c>
      <c r="C348" s="1" t="s">
        <v>34</v>
      </c>
      <c r="D348" s="1" t="s">
        <v>35</v>
      </c>
      <c r="E348" s="1">
        <v>16</v>
      </c>
      <c r="F348" s="1">
        <v>6034</v>
      </c>
      <c r="G348" s="1">
        <v>15</v>
      </c>
      <c r="H348" s="2">
        <v>46037</v>
      </c>
      <c r="I348" s="2">
        <v>46044</v>
      </c>
      <c r="J348" s="1" t="s">
        <v>24</v>
      </c>
      <c r="K348" s="1">
        <v>1347</v>
      </c>
      <c r="L348" s="1">
        <f t="shared" si="2"/>
        <v>82062.399999999994</v>
      </c>
      <c r="M348" s="1" t="str">
        <f t="shared" si="3"/>
        <v>VERY GOOD</v>
      </c>
    </row>
    <row r="349" spans="1:13" x14ac:dyDescent="0.3">
      <c r="A349" s="1" t="s">
        <v>11</v>
      </c>
      <c r="B349" s="1" t="s">
        <v>33</v>
      </c>
      <c r="C349" s="1" t="s">
        <v>13</v>
      </c>
      <c r="D349" s="1" t="s">
        <v>50</v>
      </c>
      <c r="E349" s="1">
        <v>12</v>
      </c>
      <c r="F349" s="1">
        <v>244</v>
      </c>
      <c r="G349" s="1">
        <v>7</v>
      </c>
      <c r="H349" s="2">
        <v>46048</v>
      </c>
      <c r="I349" s="2">
        <v>46053</v>
      </c>
      <c r="J349" s="1" t="s">
        <v>15</v>
      </c>
      <c r="K349" s="1">
        <v>1348</v>
      </c>
      <c r="L349" s="1">
        <f t="shared" si="2"/>
        <v>2723.04</v>
      </c>
      <c r="M349" s="1" t="str">
        <f t="shared" si="3"/>
        <v>AVERAGE</v>
      </c>
    </row>
    <row r="350" spans="1:13" x14ac:dyDescent="0.3">
      <c r="A350" s="1" t="s">
        <v>40</v>
      </c>
      <c r="B350" s="1" t="s">
        <v>33</v>
      </c>
      <c r="C350" s="1" t="s">
        <v>34</v>
      </c>
      <c r="D350" s="1" t="s">
        <v>35</v>
      </c>
      <c r="E350" s="1">
        <v>20</v>
      </c>
      <c r="F350" s="1">
        <v>62721</v>
      </c>
      <c r="G350" s="1">
        <v>7</v>
      </c>
      <c r="H350" s="2">
        <v>46079</v>
      </c>
      <c r="I350" s="2">
        <v>46083</v>
      </c>
      <c r="J350" s="1" t="s">
        <v>20</v>
      </c>
      <c r="K350" s="1">
        <v>1349</v>
      </c>
      <c r="L350" s="1">
        <f t="shared" si="2"/>
        <v>1166610.5999999999</v>
      </c>
      <c r="M350" s="1" t="str">
        <f t="shared" si="3"/>
        <v>EXCELLENT</v>
      </c>
    </row>
    <row r="351" spans="1:13" x14ac:dyDescent="0.3">
      <c r="A351" s="1" t="s">
        <v>26</v>
      </c>
      <c r="B351" s="1" t="s">
        <v>43</v>
      </c>
      <c r="C351" s="1" t="s">
        <v>18</v>
      </c>
      <c r="D351" s="1" t="s">
        <v>28</v>
      </c>
      <c r="E351" s="1">
        <v>16</v>
      </c>
      <c r="F351" s="1">
        <v>11790</v>
      </c>
      <c r="G351" s="1">
        <v>12</v>
      </c>
      <c r="H351" s="2">
        <v>46185</v>
      </c>
      <c r="I351" s="2">
        <v>46190</v>
      </c>
      <c r="J351" s="1" t="s">
        <v>29</v>
      </c>
      <c r="K351" s="1">
        <v>1350</v>
      </c>
      <c r="L351" s="1">
        <f t="shared" si="2"/>
        <v>166003.20000000001</v>
      </c>
      <c r="M351" s="1" t="str">
        <f t="shared" si="3"/>
        <v>EXCELLENT</v>
      </c>
    </row>
    <row r="352" spans="1:13" x14ac:dyDescent="0.3">
      <c r="A352" s="1" t="s">
        <v>42</v>
      </c>
      <c r="B352" s="1" t="s">
        <v>33</v>
      </c>
      <c r="C352" s="1" t="s">
        <v>34</v>
      </c>
      <c r="D352" s="1" t="s">
        <v>45</v>
      </c>
      <c r="E352" s="1">
        <v>12</v>
      </c>
      <c r="F352" s="1">
        <v>1272</v>
      </c>
      <c r="G352" s="1">
        <v>0</v>
      </c>
      <c r="H352" s="2">
        <v>46026</v>
      </c>
      <c r="I352" s="2">
        <v>46029</v>
      </c>
      <c r="J352" s="1" t="s">
        <v>15</v>
      </c>
      <c r="K352" s="1">
        <v>1351</v>
      </c>
      <c r="L352" s="1">
        <f t="shared" si="2"/>
        <v>15264</v>
      </c>
      <c r="M352" s="1" t="str">
        <f t="shared" si="3"/>
        <v>AVERAGE</v>
      </c>
    </row>
    <row r="353" spans="1:13" x14ac:dyDescent="0.3">
      <c r="A353" s="1" t="s">
        <v>54</v>
      </c>
      <c r="B353" s="1" t="s">
        <v>22</v>
      </c>
      <c r="C353" s="1" t="s">
        <v>13</v>
      </c>
      <c r="D353" s="1" t="s">
        <v>14</v>
      </c>
      <c r="E353" s="1">
        <v>12</v>
      </c>
      <c r="F353" s="1">
        <v>203</v>
      </c>
      <c r="G353" s="1">
        <v>5</v>
      </c>
      <c r="H353" s="2">
        <v>46024</v>
      </c>
      <c r="I353" s="2">
        <v>46033</v>
      </c>
      <c r="J353" s="1" t="s">
        <v>15</v>
      </c>
      <c r="K353" s="1">
        <v>1352</v>
      </c>
      <c r="L353" s="1">
        <f t="shared" si="2"/>
        <v>2314.1999999999998</v>
      </c>
      <c r="M353" s="1" t="str">
        <f t="shared" si="3"/>
        <v>AVERAGE</v>
      </c>
    </row>
    <row r="354" spans="1:13" x14ac:dyDescent="0.3">
      <c r="A354" s="1" t="s">
        <v>47</v>
      </c>
      <c r="B354" s="1" t="s">
        <v>43</v>
      </c>
      <c r="C354" s="1" t="s">
        <v>13</v>
      </c>
      <c r="D354" s="1" t="s">
        <v>14</v>
      </c>
      <c r="E354" s="1">
        <v>6</v>
      </c>
      <c r="F354" s="1">
        <v>495</v>
      </c>
      <c r="G354" s="1">
        <v>2</v>
      </c>
      <c r="H354" s="2">
        <v>46194</v>
      </c>
      <c r="I354" s="2">
        <v>46200</v>
      </c>
      <c r="J354" s="1" t="s">
        <v>24</v>
      </c>
      <c r="K354" s="1">
        <v>1353</v>
      </c>
      <c r="L354" s="1">
        <f t="shared" si="2"/>
        <v>2910.6</v>
      </c>
      <c r="M354" s="1" t="str">
        <f t="shared" si="3"/>
        <v>AVERAGE</v>
      </c>
    </row>
    <row r="355" spans="1:13" x14ac:dyDescent="0.3">
      <c r="A355" s="1" t="s">
        <v>47</v>
      </c>
      <c r="B355" s="1" t="s">
        <v>43</v>
      </c>
      <c r="C355" s="1" t="s">
        <v>34</v>
      </c>
      <c r="D355" s="1" t="s">
        <v>35</v>
      </c>
      <c r="E355" s="1">
        <v>15</v>
      </c>
      <c r="F355" s="1">
        <v>14927</v>
      </c>
      <c r="G355" s="1">
        <v>15</v>
      </c>
      <c r="H355" s="2">
        <v>46118</v>
      </c>
      <c r="I355" s="2">
        <v>46120</v>
      </c>
      <c r="J355" s="1" t="s">
        <v>51</v>
      </c>
      <c r="K355" s="1">
        <v>1354</v>
      </c>
      <c r="L355" s="1">
        <f t="shared" si="2"/>
        <v>190319.25</v>
      </c>
      <c r="M355" s="1" t="str">
        <f t="shared" si="3"/>
        <v>EXCELLENT</v>
      </c>
    </row>
    <row r="356" spans="1:13" x14ac:dyDescent="0.3">
      <c r="A356" s="1" t="s">
        <v>27</v>
      </c>
      <c r="B356" s="1" t="s">
        <v>12</v>
      </c>
      <c r="C356" s="1" t="s">
        <v>34</v>
      </c>
      <c r="D356" s="1" t="s">
        <v>60</v>
      </c>
      <c r="E356" s="1">
        <v>18</v>
      </c>
      <c r="F356" s="1">
        <v>35997</v>
      </c>
      <c r="G356" s="1">
        <v>2</v>
      </c>
      <c r="H356" s="2">
        <v>46024</v>
      </c>
      <c r="I356" s="2">
        <v>46031</v>
      </c>
      <c r="J356" s="1" t="s">
        <v>51</v>
      </c>
      <c r="K356" s="1">
        <v>1355</v>
      </c>
      <c r="L356" s="1">
        <f t="shared" si="2"/>
        <v>634987.07999999996</v>
      </c>
      <c r="M356" s="1" t="str">
        <f t="shared" si="3"/>
        <v>EXCELLENT</v>
      </c>
    </row>
    <row r="357" spans="1:13" x14ac:dyDescent="0.3">
      <c r="A357" s="1" t="s">
        <v>26</v>
      </c>
      <c r="B357" s="1" t="s">
        <v>38</v>
      </c>
      <c r="C357" s="1" t="s">
        <v>34</v>
      </c>
      <c r="D357" s="1" t="s">
        <v>60</v>
      </c>
      <c r="E357" s="1">
        <v>16</v>
      </c>
      <c r="F357" s="1">
        <v>53457</v>
      </c>
      <c r="G357" s="1">
        <v>10</v>
      </c>
      <c r="H357" s="2">
        <v>46201</v>
      </c>
      <c r="I357" s="2">
        <v>46204</v>
      </c>
      <c r="J357" s="1" t="s">
        <v>15</v>
      </c>
      <c r="K357" s="1">
        <v>1356</v>
      </c>
      <c r="L357" s="1">
        <f t="shared" si="2"/>
        <v>769780.8</v>
      </c>
      <c r="M357" s="1" t="str">
        <f t="shared" si="3"/>
        <v>EXCELLENT</v>
      </c>
    </row>
    <row r="358" spans="1:13" x14ac:dyDescent="0.3">
      <c r="A358" s="1" t="s">
        <v>59</v>
      </c>
      <c r="B358" s="1" t="s">
        <v>25</v>
      </c>
      <c r="C358" s="1" t="s">
        <v>13</v>
      </c>
      <c r="D358" s="1" t="s">
        <v>37</v>
      </c>
      <c r="E358" s="1">
        <v>6</v>
      </c>
      <c r="F358" s="1">
        <v>365</v>
      </c>
      <c r="G358" s="1">
        <v>7</v>
      </c>
      <c r="H358" s="2">
        <v>46133</v>
      </c>
      <c r="I358" s="2">
        <v>46140</v>
      </c>
      <c r="J358" s="1" t="s">
        <v>51</v>
      </c>
      <c r="K358" s="1">
        <v>1357</v>
      </c>
      <c r="L358" s="1">
        <f t="shared" si="2"/>
        <v>2036.6999999999998</v>
      </c>
      <c r="M358" s="1" t="str">
        <f t="shared" si="3"/>
        <v>AVERAGE</v>
      </c>
    </row>
    <row r="359" spans="1:13" x14ac:dyDescent="0.3">
      <c r="A359" s="1" t="s">
        <v>40</v>
      </c>
      <c r="B359" s="1" t="s">
        <v>38</v>
      </c>
      <c r="C359" s="1" t="s">
        <v>18</v>
      </c>
      <c r="D359" s="1" t="s">
        <v>19</v>
      </c>
      <c r="E359" s="1">
        <v>7</v>
      </c>
      <c r="F359" s="1">
        <v>6618</v>
      </c>
      <c r="G359" s="1">
        <v>0</v>
      </c>
      <c r="H359" s="2">
        <v>46127</v>
      </c>
      <c r="I359" s="2">
        <v>46129</v>
      </c>
      <c r="J359" s="1" t="s">
        <v>20</v>
      </c>
      <c r="K359" s="1">
        <v>1358</v>
      </c>
      <c r="L359" s="1">
        <f t="shared" si="2"/>
        <v>46326</v>
      </c>
      <c r="M359" s="1" t="str">
        <f t="shared" si="3"/>
        <v>GOOD</v>
      </c>
    </row>
    <row r="360" spans="1:13" x14ac:dyDescent="0.3">
      <c r="A360" s="1" t="s">
        <v>54</v>
      </c>
      <c r="B360" s="1" t="s">
        <v>12</v>
      </c>
      <c r="C360" s="1" t="s">
        <v>34</v>
      </c>
      <c r="D360" s="1" t="s">
        <v>61</v>
      </c>
      <c r="E360" s="1">
        <v>9</v>
      </c>
      <c r="F360" s="1">
        <v>38179</v>
      </c>
      <c r="G360" s="1">
        <v>0</v>
      </c>
      <c r="H360" s="2">
        <v>46096</v>
      </c>
      <c r="I360" s="2">
        <v>46099</v>
      </c>
      <c r="J360" s="1" t="s">
        <v>15</v>
      </c>
      <c r="K360" s="1">
        <v>1359</v>
      </c>
      <c r="L360" s="1">
        <f t="shared" si="2"/>
        <v>343611</v>
      </c>
      <c r="M360" s="1" t="str">
        <f t="shared" si="3"/>
        <v>EXCELLENT</v>
      </c>
    </row>
    <row r="361" spans="1:13" x14ac:dyDescent="0.3">
      <c r="A361" s="1" t="s">
        <v>11</v>
      </c>
      <c r="B361" s="1" t="s">
        <v>43</v>
      </c>
      <c r="C361" s="1" t="s">
        <v>18</v>
      </c>
      <c r="D361" s="1" t="s">
        <v>23</v>
      </c>
      <c r="E361" s="1">
        <v>19</v>
      </c>
      <c r="F361" s="1">
        <v>6681</v>
      </c>
      <c r="G361" s="1">
        <v>2</v>
      </c>
      <c r="H361" s="2">
        <v>46146</v>
      </c>
      <c r="I361" s="2">
        <v>46150</v>
      </c>
      <c r="J361" s="1" t="s">
        <v>15</v>
      </c>
      <c r="K361" s="1">
        <v>1360</v>
      </c>
      <c r="L361" s="1">
        <f t="shared" si="2"/>
        <v>124400.22</v>
      </c>
      <c r="M361" s="1" t="str">
        <f t="shared" si="3"/>
        <v>EXCELLENT</v>
      </c>
    </row>
    <row r="362" spans="1:13" x14ac:dyDescent="0.3">
      <c r="A362" s="1" t="s">
        <v>42</v>
      </c>
      <c r="B362" s="1" t="s">
        <v>17</v>
      </c>
      <c r="C362" s="1" t="s">
        <v>18</v>
      </c>
      <c r="D362" s="1" t="s">
        <v>23</v>
      </c>
      <c r="E362" s="1">
        <v>2</v>
      </c>
      <c r="F362" s="1">
        <v>1822</v>
      </c>
      <c r="G362" s="1">
        <v>5</v>
      </c>
      <c r="H362" s="2">
        <v>46141</v>
      </c>
      <c r="I362" s="2">
        <v>46145</v>
      </c>
      <c r="J362" s="1" t="s">
        <v>20</v>
      </c>
      <c r="K362" s="1">
        <v>1361</v>
      </c>
      <c r="L362" s="1">
        <f t="shared" si="2"/>
        <v>3461.7999999999997</v>
      </c>
      <c r="M362" s="1" t="str">
        <f t="shared" si="3"/>
        <v>AVERAGE</v>
      </c>
    </row>
    <row r="363" spans="1:13" x14ac:dyDescent="0.3">
      <c r="A363" s="1" t="s">
        <v>16</v>
      </c>
      <c r="B363" s="1" t="s">
        <v>12</v>
      </c>
      <c r="C363" s="1" t="s">
        <v>18</v>
      </c>
      <c r="D363" s="1" t="s">
        <v>28</v>
      </c>
      <c r="E363" s="1">
        <v>1</v>
      </c>
      <c r="F363" s="1">
        <v>10474</v>
      </c>
      <c r="G363" s="1">
        <v>0</v>
      </c>
      <c r="H363" s="2">
        <v>46094</v>
      </c>
      <c r="I363" s="2">
        <v>46096</v>
      </c>
      <c r="J363" s="1" t="s">
        <v>29</v>
      </c>
      <c r="K363" s="1">
        <v>1362</v>
      </c>
      <c r="L363" s="1">
        <f t="shared" si="2"/>
        <v>10474</v>
      </c>
      <c r="M363" s="1" t="str">
        <f t="shared" si="3"/>
        <v>AVERAGE</v>
      </c>
    </row>
    <row r="364" spans="1:13" x14ac:dyDescent="0.3">
      <c r="A364" s="1" t="s">
        <v>27</v>
      </c>
      <c r="B364" s="1" t="s">
        <v>25</v>
      </c>
      <c r="C364" s="1" t="s">
        <v>34</v>
      </c>
      <c r="D364" s="1" t="s">
        <v>35</v>
      </c>
      <c r="E364" s="1">
        <v>7</v>
      </c>
      <c r="F364" s="1">
        <v>45381</v>
      </c>
      <c r="G364" s="1">
        <v>0</v>
      </c>
      <c r="H364" s="2">
        <v>46122</v>
      </c>
      <c r="I364" s="2">
        <v>46128</v>
      </c>
      <c r="J364" s="1" t="s">
        <v>15</v>
      </c>
      <c r="K364" s="1">
        <v>1363</v>
      </c>
      <c r="L364" s="1">
        <f t="shared" si="2"/>
        <v>317667</v>
      </c>
      <c r="M364" s="1" t="str">
        <f t="shared" si="3"/>
        <v>EXCELLENT</v>
      </c>
    </row>
    <row r="365" spans="1:13" x14ac:dyDescent="0.3">
      <c r="A365" s="1" t="s">
        <v>30</v>
      </c>
      <c r="B365" s="1" t="s">
        <v>22</v>
      </c>
      <c r="C365" s="1" t="s">
        <v>18</v>
      </c>
      <c r="D365" s="1" t="s">
        <v>56</v>
      </c>
      <c r="E365" s="1">
        <v>16</v>
      </c>
      <c r="F365" s="1">
        <v>1744</v>
      </c>
      <c r="G365" s="1">
        <v>15</v>
      </c>
      <c r="H365" s="2">
        <v>46031</v>
      </c>
      <c r="I365" s="2">
        <v>46033</v>
      </c>
      <c r="J365" s="1" t="s">
        <v>51</v>
      </c>
      <c r="K365" s="1">
        <v>1364</v>
      </c>
      <c r="L365" s="1">
        <f t="shared" si="2"/>
        <v>23718.399999999998</v>
      </c>
      <c r="M365" s="1" t="str">
        <f t="shared" si="3"/>
        <v>GOOD</v>
      </c>
    </row>
    <row r="366" spans="1:13" x14ac:dyDescent="0.3">
      <c r="A366" s="1" t="s">
        <v>46</v>
      </c>
      <c r="B366" s="1" t="s">
        <v>33</v>
      </c>
      <c r="C366" s="1" t="s">
        <v>13</v>
      </c>
      <c r="D366" s="1" t="s">
        <v>50</v>
      </c>
      <c r="E366" s="1">
        <v>17</v>
      </c>
      <c r="F366" s="1">
        <v>119</v>
      </c>
      <c r="G366" s="1">
        <v>7</v>
      </c>
      <c r="H366" s="2">
        <v>46070</v>
      </c>
      <c r="I366" s="2">
        <v>46072</v>
      </c>
      <c r="J366" s="1" t="s">
        <v>20</v>
      </c>
      <c r="K366" s="1">
        <v>1365</v>
      </c>
      <c r="L366" s="1">
        <f t="shared" si="2"/>
        <v>1881.3899999999999</v>
      </c>
      <c r="M366" s="1" t="str">
        <f t="shared" si="3"/>
        <v>AVERAGE</v>
      </c>
    </row>
    <row r="367" spans="1:13" x14ac:dyDescent="0.3">
      <c r="A367" s="1" t="s">
        <v>26</v>
      </c>
      <c r="B367" s="1" t="s">
        <v>17</v>
      </c>
      <c r="C367" s="1" t="s">
        <v>34</v>
      </c>
      <c r="D367" s="1" t="s">
        <v>61</v>
      </c>
      <c r="E367" s="1">
        <v>20</v>
      </c>
      <c r="F367" s="1">
        <v>44312</v>
      </c>
      <c r="G367" s="1">
        <v>10</v>
      </c>
      <c r="H367" s="2">
        <v>46047</v>
      </c>
      <c r="I367" s="2">
        <v>46054</v>
      </c>
      <c r="J367" s="1" t="s">
        <v>29</v>
      </c>
      <c r="K367" s="1">
        <v>1366</v>
      </c>
      <c r="L367" s="1">
        <f t="shared" si="2"/>
        <v>797616</v>
      </c>
      <c r="M367" s="1" t="str">
        <f t="shared" si="3"/>
        <v>EXCELLENT</v>
      </c>
    </row>
    <row r="368" spans="1:13" x14ac:dyDescent="0.3">
      <c r="A368" s="1" t="s">
        <v>54</v>
      </c>
      <c r="B368" s="1" t="s">
        <v>25</v>
      </c>
      <c r="C368" s="1" t="s">
        <v>13</v>
      </c>
      <c r="D368" s="1" t="s">
        <v>53</v>
      </c>
      <c r="E368" s="1">
        <v>1</v>
      </c>
      <c r="F368" s="1">
        <v>371</v>
      </c>
      <c r="G368" s="1">
        <v>5</v>
      </c>
      <c r="H368" s="2">
        <v>46158</v>
      </c>
      <c r="I368" s="2">
        <v>46168</v>
      </c>
      <c r="J368" s="1" t="s">
        <v>29</v>
      </c>
      <c r="K368" s="1">
        <v>1367</v>
      </c>
      <c r="L368" s="1">
        <f t="shared" si="2"/>
        <v>352.45</v>
      </c>
      <c r="M368" s="1" t="str">
        <f t="shared" si="3"/>
        <v>AVERAGE</v>
      </c>
    </row>
    <row r="369" spans="1:13" x14ac:dyDescent="0.3">
      <c r="A369" s="1" t="s">
        <v>55</v>
      </c>
      <c r="B369" s="1" t="s">
        <v>38</v>
      </c>
      <c r="C369" s="1" t="s">
        <v>13</v>
      </c>
      <c r="D369" s="1" t="s">
        <v>36</v>
      </c>
      <c r="E369" s="1">
        <v>9</v>
      </c>
      <c r="F369" s="1">
        <v>115</v>
      </c>
      <c r="G369" s="1">
        <v>0</v>
      </c>
      <c r="H369" s="2">
        <v>46036</v>
      </c>
      <c r="I369" s="2">
        <v>46045</v>
      </c>
      <c r="J369" s="1" t="s">
        <v>24</v>
      </c>
      <c r="K369" s="1">
        <v>1368</v>
      </c>
      <c r="L369" s="1">
        <f t="shared" si="2"/>
        <v>1035</v>
      </c>
      <c r="M369" s="1" t="str">
        <f t="shared" si="3"/>
        <v>AVERAGE</v>
      </c>
    </row>
    <row r="370" spans="1:13" x14ac:dyDescent="0.3">
      <c r="A370" s="1" t="s">
        <v>57</v>
      </c>
      <c r="B370" s="1" t="s">
        <v>25</v>
      </c>
      <c r="C370" s="1" t="s">
        <v>18</v>
      </c>
      <c r="D370" s="1" t="s">
        <v>19</v>
      </c>
      <c r="E370" s="1">
        <v>19</v>
      </c>
      <c r="F370" s="1">
        <v>5840</v>
      </c>
      <c r="G370" s="1">
        <v>5</v>
      </c>
      <c r="H370" s="2">
        <v>46062</v>
      </c>
      <c r="I370" s="2">
        <v>46067</v>
      </c>
      <c r="J370" s="1" t="s">
        <v>15</v>
      </c>
      <c r="K370" s="1">
        <v>1369</v>
      </c>
      <c r="L370" s="1">
        <f t="shared" si="2"/>
        <v>105412</v>
      </c>
      <c r="M370" s="1" t="str">
        <f t="shared" si="3"/>
        <v>EXCELLENT</v>
      </c>
    </row>
    <row r="371" spans="1:13" x14ac:dyDescent="0.3">
      <c r="A371" s="1" t="s">
        <v>59</v>
      </c>
      <c r="B371" s="1" t="s">
        <v>38</v>
      </c>
      <c r="C371" s="1" t="s">
        <v>13</v>
      </c>
      <c r="D371" s="1" t="s">
        <v>53</v>
      </c>
      <c r="E371" s="1">
        <v>13</v>
      </c>
      <c r="F371" s="1">
        <v>337</v>
      </c>
      <c r="G371" s="1">
        <v>7</v>
      </c>
      <c r="H371" s="2">
        <v>46184</v>
      </c>
      <c r="I371" s="2">
        <v>46188</v>
      </c>
      <c r="J371" s="1" t="s">
        <v>15</v>
      </c>
      <c r="K371" s="1">
        <v>1370</v>
      </c>
      <c r="L371" s="1">
        <f t="shared" si="2"/>
        <v>4074.33</v>
      </c>
      <c r="M371" s="1" t="str">
        <f t="shared" si="3"/>
        <v>AVERAGE</v>
      </c>
    </row>
    <row r="372" spans="1:13" x14ac:dyDescent="0.3">
      <c r="A372" s="1" t="s">
        <v>48</v>
      </c>
      <c r="B372" s="1" t="s">
        <v>38</v>
      </c>
      <c r="C372" s="1" t="s">
        <v>18</v>
      </c>
      <c r="D372" s="1" t="s">
        <v>19</v>
      </c>
      <c r="E372" s="1">
        <v>19</v>
      </c>
      <c r="F372" s="1">
        <v>1087</v>
      </c>
      <c r="G372" s="1">
        <v>15</v>
      </c>
      <c r="H372" s="2">
        <v>46072</v>
      </c>
      <c r="I372" s="2">
        <v>46082</v>
      </c>
      <c r="J372" s="1" t="s">
        <v>20</v>
      </c>
      <c r="K372" s="1">
        <v>1371</v>
      </c>
      <c r="L372" s="1">
        <f t="shared" si="2"/>
        <v>17555.05</v>
      </c>
      <c r="M372" s="1" t="str">
        <f t="shared" si="3"/>
        <v>AVERAGE</v>
      </c>
    </row>
    <row r="373" spans="1:13" x14ac:dyDescent="0.3">
      <c r="A373" s="1" t="s">
        <v>48</v>
      </c>
      <c r="B373" s="1" t="s">
        <v>17</v>
      </c>
      <c r="C373" s="1" t="s">
        <v>34</v>
      </c>
      <c r="D373" s="1" t="s">
        <v>39</v>
      </c>
      <c r="E373" s="1">
        <v>9</v>
      </c>
      <c r="F373" s="1">
        <v>9551</v>
      </c>
      <c r="G373" s="1">
        <v>10</v>
      </c>
      <c r="H373" s="2">
        <v>46161</v>
      </c>
      <c r="I373" s="2">
        <v>46168</v>
      </c>
      <c r="J373" s="1" t="s">
        <v>15</v>
      </c>
      <c r="K373" s="1">
        <v>1372</v>
      </c>
      <c r="L373" s="1">
        <f t="shared" si="2"/>
        <v>77363.100000000006</v>
      </c>
      <c r="M373" s="1" t="str">
        <f t="shared" si="3"/>
        <v>VERY GOOD</v>
      </c>
    </row>
    <row r="374" spans="1:13" x14ac:dyDescent="0.3">
      <c r="A374" s="1" t="s">
        <v>54</v>
      </c>
      <c r="B374" s="1" t="s">
        <v>25</v>
      </c>
      <c r="C374" s="1" t="s">
        <v>34</v>
      </c>
      <c r="D374" s="1" t="s">
        <v>60</v>
      </c>
      <c r="E374" s="1">
        <v>11</v>
      </c>
      <c r="F374" s="1">
        <v>47930</v>
      </c>
      <c r="G374" s="1">
        <v>12</v>
      </c>
      <c r="H374" s="2">
        <v>46191</v>
      </c>
      <c r="I374" s="2">
        <v>46201</v>
      </c>
      <c r="J374" s="1" t="s">
        <v>20</v>
      </c>
      <c r="K374" s="1">
        <v>1373</v>
      </c>
      <c r="L374" s="1">
        <f t="shared" si="2"/>
        <v>463962.4</v>
      </c>
      <c r="M374" s="1" t="str">
        <f t="shared" si="3"/>
        <v>EXCELLENT</v>
      </c>
    </row>
    <row r="375" spans="1:13" x14ac:dyDescent="0.3">
      <c r="A375" s="1" t="s">
        <v>57</v>
      </c>
      <c r="B375" s="1" t="s">
        <v>33</v>
      </c>
      <c r="C375" s="1" t="s">
        <v>34</v>
      </c>
      <c r="D375" s="1" t="s">
        <v>35</v>
      </c>
      <c r="E375" s="1">
        <v>12</v>
      </c>
      <c r="F375" s="1">
        <v>66052</v>
      </c>
      <c r="G375" s="1">
        <v>2</v>
      </c>
      <c r="H375" s="2">
        <v>46063</v>
      </c>
      <c r="I375" s="2">
        <v>46066</v>
      </c>
      <c r="J375" s="1" t="s">
        <v>51</v>
      </c>
      <c r="K375" s="1">
        <v>1374</v>
      </c>
      <c r="L375" s="1">
        <f t="shared" si="2"/>
        <v>776771.52</v>
      </c>
      <c r="M375" s="1" t="str">
        <f t="shared" si="3"/>
        <v>EXCELLENT</v>
      </c>
    </row>
    <row r="376" spans="1:13" x14ac:dyDescent="0.3">
      <c r="A376" s="1" t="s">
        <v>46</v>
      </c>
      <c r="B376" s="1" t="s">
        <v>43</v>
      </c>
      <c r="C376" s="1" t="s">
        <v>34</v>
      </c>
      <c r="D376" s="1" t="s">
        <v>45</v>
      </c>
      <c r="E376" s="1">
        <v>20</v>
      </c>
      <c r="F376" s="1">
        <v>56766</v>
      </c>
      <c r="G376" s="1">
        <v>0</v>
      </c>
      <c r="H376" s="2">
        <v>46052</v>
      </c>
      <c r="I376" s="2">
        <v>46061</v>
      </c>
      <c r="J376" s="1" t="s">
        <v>24</v>
      </c>
      <c r="K376" s="1">
        <v>1375</v>
      </c>
      <c r="L376" s="1">
        <f t="shared" si="2"/>
        <v>1135320</v>
      </c>
      <c r="M376" s="1" t="str">
        <f t="shared" si="3"/>
        <v>EXCELLENT</v>
      </c>
    </row>
    <row r="377" spans="1:13" x14ac:dyDescent="0.3">
      <c r="A377" s="1" t="s">
        <v>52</v>
      </c>
      <c r="B377" s="1" t="s">
        <v>31</v>
      </c>
      <c r="C377" s="1" t="s">
        <v>13</v>
      </c>
      <c r="D377" s="1" t="s">
        <v>50</v>
      </c>
      <c r="E377" s="1">
        <v>20</v>
      </c>
      <c r="F377" s="1">
        <v>429</v>
      </c>
      <c r="G377" s="1">
        <v>5</v>
      </c>
      <c r="H377" s="2">
        <v>46178</v>
      </c>
      <c r="I377" s="2">
        <v>46184</v>
      </c>
      <c r="J377" s="1" t="s">
        <v>20</v>
      </c>
      <c r="K377" s="1">
        <v>1376</v>
      </c>
      <c r="L377" s="1">
        <f t="shared" si="2"/>
        <v>8151</v>
      </c>
      <c r="M377" s="1" t="str">
        <f t="shared" si="3"/>
        <v>AVERAGE</v>
      </c>
    </row>
    <row r="378" spans="1:13" x14ac:dyDescent="0.3">
      <c r="A378" s="1" t="s">
        <v>32</v>
      </c>
      <c r="B378" s="1" t="s">
        <v>38</v>
      </c>
      <c r="C378" s="1" t="s">
        <v>18</v>
      </c>
      <c r="D378" s="1" t="s">
        <v>19</v>
      </c>
      <c r="E378" s="1">
        <v>3</v>
      </c>
      <c r="F378" s="1">
        <v>5480</v>
      </c>
      <c r="G378" s="1">
        <v>12</v>
      </c>
      <c r="H378" s="2">
        <v>46105</v>
      </c>
      <c r="I378" s="2">
        <v>46111</v>
      </c>
      <c r="J378" s="1" t="s">
        <v>24</v>
      </c>
      <c r="K378" s="1">
        <v>1377</v>
      </c>
      <c r="L378" s="1">
        <f t="shared" si="2"/>
        <v>14467.2</v>
      </c>
      <c r="M378" s="1" t="str">
        <f t="shared" si="3"/>
        <v>AVERAGE</v>
      </c>
    </row>
    <row r="379" spans="1:13" x14ac:dyDescent="0.3">
      <c r="A379" s="1" t="s">
        <v>55</v>
      </c>
      <c r="B379" s="1" t="s">
        <v>22</v>
      </c>
      <c r="C379" s="1" t="s">
        <v>34</v>
      </c>
      <c r="D379" s="1" t="s">
        <v>45</v>
      </c>
      <c r="E379" s="1">
        <v>15</v>
      </c>
      <c r="F379" s="1">
        <v>22693</v>
      </c>
      <c r="G379" s="1">
        <v>12</v>
      </c>
      <c r="H379" s="2">
        <v>46074</v>
      </c>
      <c r="I379" s="2">
        <v>46080</v>
      </c>
      <c r="J379" s="1" t="s">
        <v>51</v>
      </c>
      <c r="K379" s="1">
        <v>1378</v>
      </c>
      <c r="L379" s="1">
        <f t="shared" si="2"/>
        <v>299547.59999999998</v>
      </c>
      <c r="M379" s="1" t="str">
        <f t="shared" si="3"/>
        <v>EXCELLENT</v>
      </c>
    </row>
    <row r="380" spans="1:13" x14ac:dyDescent="0.3">
      <c r="A380" s="1" t="s">
        <v>47</v>
      </c>
      <c r="B380" s="1" t="s">
        <v>17</v>
      </c>
      <c r="C380" s="1" t="s">
        <v>13</v>
      </c>
      <c r="D380" s="1" t="s">
        <v>14</v>
      </c>
      <c r="E380" s="1">
        <v>11</v>
      </c>
      <c r="F380" s="1">
        <v>136</v>
      </c>
      <c r="G380" s="1">
        <v>15</v>
      </c>
      <c r="H380" s="2">
        <v>46106</v>
      </c>
      <c r="I380" s="2">
        <v>46107</v>
      </c>
      <c r="J380" s="1" t="s">
        <v>20</v>
      </c>
      <c r="K380" s="1">
        <v>1379</v>
      </c>
      <c r="L380" s="1">
        <f t="shared" si="2"/>
        <v>1271.5999999999999</v>
      </c>
      <c r="M380" s="1" t="str">
        <f t="shared" si="3"/>
        <v>AVERAGE</v>
      </c>
    </row>
    <row r="381" spans="1:13" x14ac:dyDescent="0.3">
      <c r="A381" s="1" t="s">
        <v>52</v>
      </c>
      <c r="B381" s="1" t="s">
        <v>43</v>
      </c>
      <c r="C381" s="1" t="s">
        <v>13</v>
      </c>
      <c r="D381" s="1" t="s">
        <v>53</v>
      </c>
      <c r="E381" s="1">
        <v>3</v>
      </c>
      <c r="F381" s="1">
        <v>412</v>
      </c>
      <c r="G381" s="1">
        <v>7</v>
      </c>
      <c r="H381" s="2">
        <v>46128</v>
      </c>
      <c r="I381" s="2">
        <v>46138</v>
      </c>
      <c r="J381" s="1" t="s">
        <v>24</v>
      </c>
      <c r="K381" s="1">
        <v>1380</v>
      </c>
      <c r="L381" s="1">
        <f t="shared" si="2"/>
        <v>1149.48</v>
      </c>
      <c r="M381" s="1" t="str">
        <f t="shared" si="3"/>
        <v>AVERAGE</v>
      </c>
    </row>
    <row r="382" spans="1:13" x14ac:dyDescent="0.3">
      <c r="A382" s="1" t="s">
        <v>55</v>
      </c>
      <c r="B382" s="1" t="s">
        <v>33</v>
      </c>
      <c r="C382" s="1" t="s">
        <v>18</v>
      </c>
      <c r="D382" s="1" t="s">
        <v>28</v>
      </c>
      <c r="E382" s="1">
        <v>5</v>
      </c>
      <c r="F382" s="1">
        <v>7484</v>
      </c>
      <c r="G382" s="1">
        <v>2</v>
      </c>
      <c r="H382" s="2">
        <v>46089</v>
      </c>
      <c r="I382" s="2">
        <v>46093</v>
      </c>
      <c r="J382" s="1" t="s">
        <v>20</v>
      </c>
      <c r="K382" s="1">
        <v>1381</v>
      </c>
      <c r="L382" s="1">
        <f t="shared" si="2"/>
        <v>36671.599999999999</v>
      </c>
      <c r="M382" s="1" t="str">
        <f t="shared" si="3"/>
        <v>GOOD</v>
      </c>
    </row>
    <row r="383" spans="1:13" x14ac:dyDescent="0.3">
      <c r="A383" s="1" t="s">
        <v>49</v>
      </c>
      <c r="B383" s="1" t="s">
        <v>33</v>
      </c>
      <c r="C383" s="1" t="s">
        <v>34</v>
      </c>
      <c r="D383" s="1" t="s">
        <v>60</v>
      </c>
      <c r="E383" s="1">
        <v>11</v>
      </c>
      <c r="F383" s="1">
        <v>36198</v>
      </c>
      <c r="G383" s="1">
        <v>0</v>
      </c>
      <c r="H383" s="2">
        <v>46130</v>
      </c>
      <c r="I383" s="2">
        <v>46134</v>
      </c>
      <c r="J383" s="1" t="s">
        <v>15</v>
      </c>
      <c r="K383" s="1">
        <v>1382</v>
      </c>
      <c r="L383" s="1">
        <f t="shared" si="2"/>
        <v>398178</v>
      </c>
      <c r="M383" s="1" t="str">
        <f t="shared" si="3"/>
        <v>EXCELLENT</v>
      </c>
    </row>
    <row r="384" spans="1:13" x14ac:dyDescent="0.3">
      <c r="A384" s="1" t="s">
        <v>32</v>
      </c>
      <c r="B384" s="1" t="s">
        <v>12</v>
      </c>
      <c r="C384" s="1" t="s">
        <v>13</v>
      </c>
      <c r="D384" s="1" t="s">
        <v>53</v>
      </c>
      <c r="E384" s="1">
        <v>14</v>
      </c>
      <c r="F384" s="1">
        <v>334</v>
      </c>
      <c r="G384" s="1">
        <v>10</v>
      </c>
      <c r="H384" s="2">
        <v>46196</v>
      </c>
      <c r="I384" s="2">
        <v>46203</v>
      </c>
      <c r="J384" s="1" t="s">
        <v>15</v>
      </c>
      <c r="K384" s="1">
        <v>1383</v>
      </c>
      <c r="L384" s="1">
        <f t="shared" si="2"/>
        <v>4208.4000000000005</v>
      </c>
      <c r="M384" s="1" t="str">
        <f t="shared" si="3"/>
        <v>AVERAGE</v>
      </c>
    </row>
    <row r="385" spans="1:13" x14ac:dyDescent="0.3">
      <c r="A385" s="1" t="s">
        <v>59</v>
      </c>
      <c r="B385" s="1" t="s">
        <v>12</v>
      </c>
      <c r="C385" s="1" t="s">
        <v>34</v>
      </c>
      <c r="D385" s="1" t="s">
        <v>39</v>
      </c>
      <c r="E385" s="1">
        <v>15</v>
      </c>
      <c r="F385" s="1">
        <v>38116</v>
      </c>
      <c r="G385" s="1">
        <v>0</v>
      </c>
      <c r="H385" s="2">
        <v>46074</v>
      </c>
      <c r="I385" s="2">
        <v>46078</v>
      </c>
      <c r="J385" s="1" t="s">
        <v>29</v>
      </c>
      <c r="K385" s="1">
        <v>1384</v>
      </c>
      <c r="L385" s="1">
        <f t="shared" si="2"/>
        <v>571740</v>
      </c>
      <c r="M385" s="1" t="str">
        <f t="shared" si="3"/>
        <v>EXCELLENT</v>
      </c>
    </row>
    <row r="386" spans="1:13" x14ac:dyDescent="0.3">
      <c r="A386" s="1" t="s">
        <v>26</v>
      </c>
      <c r="B386" s="1" t="s">
        <v>33</v>
      </c>
      <c r="C386" s="1" t="s">
        <v>34</v>
      </c>
      <c r="D386" s="1" t="s">
        <v>39</v>
      </c>
      <c r="E386" s="1">
        <v>12</v>
      </c>
      <c r="F386" s="1">
        <v>61360</v>
      </c>
      <c r="G386" s="1">
        <v>10</v>
      </c>
      <c r="H386" s="2">
        <v>46048</v>
      </c>
      <c r="I386" s="2">
        <v>46053</v>
      </c>
      <c r="J386" s="1" t="s">
        <v>51</v>
      </c>
      <c r="K386" s="1">
        <v>1385</v>
      </c>
      <c r="L386" s="1">
        <f t="shared" si="2"/>
        <v>662688</v>
      </c>
      <c r="M386" s="1" t="str">
        <f t="shared" si="3"/>
        <v>EXCELLENT</v>
      </c>
    </row>
    <row r="387" spans="1:13" x14ac:dyDescent="0.3">
      <c r="A387" s="1" t="s">
        <v>27</v>
      </c>
      <c r="B387" s="1" t="s">
        <v>31</v>
      </c>
      <c r="C387" s="1" t="s">
        <v>18</v>
      </c>
      <c r="D387" s="1" t="s">
        <v>28</v>
      </c>
      <c r="E387" s="1">
        <v>9</v>
      </c>
      <c r="F387" s="1">
        <v>7509</v>
      </c>
      <c r="G387" s="1">
        <v>5</v>
      </c>
      <c r="H387" s="2">
        <v>46162</v>
      </c>
      <c r="I387" s="2">
        <v>46171</v>
      </c>
      <c r="J387" s="1" t="s">
        <v>51</v>
      </c>
      <c r="K387" s="1">
        <v>1386</v>
      </c>
      <c r="L387" s="1">
        <f t="shared" si="2"/>
        <v>64201.95</v>
      </c>
      <c r="M387" s="1" t="str">
        <f t="shared" si="3"/>
        <v>VERY GOOD</v>
      </c>
    </row>
    <row r="388" spans="1:13" x14ac:dyDescent="0.3">
      <c r="A388" s="1" t="s">
        <v>54</v>
      </c>
      <c r="B388" s="1" t="s">
        <v>33</v>
      </c>
      <c r="C388" s="1" t="s">
        <v>34</v>
      </c>
      <c r="D388" s="1" t="s">
        <v>35</v>
      </c>
      <c r="E388" s="1">
        <v>11</v>
      </c>
      <c r="F388" s="1">
        <v>56515</v>
      </c>
      <c r="G388" s="1">
        <v>5</v>
      </c>
      <c r="H388" s="2">
        <v>46102</v>
      </c>
      <c r="I388" s="2">
        <v>46112</v>
      </c>
      <c r="J388" s="1" t="s">
        <v>24</v>
      </c>
      <c r="K388" s="1">
        <v>1387</v>
      </c>
      <c r="L388" s="1">
        <f t="shared" si="2"/>
        <v>590581.75</v>
      </c>
      <c r="M388" s="1" t="str">
        <f t="shared" si="3"/>
        <v>EXCELLENT</v>
      </c>
    </row>
    <row r="389" spans="1:13" x14ac:dyDescent="0.3">
      <c r="A389" s="1" t="s">
        <v>55</v>
      </c>
      <c r="B389" s="1" t="s">
        <v>31</v>
      </c>
      <c r="C389" s="1" t="s">
        <v>18</v>
      </c>
      <c r="D389" s="1" t="s">
        <v>28</v>
      </c>
      <c r="E389" s="1">
        <v>12</v>
      </c>
      <c r="F389" s="1">
        <v>11662</v>
      </c>
      <c r="G389" s="1">
        <v>12</v>
      </c>
      <c r="H389" s="2">
        <v>46094</v>
      </c>
      <c r="I389" s="2">
        <v>46096</v>
      </c>
      <c r="J389" s="1" t="s">
        <v>20</v>
      </c>
      <c r="K389" s="1">
        <v>1388</v>
      </c>
      <c r="L389" s="1">
        <f t="shared" si="2"/>
        <v>123150.72</v>
      </c>
      <c r="M389" s="1" t="str">
        <f t="shared" si="3"/>
        <v>EXCELLENT</v>
      </c>
    </row>
    <row r="390" spans="1:13" x14ac:dyDescent="0.3">
      <c r="A390" s="1" t="s">
        <v>32</v>
      </c>
      <c r="B390" s="1" t="s">
        <v>12</v>
      </c>
      <c r="C390" s="1" t="s">
        <v>34</v>
      </c>
      <c r="D390" s="1" t="s">
        <v>41</v>
      </c>
      <c r="E390" s="1">
        <v>3</v>
      </c>
      <c r="F390" s="1">
        <v>56380</v>
      </c>
      <c r="G390" s="1">
        <v>5</v>
      </c>
      <c r="H390" s="2">
        <v>46044</v>
      </c>
      <c r="I390" s="2">
        <v>46048</v>
      </c>
      <c r="J390" s="1" t="s">
        <v>51</v>
      </c>
      <c r="K390" s="1">
        <v>1389</v>
      </c>
      <c r="L390" s="1">
        <f t="shared" si="2"/>
        <v>160683</v>
      </c>
      <c r="M390" s="1" t="str">
        <f t="shared" si="3"/>
        <v>EXCELLENT</v>
      </c>
    </row>
    <row r="391" spans="1:13" x14ac:dyDescent="0.3">
      <c r="A391" s="1" t="s">
        <v>58</v>
      </c>
      <c r="B391" s="1" t="s">
        <v>43</v>
      </c>
      <c r="C391" s="1" t="s">
        <v>18</v>
      </c>
      <c r="D391" s="1" t="s">
        <v>19</v>
      </c>
      <c r="E391" s="1">
        <v>9</v>
      </c>
      <c r="F391" s="1">
        <v>7670</v>
      </c>
      <c r="G391" s="1">
        <v>0</v>
      </c>
      <c r="H391" s="2">
        <v>46076</v>
      </c>
      <c r="I391" s="2">
        <v>46081</v>
      </c>
      <c r="J391" s="1" t="s">
        <v>51</v>
      </c>
      <c r="K391" s="1">
        <v>1390</v>
      </c>
      <c r="L391" s="1">
        <f t="shared" si="2"/>
        <v>69030</v>
      </c>
      <c r="M391" s="1" t="str">
        <f t="shared" si="3"/>
        <v>VERY GOOD</v>
      </c>
    </row>
    <row r="392" spans="1:13" x14ac:dyDescent="0.3">
      <c r="A392" s="1" t="s">
        <v>30</v>
      </c>
      <c r="B392" s="1" t="s">
        <v>31</v>
      </c>
      <c r="C392" s="1" t="s">
        <v>34</v>
      </c>
      <c r="D392" s="1" t="s">
        <v>35</v>
      </c>
      <c r="E392" s="1">
        <v>5</v>
      </c>
      <c r="F392" s="1">
        <v>65270</v>
      </c>
      <c r="G392" s="1">
        <v>5</v>
      </c>
      <c r="H392" s="2">
        <v>46100</v>
      </c>
      <c r="I392" s="2">
        <v>46103</v>
      </c>
      <c r="J392" s="1" t="s">
        <v>24</v>
      </c>
      <c r="K392" s="1">
        <v>1391</v>
      </c>
      <c r="L392" s="1">
        <f t="shared" si="2"/>
        <v>310032.5</v>
      </c>
      <c r="M392" s="1" t="str">
        <f t="shared" si="3"/>
        <v>EXCELLENT</v>
      </c>
    </row>
    <row r="393" spans="1:13" x14ac:dyDescent="0.3">
      <c r="A393" s="1" t="s">
        <v>29</v>
      </c>
      <c r="B393" s="1" t="s">
        <v>43</v>
      </c>
      <c r="C393" s="1" t="s">
        <v>34</v>
      </c>
      <c r="D393" s="1" t="s">
        <v>35</v>
      </c>
      <c r="E393" s="1">
        <v>13</v>
      </c>
      <c r="F393" s="1">
        <v>23903</v>
      </c>
      <c r="G393" s="1">
        <v>5</v>
      </c>
      <c r="H393" s="2">
        <v>46124</v>
      </c>
      <c r="I393" s="2">
        <v>46125</v>
      </c>
      <c r="J393" s="1" t="s">
        <v>29</v>
      </c>
      <c r="K393" s="1">
        <v>1392</v>
      </c>
      <c r="L393" s="1">
        <f t="shared" si="2"/>
        <v>295202.05</v>
      </c>
      <c r="M393" s="1" t="str">
        <f t="shared" si="3"/>
        <v>EXCELLENT</v>
      </c>
    </row>
    <row r="394" spans="1:13" x14ac:dyDescent="0.3">
      <c r="A394" s="1" t="s">
        <v>30</v>
      </c>
      <c r="B394" s="1" t="s">
        <v>25</v>
      </c>
      <c r="C394" s="1" t="s">
        <v>34</v>
      </c>
      <c r="D394" s="1" t="s">
        <v>45</v>
      </c>
      <c r="E394" s="1">
        <v>17</v>
      </c>
      <c r="F394" s="1">
        <v>30351</v>
      </c>
      <c r="G394" s="1">
        <v>15</v>
      </c>
      <c r="H394" s="2">
        <v>46047</v>
      </c>
      <c r="I394" s="2">
        <v>46051</v>
      </c>
      <c r="J394" s="1" t="s">
        <v>51</v>
      </c>
      <c r="K394" s="1">
        <v>1393</v>
      </c>
      <c r="L394" s="1">
        <f t="shared" si="2"/>
        <v>438571.95</v>
      </c>
      <c r="M394" s="1" t="str">
        <f t="shared" si="3"/>
        <v>EXCELLENT</v>
      </c>
    </row>
    <row r="395" spans="1:13" x14ac:dyDescent="0.3">
      <c r="A395" s="1" t="s">
        <v>54</v>
      </c>
      <c r="B395" s="1" t="s">
        <v>12</v>
      </c>
      <c r="C395" s="1" t="s">
        <v>13</v>
      </c>
      <c r="D395" s="1" t="s">
        <v>14</v>
      </c>
      <c r="E395" s="1">
        <v>10</v>
      </c>
      <c r="F395" s="1">
        <v>138</v>
      </c>
      <c r="G395" s="1">
        <v>2</v>
      </c>
      <c r="H395" s="2">
        <v>46056</v>
      </c>
      <c r="I395" s="2">
        <v>46057</v>
      </c>
      <c r="J395" s="1" t="s">
        <v>15</v>
      </c>
      <c r="K395" s="1">
        <v>1394</v>
      </c>
      <c r="L395" s="1">
        <f t="shared" si="2"/>
        <v>1352.3999999999999</v>
      </c>
      <c r="M395" s="1" t="str">
        <f t="shared" si="3"/>
        <v>AVERAGE</v>
      </c>
    </row>
    <row r="396" spans="1:13" x14ac:dyDescent="0.3">
      <c r="A396" s="1" t="s">
        <v>54</v>
      </c>
      <c r="B396" s="1" t="s">
        <v>33</v>
      </c>
      <c r="C396" s="1" t="s">
        <v>18</v>
      </c>
      <c r="D396" s="1" t="s">
        <v>44</v>
      </c>
      <c r="E396" s="1">
        <v>18</v>
      </c>
      <c r="F396" s="1">
        <v>10402</v>
      </c>
      <c r="G396" s="1">
        <v>15</v>
      </c>
      <c r="H396" s="2">
        <v>46062</v>
      </c>
      <c r="I396" s="2">
        <v>46067</v>
      </c>
      <c r="J396" s="1" t="s">
        <v>29</v>
      </c>
      <c r="K396" s="1">
        <v>1395</v>
      </c>
      <c r="L396" s="1">
        <f t="shared" si="2"/>
        <v>159150.6</v>
      </c>
      <c r="M396" s="1" t="str">
        <f t="shared" si="3"/>
        <v>EXCELLENT</v>
      </c>
    </row>
    <row r="397" spans="1:13" x14ac:dyDescent="0.3">
      <c r="A397" s="1" t="s">
        <v>21</v>
      </c>
      <c r="B397" s="1" t="s">
        <v>38</v>
      </c>
      <c r="C397" s="1" t="s">
        <v>13</v>
      </c>
      <c r="D397" s="1" t="s">
        <v>53</v>
      </c>
      <c r="E397" s="1">
        <v>8</v>
      </c>
      <c r="F397" s="1">
        <v>54</v>
      </c>
      <c r="G397" s="1">
        <v>15</v>
      </c>
      <c r="H397" s="2">
        <v>46031</v>
      </c>
      <c r="I397" s="2">
        <v>46035</v>
      </c>
      <c r="J397" s="1" t="s">
        <v>15</v>
      </c>
      <c r="K397" s="1">
        <v>1396</v>
      </c>
      <c r="L397" s="1">
        <f t="shared" si="2"/>
        <v>367.2</v>
      </c>
      <c r="M397" s="1" t="str">
        <f t="shared" si="3"/>
        <v>AVERAGE</v>
      </c>
    </row>
    <row r="398" spans="1:13" x14ac:dyDescent="0.3">
      <c r="A398" s="1" t="s">
        <v>21</v>
      </c>
      <c r="B398" s="1" t="s">
        <v>33</v>
      </c>
      <c r="C398" s="1" t="s">
        <v>18</v>
      </c>
      <c r="D398" s="1" t="s">
        <v>23</v>
      </c>
      <c r="E398" s="1">
        <v>1</v>
      </c>
      <c r="F398" s="1">
        <v>8948</v>
      </c>
      <c r="G398" s="1">
        <v>5</v>
      </c>
      <c r="H398" s="2">
        <v>46194</v>
      </c>
      <c r="I398" s="2">
        <v>46201</v>
      </c>
      <c r="J398" s="1" t="s">
        <v>51</v>
      </c>
      <c r="K398" s="1">
        <v>1397</v>
      </c>
      <c r="L398" s="1">
        <f t="shared" si="2"/>
        <v>8500.6</v>
      </c>
      <c r="M398" s="1" t="str">
        <f t="shared" si="3"/>
        <v>AVERAGE</v>
      </c>
    </row>
    <row r="399" spans="1:13" x14ac:dyDescent="0.3">
      <c r="A399" s="1" t="s">
        <v>58</v>
      </c>
      <c r="B399" s="1" t="s">
        <v>43</v>
      </c>
      <c r="C399" s="1" t="s">
        <v>34</v>
      </c>
      <c r="D399" s="1" t="s">
        <v>39</v>
      </c>
      <c r="E399" s="1">
        <v>12</v>
      </c>
      <c r="F399" s="1">
        <v>10668</v>
      </c>
      <c r="G399" s="1">
        <v>0</v>
      </c>
      <c r="H399" s="2">
        <v>46170</v>
      </c>
      <c r="I399" s="2">
        <v>46176</v>
      </c>
      <c r="J399" s="1" t="s">
        <v>15</v>
      </c>
      <c r="K399" s="1">
        <v>1398</v>
      </c>
      <c r="L399" s="1">
        <f t="shared" si="2"/>
        <v>128016</v>
      </c>
      <c r="M399" s="1" t="str">
        <f t="shared" si="3"/>
        <v>EXCELLENT</v>
      </c>
    </row>
    <row r="400" spans="1:13" x14ac:dyDescent="0.3">
      <c r="A400" s="1" t="s">
        <v>48</v>
      </c>
      <c r="B400" s="1" t="s">
        <v>31</v>
      </c>
      <c r="C400" s="1" t="s">
        <v>13</v>
      </c>
      <c r="D400" s="1" t="s">
        <v>14</v>
      </c>
      <c r="E400" s="1">
        <v>15</v>
      </c>
      <c r="F400" s="1">
        <v>87</v>
      </c>
      <c r="G400" s="1">
        <v>15</v>
      </c>
      <c r="H400" s="2">
        <v>46089</v>
      </c>
      <c r="I400" s="2">
        <v>46093</v>
      </c>
      <c r="J400" s="1" t="s">
        <v>20</v>
      </c>
      <c r="K400" s="1">
        <v>1399</v>
      </c>
      <c r="L400" s="1">
        <f t="shared" si="2"/>
        <v>1109.25</v>
      </c>
      <c r="M400" s="1" t="str">
        <f t="shared" si="3"/>
        <v>AVERAGE</v>
      </c>
    </row>
    <row r="401" spans="1:13" x14ac:dyDescent="0.3">
      <c r="A401" s="1" t="s">
        <v>40</v>
      </c>
      <c r="B401" s="1" t="s">
        <v>22</v>
      </c>
      <c r="C401" s="1" t="s">
        <v>34</v>
      </c>
      <c r="D401" s="1" t="s">
        <v>35</v>
      </c>
      <c r="E401" s="1">
        <v>13</v>
      </c>
      <c r="F401" s="1">
        <v>52411</v>
      </c>
      <c r="G401" s="1">
        <v>15</v>
      </c>
      <c r="H401" s="2">
        <v>46090</v>
      </c>
      <c r="I401" s="2">
        <v>46092</v>
      </c>
      <c r="J401" s="1" t="s">
        <v>20</v>
      </c>
      <c r="K401" s="1">
        <v>1400</v>
      </c>
      <c r="L401" s="1">
        <f t="shared" si="2"/>
        <v>579141.54999999993</v>
      </c>
      <c r="M401" s="1" t="str">
        <f t="shared" si="3"/>
        <v>EXCELLENT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L401"/>
  <sheetViews>
    <sheetView workbookViewId="0"/>
  </sheetViews>
  <sheetFormatPr defaultColWidth="14.44140625" defaultRowHeight="15" customHeight="1" x14ac:dyDescent="0.3"/>
  <cols>
    <col min="1" max="1" width="9.5546875" customWidth="1"/>
  </cols>
  <sheetData>
    <row r="1" spans="1:12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0</v>
      </c>
      <c r="L1" s="1" t="s">
        <v>72</v>
      </c>
    </row>
    <row r="2" spans="1:12" x14ac:dyDescent="0.3">
      <c r="A2" s="1" t="s">
        <v>11</v>
      </c>
      <c r="B2" s="1" t="s">
        <v>12</v>
      </c>
      <c r="C2" s="1" t="s">
        <v>13</v>
      </c>
      <c r="D2" s="1" t="s">
        <v>14</v>
      </c>
      <c r="E2" s="1">
        <v>3</v>
      </c>
      <c r="F2" s="1">
        <v>222</v>
      </c>
      <c r="G2" s="1">
        <v>15</v>
      </c>
      <c r="H2" s="2">
        <v>46081</v>
      </c>
      <c r="I2" s="2">
        <v>46083</v>
      </c>
      <c r="J2" s="1" t="s">
        <v>15</v>
      </c>
      <c r="K2" s="1">
        <v>1001</v>
      </c>
      <c r="L2" s="1" t="str">
        <f t="shared" ref="L2:L256" si="0">A2&amp;"_"&amp;D2</f>
        <v>Ritesh_Notebook</v>
      </c>
    </row>
    <row r="3" spans="1:12" x14ac:dyDescent="0.3">
      <c r="A3" s="1" t="s">
        <v>16</v>
      </c>
      <c r="B3" s="1" t="s">
        <v>17</v>
      </c>
      <c r="C3" s="1" t="s">
        <v>18</v>
      </c>
      <c r="D3" s="1" t="s">
        <v>19</v>
      </c>
      <c r="E3" s="1">
        <v>7</v>
      </c>
      <c r="F3" s="1">
        <v>8448</v>
      </c>
      <c r="G3" s="1">
        <v>12</v>
      </c>
      <c r="H3" s="2">
        <v>46174</v>
      </c>
      <c r="I3" s="2">
        <v>46179</v>
      </c>
      <c r="J3" s="1" t="s">
        <v>20</v>
      </c>
      <c r="K3" s="1">
        <v>1002</v>
      </c>
      <c r="L3" s="1" t="str">
        <f t="shared" si="0"/>
        <v>Pooja_Desk</v>
      </c>
    </row>
    <row r="4" spans="1:12" x14ac:dyDescent="0.3">
      <c r="A4" s="1" t="s">
        <v>21</v>
      </c>
      <c r="B4" s="1" t="s">
        <v>22</v>
      </c>
      <c r="C4" s="1" t="s">
        <v>18</v>
      </c>
      <c r="D4" s="1" t="s">
        <v>23</v>
      </c>
      <c r="E4" s="1">
        <v>20</v>
      </c>
      <c r="F4" s="1">
        <v>2123</v>
      </c>
      <c r="G4" s="1">
        <v>15</v>
      </c>
      <c r="H4" s="2">
        <v>46183</v>
      </c>
      <c r="I4" s="2">
        <v>46192</v>
      </c>
      <c r="J4" s="1" t="s">
        <v>24</v>
      </c>
      <c r="K4" s="1">
        <v>1003</v>
      </c>
      <c r="L4" s="1" t="str">
        <f t="shared" si="0"/>
        <v>Meera_Table</v>
      </c>
    </row>
    <row r="5" spans="1:12" x14ac:dyDescent="0.3">
      <c r="A5" s="1" t="s">
        <v>16</v>
      </c>
      <c r="B5" s="1" t="s">
        <v>25</v>
      </c>
      <c r="C5" s="1" t="s">
        <v>18</v>
      </c>
      <c r="D5" s="1" t="s">
        <v>23</v>
      </c>
      <c r="E5" s="1">
        <v>16</v>
      </c>
      <c r="F5" s="1">
        <v>11739</v>
      </c>
      <c r="G5" s="1">
        <v>12</v>
      </c>
      <c r="H5" s="2">
        <v>46034</v>
      </c>
      <c r="I5" s="2">
        <v>46040</v>
      </c>
      <c r="J5" s="1" t="s">
        <v>20</v>
      </c>
      <c r="K5" s="1">
        <v>1004</v>
      </c>
      <c r="L5" s="1" t="str">
        <f t="shared" si="0"/>
        <v>Pooja_Table</v>
      </c>
    </row>
    <row r="6" spans="1:12" x14ac:dyDescent="0.3">
      <c r="A6" s="1" t="s">
        <v>26</v>
      </c>
      <c r="B6" s="1" t="s">
        <v>17</v>
      </c>
      <c r="C6" s="1" t="s">
        <v>13</v>
      </c>
      <c r="D6" s="1" t="s">
        <v>14</v>
      </c>
      <c r="E6" s="1">
        <v>18</v>
      </c>
      <c r="F6" s="1">
        <v>70</v>
      </c>
      <c r="G6" s="1">
        <v>0</v>
      </c>
      <c r="H6" s="2">
        <v>46171</v>
      </c>
      <c r="I6" s="2">
        <v>46179</v>
      </c>
      <c r="J6" s="1" t="s">
        <v>24</v>
      </c>
      <c r="K6" s="1">
        <v>1005</v>
      </c>
      <c r="L6" s="1" t="str">
        <f t="shared" si="0"/>
        <v>Vikram_Notebook</v>
      </c>
    </row>
    <row r="7" spans="1:12" x14ac:dyDescent="0.3">
      <c r="A7" s="1" t="s">
        <v>27</v>
      </c>
      <c r="B7" s="1" t="s">
        <v>25</v>
      </c>
      <c r="C7" s="1" t="s">
        <v>18</v>
      </c>
      <c r="D7" s="1" t="s">
        <v>28</v>
      </c>
      <c r="E7" s="1">
        <v>3</v>
      </c>
      <c r="F7" s="1">
        <v>2714</v>
      </c>
      <c r="G7" s="1">
        <v>5</v>
      </c>
      <c r="H7" s="2">
        <v>46055</v>
      </c>
      <c r="I7" s="2">
        <v>46062</v>
      </c>
      <c r="J7" s="1" t="s">
        <v>29</v>
      </c>
      <c r="K7" s="1">
        <v>1006</v>
      </c>
      <c r="L7" s="1" t="str">
        <f t="shared" si="0"/>
        <v>Arjun_Chair</v>
      </c>
    </row>
    <row r="8" spans="1:12" x14ac:dyDescent="0.3">
      <c r="A8" s="1" t="s">
        <v>21</v>
      </c>
      <c r="B8" s="1" t="s">
        <v>22</v>
      </c>
      <c r="C8" s="1" t="s">
        <v>13</v>
      </c>
      <c r="D8" s="1" t="s">
        <v>14</v>
      </c>
      <c r="E8" s="1">
        <v>19</v>
      </c>
      <c r="F8" s="1">
        <v>149</v>
      </c>
      <c r="G8" s="1">
        <v>7</v>
      </c>
      <c r="H8" s="2">
        <v>46162</v>
      </c>
      <c r="I8" s="2">
        <v>46168</v>
      </c>
      <c r="J8" s="1" t="s">
        <v>24</v>
      </c>
      <c r="K8" s="1">
        <v>1007</v>
      </c>
      <c r="L8" s="1" t="str">
        <f t="shared" si="0"/>
        <v>Meera_Notebook</v>
      </c>
    </row>
    <row r="9" spans="1:12" x14ac:dyDescent="0.3">
      <c r="A9" s="1" t="s">
        <v>30</v>
      </c>
      <c r="B9" s="1" t="s">
        <v>31</v>
      </c>
      <c r="C9" s="1" t="s">
        <v>18</v>
      </c>
      <c r="D9" s="1" t="s">
        <v>28</v>
      </c>
      <c r="E9" s="1">
        <v>1</v>
      </c>
      <c r="F9" s="1">
        <v>1134</v>
      </c>
      <c r="G9" s="1">
        <v>0</v>
      </c>
      <c r="H9" s="2">
        <v>46033</v>
      </c>
      <c r="I9" s="2">
        <v>46041</v>
      </c>
      <c r="J9" s="1" t="s">
        <v>24</v>
      </c>
      <c r="K9" s="1">
        <v>1008</v>
      </c>
      <c r="L9" s="1" t="str">
        <f t="shared" si="0"/>
        <v>Neha_Chair</v>
      </c>
    </row>
    <row r="10" spans="1:12" x14ac:dyDescent="0.3">
      <c r="A10" s="1" t="s">
        <v>32</v>
      </c>
      <c r="B10" s="1" t="s">
        <v>33</v>
      </c>
      <c r="C10" s="1" t="s">
        <v>34</v>
      </c>
      <c r="D10" s="1" t="s">
        <v>35</v>
      </c>
      <c r="E10" s="1">
        <v>10</v>
      </c>
      <c r="F10" s="1">
        <v>40671</v>
      </c>
      <c r="G10" s="1">
        <v>12</v>
      </c>
      <c r="H10" s="2">
        <v>46183</v>
      </c>
      <c r="I10" s="2">
        <v>46193</v>
      </c>
      <c r="J10" s="1" t="s">
        <v>24</v>
      </c>
      <c r="K10" s="1">
        <v>1009</v>
      </c>
      <c r="L10" s="1" t="str">
        <f t="shared" si="0"/>
        <v>Asha_Printer</v>
      </c>
    </row>
    <row r="11" spans="1:12" x14ac:dyDescent="0.3">
      <c r="A11" s="1" t="s">
        <v>11</v>
      </c>
      <c r="B11" s="1" t="s">
        <v>17</v>
      </c>
      <c r="C11" s="1" t="s">
        <v>13</v>
      </c>
      <c r="D11" s="1" t="s">
        <v>36</v>
      </c>
      <c r="E11" s="1">
        <v>14</v>
      </c>
      <c r="F11" s="1">
        <v>470</v>
      </c>
      <c r="G11" s="1">
        <v>5</v>
      </c>
      <c r="H11" s="2">
        <v>46062</v>
      </c>
      <c r="I11" s="2">
        <v>46068</v>
      </c>
      <c r="J11" s="1" t="s">
        <v>15</v>
      </c>
      <c r="K11" s="1">
        <v>1010</v>
      </c>
      <c r="L11" s="1" t="str">
        <f t="shared" si="0"/>
        <v>Ritesh_Stapler</v>
      </c>
    </row>
    <row r="12" spans="1:12" x14ac:dyDescent="0.3">
      <c r="A12" s="1" t="s">
        <v>11</v>
      </c>
      <c r="B12" s="1" t="s">
        <v>17</v>
      </c>
      <c r="C12" s="1" t="s">
        <v>13</v>
      </c>
      <c r="D12" s="1" t="s">
        <v>37</v>
      </c>
      <c r="E12" s="1">
        <v>14</v>
      </c>
      <c r="F12" s="1">
        <v>88</v>
      </c>
      <c r="G12" s="1">
        <v>12</v>
      </c>
      <c r="H12" s="2">
        <v>46161</v>
      </c>
      <c r="I12" s="2">
        <v>46163</v>
      </c>
      <c r="J12" s="1" t="s">
        <v>15</v>
      </c>
      <c r="K12" s="1">
        <v>1011</v>
      </c>
      <c r="L12" s="1" t="str">
        <f t="shared" si="0"/>
        <v>Ritesh_Pen Pack</v>
      </c>
    </row>
    <row r="13" spans="1:12" x14ac:dyDescent="0.3">
      <c r="A13" s="1" t="s">
        <v>26</v>
      </c>
      <c r="B13" s="1" t="s">
        <v>38</v>
      </c>
      <c r="C13" s="1" t="s">
        <v>34</v>
      </c>
      <c r="D13" s="1" t="s">
        <v>39</v>
      </c>
      <c r="E13" s="1">
        <v>3</v>
      </c>
      <c r="F13" s="1">
        <v>64615</v>
      </c>
      <c r="G13" s="1">
        <v>10</v>
      </c>
      <c r="H13" s="2">
        <v>46086</v>
      </c>
      <c r="I13" s="2">
        <v>46095</v>
      </c>
      <c r="J13" s="1" t="s">
        <v>29</v>
      </c>
      <c r="K13" s="1">
        <v>1012</v>
      </c>
      <c r="L13" s="1" t="str">
        <f t="shared" si="0"/>
        <v>Vikram_Keyboard</v>
      </c>
    </row>
    <row r="14" spans="1:12" x14ac:dyDescent="0.3">
      <c r="A14" s="1" t="s">
        <v>16</v>
      </c>
      <c r="B14" s="1" t="s">
        <v>31</v>
      </c>
      <c r="C14" s="1" t="s">
        <v>13</v>
      </c>
      <c r="D14" s="1" t="s">
        <v>36</v>
      </c>
      <c r="E14" s="1">
        <v>17</v>
      </c>
      <c r="F14" s="1">
        <v>459</v>
      </c>
      <c r="G14" s="1">
        <v>12</v>
      </c>
      <c r="H14" s="2">
        <v>46095</v>
      </c>
      <c r="I14" s="2">
        <v>46105</v>
      </c>
      <c r="J14" s="1" t="s">
        <v>29</v>
      </c>
      <c r="K14" s="1">
        <v>1013</v>
      </c>
      <c r="L14" s="1" t="str">
        <f t="shared" si="0"/>
        <v>Pooja_Stapler</v>
      </c>
    </row>
    <row r="15" spans="1:12" x14ac:dyDescent="0.3">
      <c r="A15" s="1" t="s">
        <v>40</v>
      </c>
      <c r="B15" s="1" t="s">
        <v>17</v>
      </c>
      <c r="C15" s="1" t="s">
        <v>34</v>
      </c>
      <c r="D15" s="1" t="s">
        <v>41</v>
      </c>
      <c r="E15" s="1">
        <v>19</v>
      </c>
      <c r="F15" s="1">
        <v>53683</v>
      </c>
      <c r="G15" s="1">
        <v>12</v>
      </c>
      <c r="H15" s="2">
        <v>46129</v>
      </c>
      <c r="I15" s="2">
        <v>46134</v>
      </c>
      <c r="J15" s="1" t="s">
        <v>29</v>
      </c>
      <c r="K15" s="1">
        <v>1014</v>
      </c>
      <c r="L15" s="1" t="str">
        <f t="shared" si="0"/>
        <v>Deepak_Headset</v>
      </c>
    </row>
    <row r="16" spans="1:12" x14ac:dyDescent="0.3">
      <c r="A16" s="1" t="s">
        <v>42</v>
      </c>
      <c r="B16" s="1" t="s">
        <v>43</v>
      </c>
      <c r="C16" s="1" t="s">
        <v>18</v>
      </c>
      <c r="D16" s="1" t="s">
        <v>44</v>
      </c>
      <c r="E16" s="1">
        <v>11</v>
      </c>
      <c r="F16" s="1">
        <v>14511</v>
      </c>
      <c r="G16" s="1">
        <v>2</v>
      </c>
      <c r="H16" s="2">
        <v>46175</v>
      </c>
      <c r="I16" s="2">
        <v>46185</v>
      </c>
      <c r="J16" s="1" t="s">
        <v>20</v>
      </c>
      <c r="K16" s="1">
        <v>1015</v>
      </c>
      <c r="L16" s="1" t="str">
        <f t="shared" si="0"/>
        <v>Nisha_Bookshelf</v>
      </c>
    </row>
    <row r="17" spans="1:12" x14ac:dyDescent="0.3">
      <c r="A17" s="1" t="s">
        <v>32</v>
      </c>
      <c r="B17" s="1" t="s">
        <v>33</v>
      </c>
      <c r="C17" s="1" t="s">
        <v>34</v>
      </c>
      <c r="D17" s="1" t="s">
        <v>45</v>
      </c>
      <c r="E17" s="1">
        <v>16</v>
      </c>
      <c r="F17" s="1">
        <v>30234</v>
      </c>
      <c r="G17" s="1">
        <v>15</v>
      </c>
      <c r="H17" s="2">
        <v>46137</v>
      </c>
      <c r="I17" s="2">
        <v>46140</v>
      </c>
      <c r="J17" s="1" t="s">
        <v>24</v>
      </c>
      <c r="K17" s="1">
        <v>1016</v>
      </c>
      <c r="L17" s="1" t="str">
        <f t="shared" si="0"/>
        <v>Asha_Monitor</v>
      </c>
    </row>
    <row r="18" spans="1:12" x14ac:dyDescent="0.3">
      <c r="A18" s="1" t="s">
        <v>46</v>
      </c>
      <c r="B18" s="1" t="s">
        <v>38</v>
      </c>
      <c r="C18" s="1" t="s">
        <v>13</v>
      </c>
      <c r="D18" s="1" t="s">
        <v>36</v>
      </c>
      <c r="E18" s="1">
        <v>8</v>
      </c>
      <c r="F18" s="1">
        <v>179</v>
      </c>
      <c r="G18" s="1">
        <v>15</v>
      </c>
      <c r="H18" s="2">
        <v>46082</v>
      </c>
      <c r="I18" s="2">
        <v>46084</v>
      </c>
      <c r="J18" s="1" t="s">
        <v>15</v>
      </c>
      <c r="K18" s="1">
        <v>1017</v>
      </c>
      <c r="L18" s="1" t="str">
        <f t="shared" si="0"/>
        <v>Kiran_Stapler</v>
      </c>
    </row>
    <row r="19" spans="1:12" x14ac:dyDescent="0.3">
      <c r="A19" s="1" t="s">
        <v>47</v>
      </c>
      <c r="B19" s="1" t="s">
        <v>25</v>
      </c>
      <c r="C19" s="1" t="s">
        <v>13</v>
      </c>
      <c r="D19" s="1" t="s">
        <v>14</v>
      </c>
      <c r="E19" s="1">
        <v>20</v>
      </c>
      <c r="F19" s="1">
        <v>301</v>
      </c>
      <c r="G19" s="1">
        <v>0</v>
      </c>
      <c r="H19" s="2">
        <v>46089</v>
      </c>
      <c r="I19" s="2">
        <v>46094</v>
      </c>
      <c r="J19" s="1" t="s">
        <v>29</v>
      </c>
      <c r="K19" s="1">
        <v>1018</v>
      </c>
      <c r="L19" s="1" t="str">
        <f t="shared" si="0"/>
        <v>Yash_Notebook</v>
      </c>
    </row>
    <row r="20" spans="1:12" x14ac:dyDescent="0.3">
      <c r="A20" s="1" t="s">
        <v>11</v>
      </c>
      <c r="B20" s="1" t="s">
        <v>43</v>
      </c>
      <c r="C20" s="1" t="s">
        <v>34</v>
      </c>
      <c r="D20" s="1" t="s">
        <v>41</v>
      </c>
      <c r="E20" s="1">
        <v>18</v>
      </c>
      <c r="F20" s="1">
        <v>45652</v>
      </c>
      <c r="G20" s="1">
        <v>10</v>
      </c>
      <c r="H20" s="2">
        <v>46023</v>
      </c>
      <c r="I20" s="2">
        <v>46030</v>
      </c>
      <c r="J20" s="1" t="s">
        <v>20</v>
      </c>
      <c r="K20" s="1">
        <v>1019</v>
      </c>
      <c r="L20" s="1" t="str">
        <f t="shared" si="0"/>
        <v>Ritesh_Headset</v>
      </c>
    </row>
    <row r="21" spans="1:12" x14ac:dyDescent="0.3">
      <c r="A21" s="1" t="s">
        <v>46</v>
      </c>
      <c r="B21" s="1" t="s">
        <v>12</v>
      </c>
      <c r="C21" s="1" t="s">
        <v>18</v>
      </c>
      <c r="D21" s="1" t="s">
        <v>19</v>
      </c>
      <c r="E21" s="1">
        <v>5</v>
      </c>
      <c r="F21" s="1">
        <v>4582</v>
      </c>
      <c r="G21" s="1">
        <v>5</v>
      </c>
      <c r="H21" s="2">
        <v>46078</v>
      </c>
      <c r="I21" s="2">
        <v>46083</v>
      </c>
      <c r="J21" s="1" t="s">
        <v>15</v>
      </c>
      <c r="K21" s="1">
        <v>1020</v>
      </c>
      <c r="L21" s="1" t="str">
        <f t="shared" si="0"/>
        <v>Kiran_Desk</v>
      </c>
    </row>
    <row r="22" spans="1:12" x14ac:dyDescent="0.3">
      <c r="A22" s="1" t="s">
        <v>48</v>
      </c>
      <c r="B22" s="1" t="s">
        <v>43</v>
      </c>
      <c r="C22" s="1" t="s">
        <v>13</v>
      </c>
      <c r="D22" s="1" t="s">
        <v>14</v>
      </c>
      <c r="E22" s="1">
        <v>3</v>
      </c>
      <c r="F22" s="1">
        <v>484</v>
      </c>
      <c r="G22" s="1">
        <v>2</v>
      </c>
      <c r="H22" s="2">
        <v>46144</v>
      </c>
      <c r="I22" s="2">
        <v>46148</v>
      </c>
      <c r="J22" s="1" t="s">
        <v>24</v>
      </c>
      <c r="K22" s="1">
        <v>1021</v>
      </c>
      <c r="L22" s="1" t="str">
        <f t="shared" si="0"/>
        <v>Nitin_Notebook</v>
      </c>
    </row>
    <row r="23" spans="1:12" x14ac:dyDescent="0.3">
      <c r="A23" s="1" t="s">
        <v>26</v>
      </c>
      <c r="B23" s="1" t="s">
        <v>17</v>
      </c>
      <c r="C23" s="1" t="s">
        <v>34</v>
      </c>
      <c r="D23" s="1" t="s">
        <v>45</v>
      </c>
      <c r="E23" s="1">
        <v>15</v>
      </c>
      <c r="F23" s="1">
        <v>11596</v>
      </c>
      <c r="G23" s="1">
        <v>0</v>
      </c>
      <c r="H23" s="2">
        <v>46117</v>
      </c>
      <c r="I23" s="2">
        <v>46121</v>
      </c>
      <c r="J23" s="1" t="s">
        <v>29</v>
      </c>
      <c r="K23" s="1">
        <v>1022</v>
      </c>
      <c r="L23" s="1" t="str">
        <f t="shared" si="0"/>
        <v>Vikram_Monitor</v>
      </c>
    </row>
    <row r="24" spans="1:12" x14ac:dyDescent="0.3">
      <c r="A24" s="1" t="s">
        <v>40</v>
      </c>
      <c r="B24" s="1" t="s">
        <v>12</v>
      </c>
      <c r="C24" s="1" t="s">
        <v>18</v>
      </c>
      <c r="D24" s="1" t="s">
        <v>44</v>
      </c>
      <c r="E24" s="1">
        <v>15</v>
      </c>
      <c r="F24" s="1">
        <v>3506</v>
      </c>
      <c r="G24" s="1">
        <v>2</v>
      </c>
      <c r="H24" s="2">
        <v>46193</v>
      </c>
      <c r="I24" s="2">
        <v>46194</v>
      </c>
      <c r="J24" s="1" t="s">
        <v>29</v>
      </c>
      <c r="K24" s="1">
        <v>1023</v>
      </c>
      <c r="L24" s="1" t="str">
        <f t="shared" si="0"/>
        <v>Deepak_Bookshelf</v>
      </c>
    </row>
    <row r="25" spans="1:12" x14ac:dyDescent="0.3">
      <c r="A25" s="1" t="s">
        <v>32</v>
      </c>
      <c r="B25" s="1" t="s">
        <v>38</v>
      </c>
      <c r="C25" s="1" t="s">
        <v>34</v>
      </c>
      <c r="D25" s="1" t="s">
        <v>41</v>
      </c>
      <c r="E25" s="1">
        <v>12</v>
      </c>
      <c r="F25" s="1">
        <v>1682</v>
      </c>
      <c r="G25" s="1">
        <v>5</v>
      </c>
      <c r="H25" s="2">
        <v>46161</v>
      </c>
      <c r="I25" s="2">
        <v>46165</v>
      </c>
      <c r="J25" s="1" t="s">
        <v>15</v>
      </c>
      <c r="K25" s="1">
        <v>1024</v>
      </c>
      <c r="L25" s="1" t="str">
        <f t="shared" si="0"/>
        <v>Asha_Headset</v>
      </c>
    </row>
    <row r="26" spans="1:12" x14ac:dyDescent="0.3">
      <c r="A26" s="1" t="s">
        <v>21</v>
      </c>
      <c r="B26" s="1" t="s">
        <v>12</v>
      </c>
      <c r="C26" s="1" t="s">
        <v>18</v>
      </c>
      <c r="D26" s="1" t="s">
        <v>19</v>
      </c>
      <c r="E26" s="1">
        <v>18</v>
      </c>
      <c r="F26" s="1">
        <v>7924</v>
      </c>
      <c r="G26" s="1">
        <v>0</v>
      </c>
      <c r="H26" s="2">
        <v>46175</v>
      </c>
      <c r="I26" s="2">
        <v>46181</v>
      </c>
      <c r="J26" s="1" t="s">
        <v>15</v>
      </c>
      <c r="K26" s="1">
        <v>1025</v>
      </c>
      <c r="L26" s="1" t="str">
        <f t="shared" si="0"/>
        <v>Meera_Desk</v>
      </c>
    </row>
    <row r="27" spans="1:12" x14ac:dyDescent="0.3">
      <c r="A27" s="1" t="s">
        <v>49</v>
      </c>
      <c r="B27" s="1" t="s">
        <v>31</v>
      </c>
      <c r="C27" s="1" t="s">
        <v>13</v>
      </c>
      <c r="D27" s="1" t="s">
        <v>50</v>
      </c>
      <c r="E27" s="1">
        <v>17</v>
      </c>
      <c r="F27" s="1">
        <v>323</v>
      </c>
      <c r="G27" s="1">
        <v>10</v>
      </c>
      <c r="H27" s="2">
        <v>46039</v>
      </c>
      <c r="I27" s="2">
        <v>46040</v>
      </c>
      <c r="J27" s="1" t="s">
        <v>29</v>
      </c>
      <c r="K27" s="1">
        <v>1026</v>
      </c>
      <c r="L27" s="1" t="str">
        <f t="shared" si="0"/>
        <v>Ajay_Marker</v>
      </c>
    </row>
    <row r="28" spans="1:12" x14ac:dyDescent="0.3">
      <c r="A28" s="1" t="s">
        <v>29</v>
      </c>
      <c r="B28" s="1" t="s">
        <v>43</v>
      </c>
      <c r="C28" s="1" t="s">
        <v>13</v>
      </c>
      <c r="D28" s="1" t="s">
        <v>50</v>
      </c>
      <c r="E28" s="1">
        <v>4</v>
      </c>
      <c r="F28" s="1">
        <v>264</v>
      </c>
      <c r="G28" s="1">
        <v>0</v>
      </c>
      <c r="H28" s="2">
        <v>46155</v>
      </c>
      <c r="I28" s="2">
        <v>46161</v>
      </c>
      <c r="J28" s="1" t="s">
        <v>51</v>
      </c>
      <c r="K28" s="1">
        <v>1027</v>
      </c>
      <c r="L28" s="1" t="str">
        <f t="shared" si="0"/>
        <v>Priya_Marker</v>
      </c>
    </row>
    <row r="29" spans="1:12" x14ac:dyDescent="0.3">
      <c r="A29" s="1" t="s">
        <v>47</v>
      </c>
      <c r="B29" s="1" t="s">
        <v>22</v>
      </c>
      <c r="C29" s="1" t="s">
        <v>13</v>
      </c>
      <c r="D29" s="1" t="s">
        <v>36</v>
      </c>
      <c r="E29" s="1">
        <v>13</v>
      </c>
      <c r="F29" s="1">
        <v>433</v>
      </c>
      <c r="G29" s="1">
        <v>2</v>
      </c>
      <c r="H29" s="2">
        <v>46116</v>
      </c>
      <c r="I29" s="2">
        <v>46121</v>
      </c>
      <c r="J29" s="1" t="s">
        <v>24</v>
      </c>
      <c r="K29" s="1">
        <v>1028</v>
      </c>
      <c r="L29" s="1" t="str">
        <f t="shared" si="0"/>
        <v>Yash_Stapler</v>
      </c>
    </row>
    <row r="30" spans="1:12" x14ac:dyDescent="0.3">
      <c r="A30" s="1" t="s">
        <v>30</v>
      </c>
      <c r="B30" s="1" t="s">
        <v>25</v>
      </c>
      <c r="C30" s="1" t="s">
        <v>13</v>
      </c>
      <c r="D30" s="1" t="s">
        <v>36</v>
      </c>
      <c r="E30" s="1">
        <v>18</v>
      </c>
      <c r="F30" s="1">
        <v>443</v>
      </c>
      <c r="G30" s="1">
        <v>5</v>
      </c>
      <c r="H30" s="2">
        <v>46046</v>
      </c>
      <c r="I30" s="2">
        <v>46054</v>
      </c>
      <c r="J30" s="1" t="s">
        <v>24</v>
      </c>
      <c r="K30" s="1">
        <v>1029</v>
      </c>
      <c r="L30" s="1" t="str">
        <f t="shared" si="0"/>
        <v>Neha_Stapler</v>
      </c>
    </row>
    <row r="31" spans="1:12" x14ac:dyDescent="0.3">
      <c r="A31" s="1" t="s">
        <v>52</v>
      </c>
      <c r="B31" s="1" t="s">
        <v>12</v>
      </c>
      <c r="C31" s="1" t="s">
        <v>13</v>
      </c>
      <c r="D31" s="1" t="s">
        <v>53</v>
      </c>
      <c r="E31" s="1">
        <v>13</v>
      </c>
      <c r="F31" s="1">
        <v>336</v>
      </c>
      <c r="G31" s="1">
        <v>10</v>
      </c>
      <c r="H31" s="2">
        <v>46098</v>
      </c>
      <c r="I31" s="2">
        <v>46108</v>
      </c>
      <c r="J31" s="1" t="s">
        <v>15</v>
      </c>
      <c r="K31" s="1">
        <v>1030</v>
      </c>
      <c r="L31" s="1" t="str">
        <f t="shared" si="0"/>
        <v>Komal_Diary</v>
      </c>
    </row>
    <row r="32" spans="1:12" x14ac:dyDescent="0.3">
      <c r="A32" s="1" t="s">
        <v>54</v>
      </c>
      <c r="B32" s="1" t="s">
        <v>31</v>
      </c>
      <c r="C32" s="1" t="s">
        <v>13</v>
      </c>
      <c r="D32" s="1" t="s">
        <v>53</v>
      </c>
      <c r="E32" s="1">
        <v>2</v>
      </c>
      <c r="F32" s="1">
        <v>184</v>
      </c>
      <c r="G32" s="1">
        <v>5</v>
      </c>
      <c r="H32" s="2">
        <v>46089</v>
      </c>
      <c r="I32" s="2">
        <v>46093</v>
      </c>
      <c r="J32" s="1" t="s">
        <v>20</v>
      </c>
      <c r="K32" s="1">
        <v>1031</v>
      </c>
      <c r="L32" s="1" t="str">
        <f t="shared" si="0"/>
        <v>Manoj_Diary</v>
      </c>
    </row>
    <row r="33" spans="1:12" x14ac:dyDescent="0.3">
      <c r="A33" s="1" t="s">
        <v>54</v>
      </c>
      <c r="B33" s="1" t="s">
        <v>43</v>
      </c>
      <c r="C33" s="1" t="s">
        <v>34</v>
      </c>
      <c r="D33" s="1" t="s">
        <v>39</v>
      </c>
      <c r="E33" s="1">
        <v>20</v>
      </c>
      <c r="F33" s="1">
        <v>11305</v>
      </c>
      <c r="G33" s="1">
        <v>2</v>
      </c>
      <c r="H33" s="2">
        <v>46163</v>
      </c>
      <c r="I33" s="2">
        <v>46165</v>
      </c>
      <c r="J33" s="1" t="s">
        <v>29</v>
      </c>
      <c r="K33" s="1">
        <v>1032</v>
      </c>
      <c r="L33" s="1" t="str">
        <f t="shared" si="0"/>
        <v>Manoj_Keyboard</v>
      </c>
    </row>
    <row r="34" spans="1:12" x14ac:dyDescent="0.3">
      <c r="A34" s="1" t="s">
        <v>11</v>
      </c>
      <c r="B34" s="1" t="s">
        <v>43</v>
      </c>
      <c r="C34" s="1" t="s">
        <v>18</v>
      </c>
      <c r="D34" s="1" t="s">
        <v>19</v>
      </c>
      <c r="E34" s="1">
        <v>9</v>
      </c>
      <c r="F34" s="1">
        <v>4895</v>
      </c>
      <c r="G34" s="1">
        <v>2</v>
      </c>
      <c r="H34" s="2">
        <v>46082</v>
      </c>
      <c r="I34" s="2">
        <v>46084</v>
      </c>
      <c r="J34" s="1" t="s">
        <v>29</v>
      </c>
      <c r="K34" s="1">
        <v>1033</v>
      </c>
      <c r="L34" s="1" t="str">
        <f t="shared" si="0"/>
        <v>Ritesh_Desk</v>
      </c>
    </row>
    <row r="35" spans="1:12" x14ac:dyDescent="0.3">
      <c r="A35" s="1" t="s">
        <v>55</v>
      </c>
      <c r="B35" s="1" t="s">
        <v>33</v>
      </c>
      <c r="C35" s="1" t="s">
        <v>18</v>
      </c>
      <c r="D35" s="1" t="s">
        <v>28</v>
      </c>
      <c r="E35" s="1">
        <v>17</v>
      </c>
      <c r="F35" s="1">
        <v>5104</v>
      </c>
      <c r="G35" s="1">
        <v>12</v>
      </c>
      <c r="H35" s="2">
        <v>46052</v>
      </c>
      <c r="I35" s="2">
        <v>46061</v>
      </c>
      <c r="J35" s="1" t="s">
        <v>51</v>
      </c>
      <c r="K35" s="1">
        <v>1034</v>
      </c>
      <c r="L35" s="1" t="str">
        <f t="shared" si="0"/>
        <v>Sneha_Chair</v>
      </c>
    </row>
    <row r="36" spans="1:12" x14ac:dyDescent="0.3">
      <c r="A36" s="1" t="s">
        <v>49</v>
      </c>
      <c r="B36" s="1" t="s">
        <v>43</v>
      </c>
      <c r="C36" s="1" t="s">
        <v>18</v>
      </c>
      <c r="D36" s="1" t="s">
        <v>56</v>
      </c>
      <c r="E36" s="1">
        <v>3</v>
      </c>
      <c r="F36" s="1">
        <v>9149</v>
      </c>
      <c r="G36" s="1">
        <v>0</v>
      </c>
      <c r="H36" s="2">
        <v>46031</v>
      </c>
      <c r="I36" s="2">
        <v>46034</v>
      </c>
      <c r="J36" s="1" t="s">
        <v>24</v>
      </c>
      <c r="K36" s="1">
        <v>1035</v>
      </c>
      <c r="L36" s="1" t="str">
        <f t="shared" si="0"/>
        <v>Ajay_Cabinet</v>
      </c>
    </row>
    <row r="37" spans="1:12" x14ac:dyDescent="0.3">
      <c r="A37" s="1" t="s">
        <v>11</v>
      </c>
      <c r="B37" s="1" t="s">
        <v>25</v>
      </c>
      <c r="C37" s="1" t="s">
        <v>13</v>
      </c>
      <c r="D37" s="1" t="s">
        <v>36</v>
      </c>
      <c r="E37" s="1">
        <v>20</v>
      </c>
      <c r="F37" s="1">
        <v>161</v>
      </c>
      <c r="G37" s="1">
        <v>7</v>
      </c>
      <c r="H37" s="2">
        <v>46071</v>
      </c>
      <c r="I37" s="2">
        <v>46077</v>
      </c>
      <c r="J37" s="1" t="s">
        <v>24</v>
      </c>
      <c r="K37" s="1">
        <v>1036</v>
      </c>
      <c r="L37" s="1" t="str">
        <f t="shared" si="0"/>
        <v>Ritesh_Stapler</v>
      </c>
    </row>
    <row r="38" spans="1:12" x14ac:dyDescent="0.3">
      <c r="A38" s="1" t="s">
        <v>46</v>
      </c>
      <c r="B38" s="1" t="s">
        <v>43</v>
      </c>
      <c r="C38" s="1" t="s">
        <v>18</v>
      </c>
      <c r="D38" s="1" t="s">
        <v>56</v>
      </c>
      <c r="E38" s="1">
        <v>6</v>
      </c>
      <c r="F38" s="1">
        <v>14385</v>
      </c>
      <c r="G38" s="1">
        <v>12</v>
      </c>
      <c r="H38" s="2">
        <v>46033</v>
      </c>
      <c r="I38" s="2">
        <v>46043</v>
      </c>
      <c r="J38" s="1" t="s">
        <v>24</v>
      </c>
      <c r="K38" s="1">
        <v>1037</v>
      </c>
      <c r="L38" s="1" t="str">
        <f t="shared" si="0"/>
        <v>Kiran_Cabinet</v>
      </c>
    </row>
    <row r="39" spans="1:12" x14ac:dyDescent="0.3">
      <c r="A39" s="1" t="s">
        <v>55</v>
      </c>
      <c r="B39" s="1" t="s">
        <v>17</v>
      </c>
      <c r="C39" s="1" t="s">
        <v>13</v>
      </c>
      <c r="D39" s="1" t="s">
        <v>36</v>
      </c>
      <c r="E39" s="1">
        <v>17</v>
      </c>
      <c r="F39" s="1">
        <v>223</v>
      </c>
      <c r="G39" s="1">
        <v>7</v>
      </c>
      <c r="H39" s="2">
        <v>46030</v>
      </c>
      <c r="I39" s="2">
        <v>46031</v>
      </c>
      <c r="J39" s="1" t="s">
        <v>51</v>
      </c>
      <c r="K39" s="1">
        <v>1038</v>
      </c>
      <c r="L39" s="1" t="str">
        <f t="shared" si="0"/>
        <v>Sneha_Stapler</v>
      </c>
    </row>
    <row r="40" spans="1:12" x14ac:dyDescent="0.3">
      <c r="A40" s="1" t="s">
        <v>48</v>
      </c>
      <c r="B40" s="1" t="s">
        <v>38</v>
      </c>
      <c r="C40" s="1" t="s">
        <v>34</v>
      </c>
      <c r="D40" s="1" t="s">
        <v>45</v>
      </c>
      <c r="E40" s="1">
        <v>5</v>
      </c>
      <c r="F40" s="1">
        <v>60236</v>
      </c>
      <c r="G40" s="1">
        <v>10</v>
      </c>
      <c r="H40" s="2">
        <v>46107</v>
      </c>
      <c r="I40" s="2">
        <v>46110</v>
      </c>
      <c r="J40" s="1" t="s">
        <v>20</v>
      </c>
      <c r="K40" s="1">
        <v>1039</v>
      </c>
      <c r="L40" s="1" t="str">
        <f t="shared" si="0"/>
        <v>Nitin_Monitor</v>
      </c>
    </row>
    <row r="41" spans="1:12" x14ac:dyDescent="0.3">
      <c r="A41" s="1" t="s">
        <v>49</v>
      </c>
      <c r="B41" s="1" t="s">
        <v>38</v>
      </c>
      <c r="C41" s="1" t="s">
        <v>18</v>
      </c>
      <c r="D41" s="1" t="s">
        <v>28</v>
      </c>
      <c r="E41" s="1">
        <v>10</v>
      </c>
      <c r="F41" s="1">
        <v>7531</v>
      </c>
      <c r="G41" s="1">
        <v>2</v>
      </c>
      <c r="H41" s="2">
        <v>46171</v>
      </c>
      <c r="I41" s="2">
        <v>46178</v>
      </c>
      <c r="J41" s="1" t="s">
        <v>24</v>
      </c>
      <c r="K41" s="1">
        <v>1040</v>
      </c>
      <c r="L41" s="1" t="str">
        <f t="shared" si="0"/>
        <v>Ajay_Chair</v>
      </c>
    </row>
    <row r="42" spans="1:12" x14ac:dyDescent="0.3">
      <c r="A42" s="1" t="s">
        <v>54</v>
      </c>
      <c r="B42" s="1" t="s">
        <v>38</v>
      </c>
      <c r="C42" s="1" t="s">
        <v>13</v>
      </c>
      <c r="D42" s="1" t="s">
        <v>50</v>
      </c>
      <c r="E42" s="1">
        <v>9</v>
      </c>
      <c r="F42" s="1">
        <v>71</v>
      </c>
      <c r="G42" s="1">
        <v>7</v>
      </c>
      <c r="H42" s="2">
        <v>46185</v>
      </c>
      <c r="I42" s="2">
        <v>46188</v>
      </c>
      <c r="J42" s="1" t="s">
        <v>15</v>
      </c>
      <c r="K42" s="1">
        <v>1041</v>
      </c>
      <c r="L42" s="1" t="str">
        <f t="shared" si="0"/>
        <v>Manoj_Marker</v>
      </c>
    </row>
    <row r="43" spans="1:12" x14ac:dyDescent="0.3">
      <c r="A43" s="1" t="s">
        <v>46</v>
      </c>
      <c r="B43" s="1" t="s">
        <v>33</v>
      </c>
      <c r="C43" s="1" t="s">
        <v>13</v>
      </c>
      <c r="D43" s="1" t="s">
        <v>53</v>
      </c>
      <c r="E43" s="1">
        <v>16</v>
      </c>
      <c r="F43" s="1">
        <v>232</v>
      </c>
      <c r="G43" s="1">
        <v>0</v>
      </c>
      <c r="H43" s="2">
        <v>46081</v>
      </c>
      <c r="I43" s="2">
        <v>46088</v>
      </c>
      <c r="J43" s="1" t="s">
        <v>29</v>
      </c>
      <c r="K43" s="1">
        <v>1042</v>
      </c>
      <c r="L43" s="1" t="str">
        <f t="shared" si="0"/>
        <v>Kiran_Diary</v>
      </c>
    </row>
    <row r="44" spans="1:12" x14ac:dyDescent="0.3">
      <c r="A44" s="1" t="s">
        <v>49</v>
      </c>
      <c r="B44" s="1" t="s">
        <v>38</v>
      </c>
      <c r="C44" s="1" t="s">
        <v>34</v>
      </c>
      <c r="D44" s="1" t="s">
        <v>35</v>
      </c>
      <c r="E44" s="1">
        <v>20</v>
      </c>
      <c r="F44" s="1">
        <v>46093</v>
      </c>
      <c r="G44" s="1">
        <v>5</v>
      </c>
      <c r="H44" s="2">
        <v>46091</v>
      </c>
      <c r="I44" s="2">
        <v>46098</v>
      </c>
      <c r="J44" s="1" t="s">
        <v>29</v>
      </c>
      <c r="K44" s="1">
        <v>1043</v>
      </c>
      <c r="L44" s="1" t="str">
        <f t="shared" si="0"/>
        <v>Ajay_Printer</v>
      </c>
    </row>
    <row r="45" spans="1:12" x14ac:dyDescent="0.3">
      <c r="A45" s="1" t="s">
        <v>48</v>
      </c>
      <c r="B45" s="1" t="s">
        <v>38</v>
      </c>
      <c r="C45" s="1" t="s">
        <v>18</v>
      </c>
      <c r="D45" s="1" t="s">
        <v>19</v>
      </c>
      <c r="E45" s="1">
        <v>4</v>
      </c>
      <c r="F45" s="1">
        <v>14731</v>
      </c>
      <c r="G45" s="1">
        <v>2</v>
      </c>
      <c r="H45" s="2">
        <v>46173</v>
      </c>
      <c r="I45" s="2">
        <v>46176</v>
      </c>
      <c r="J45" s="1" t="s">
        <v>20</v>
      </c>
      <c r="K45" s="1">
        <v>1044</v>
      </c>
      <c r="L45" s="1" t="str">
        <f t="shared" si="0"/>
        <v>Nitin_Desk</v>
      </c>
    </row>
    <row r="46" spans="1:12" x14ac:dyDescent="0.3">
      <c r="A46" s="1" t="s">
        <v>32</v>
      </c>
      <c r="B46" s="1" t="s">
        <v>38</v>
      </c>
      <c r="C46" s="1" t="s">
        <v>34</v>
      </c>
      <c r="D46" s="1" t="s">
        <v>35</v>
      </c>
      <c r="E46" s="1">
        <v>3</v>
      </c>
      <c r="F46" s="1">
        <v>62762</v>
      </c>
      <c r="G46" s="1">
        <v>7</v>
      </c>
      <c r="H46" s="2">
        <v>46038</v>
      </c>
      <c r="I46" s="2">
        <v>46039</v>
      </c>
      <c r="J46" s="1" t="s">
        <v>29</v>
      </c>
      <c r="K46" s="1">
        <v>1045</v>
      </c>
      <c r="L46" s="1" t="str">
        <f t="shared" si="0"/>
        <v>Asha_Printer</v>
      </c>
    </row>
    <row r="47" spans="1:12" x14ac:dyDescent="0.3">
      <c r="A47" s="1" t="s">
        <v>57</v>
      </c>
      <c r="B47" s="1" t="s">
        <v>38</v>
      </c>
      <c r="C47" s="1" t="s">
        <v>34</v>
      </c>
      <c r="D47" s="1" t="s">
        <v>45</v>
      </c>
      <c r="E47" s="1">
        <v>3</v>
      </c>
      <c r="F47" s="1">
        <v>19443</v>
      </c>
      <c r="G47" s="1">
        <v>10</v>
      </c>
      <c r="H47" s="2">
        <v>46153</v>
      </c>
      <c r="I47" s="2">
        <v>46158</v>
      </c>
      <c r="J47" s="1" t="s">
        <v>29</v>
      </c>
      <c r="K47" s="1">
        <v>1046</v>
      </c>
      <c r="L47" s="1" t="str">
        <f t="shared" si="0"/>
        <v>Sara_Monitor</v>
      </c>
    </row>
    <row r="48" spans="1:12" x14ac:dyDescent="0.3">
      <c r="A48" s="1" t="s">
        <v>58</v>
      </c>
      <c r="B48" s="1" t="s">
        <v>38</v>
      </c>
      <c r="C48" s="1" t="s">
        <v>18</v>
      </c>
      <c r="D48" s="1" t="s">
        <v>56</v>
      </c>
      <c r="E48" s="1">
        <v>11</v>
      </c>
      <c r="F48" s="1">
        <v>9976</v>
      </c>
      <c r="G48" s="1">
        <v>12</v>
      </c>
      <c r="H48" s="2">
        <v>46200</v>
      </c>
      <c r="I48" s="2">
        <v>46209</v>
      </c>
      <c r="J48" s="1" t="s">
        <v>15</v>
      </c>
      <c r="K48" s="1">
        <v>1047</v>
      </c>
      <c r="L48" s="1" t="str">
        <f t="shared" si="0"/>
        <v>Rohan_Cabinet</v>
      </c>
    </row>
    <row r="49" spans="1:12" x14ac:dyDescent="0.3">
      <c r="A49" s="1" t="s">
        <v>59</v>
      </c>
      <c r="B49" s="1" t="s">
        <v>25</v>
      </c>
      <c r="C49" s="1" t="s">
        <v>34</v>
      </c>
      <c r="D49" s="1" t="s">
        <v>60</v>
      </c>
      <c r="E49" s="1">
        <v>14</v>
      </c>
      <c r="F49" s="1">
        <v>11762</v>
      </c>
      <c r="G49" s="1">
        <v>7</v>
      </c>
      <c r="H49" s="2">
        <v>46180</v>
      </c>
      <c r="I49" s="2">
        <v>46186</v>
      </c>
      <c r="J49" s="1" t="s">
        <v>24</v>
      </c>
      <c r="K49" s="1">
        <v>1048</v>
      </c>
      <c r="L49" s="1" t="str">
        <f t="shared" si="0"/>
        <v>Anita_Laptop</v>
      </c>
    </row>
    <row r="50" spans="1:12" x14ac:dyDescent="0.3">
      <c r="A50" s="1" t="s">
        <v>52</v>
      </c>
      <c r="B50" s="1" t="s">
        <v>25</v>
      </c>
      <c r="C50" s="1" t="s">
        <v>34</v>
      </c>
      <c r="D50" s="1" t="s">
        <v>45</v>
      </c>
      <c r="E50" s="1">
        <v>2</v>
      </c>
      <c r="F50" s="1">
        <v>40789</v>
      </c>
      <c r="G50" s="1">
        <v>0</v>
      </c>
      <c r="H50" s="2">
        <v>46102</v>
      </c>
      <c r="I50" s="2">
        <v>46108</v>
      </c>
      <c r="J50" s="1" t="s">
        <v>24</v>
      </c>
      <c r="K50" s="1">
        <v>1049</v>
      </c>
      <c r="L50" s="1" t="str">
        <f t="shared" si="0"/>
        <v>Komal_Monitor</v>
      </c>
    </row>
    <row r="51" spans="1:12" x14ac:dyDescent="0.3">
      <c r="A51" s="1" t="s">
        <v>32</v>
      </c>
      <c r="B51" s="1" t="s">
        <v>25</v>
      </c>
      <c r="C51" s="1" t="s">
        <v>13</v>
      </c>
      <c r="D51" s="1" t="s">
        <v>53</v>
      </c>
      <c r="E51" s="1">
        <v>12</v>
      </c>
      <c r="F51" s="1">
        <v>360</v>
      </c>
      <c r="G51" s="1">
        <v>5</v>
      </c>
      <c r="H51" s="2">
        <v>46127</v>
      </c>
      <c r="I51" s="2">
        <v>46137</v>
      </c>
      <c r="J51" s="1" t="s">
        <v>29</v>
      </c>
      <c r="K51" s="1">
        <v>1050</v>
      </c>
      <c r="L51" s="1" t="str">
        <f t="shared" si="0"/>
        <v>Asha_Diary</v>
      </c>
    </row>
    <row r="52" spans="1:12" x14ac:dyDescent="0.3">
      <c r="A52" s="1" t="s">
        <v>58</v>
      </c>
      <c r="B52" s="1" t="s">
        <v>17</v>
      </c>
      <c r="C52" s="1" t="s">
        <v>13</v>
      </c>
      <c r="D52" s="1" t="s">
        <v>36</v>
      </c>
      <c r="E52" s="1">
        <v>12</v>
      </c>
      <c r="F52" s="1">
        <v>47</v>
      </c>
      <c r="G52" s="1">
        <v>2</v>
      </c>
      <c r="H52" s="2">
        <v>46037</v>
      </c>
      <c r="I52" s="2">
        <v>46045</v>
      </c>
      <c r="J52" s="1" t="s">
        <v>15</v>
      </c>
      <c r="K52" s="1">
        <v>1051</v>
      </c>
      <c r="L52" s="1" t="str">
        <f t="shared" si="0"/>
        <v>Rohan_Stapler</v>
      </c>
    </row>
    <row r="53" spans="1:12" x14ac:dyDescent="0.3">
      <c r="A53" s="1" t="s">
        <v>55</v>
      </c>
      <c r="B53" s="1" t="s">
        <v>12</v>
      </c>
      <c r="C53" s="1" t="s">
        <v>13</v>
      </c>
      <c r="D53" s="1" t="s">
        <v>14</v>
      </c>
      <c r="E53" s="1">
        <v>17</v>
      </c>
      <c r="F53" s="1">
        <v>172</v>
      </c>
      <c r="G53" s="1">
        <v>10</v>
      </c>
      <c r="H53" s="2">
        <v>46159</v>
      </c>
      <c r="I53" s="2">
        <v>46165</v>
      </c>
      <c r="J53" s="1" t="s">
        <v>20</v>
      </c>
      <c r="K53" s="1">
        <v>1052</v>
      </c>
      <c r="L53" s="1" t="str">
        <f t="shared" si="0"/>
        <v>Sneha_Notebook</v>
      </c>
    </row>
    <row r="54" spans="1:12" x14ac:dyDescent="0.3">
      <c r="A54" s="1" t="s">
        <v>16</v>
      </c>
      <c r="B54" s="1" t="s">
        <v>33</v>
      </c>
      <c r="C54" s="1" t="s">
        <v>18</v>
      </c>
      <c r="D54" s="1" t="s">
        <v>28</v>
      </c>
      <c r="E54" s="1">
        <v>1</v>
      </c>
      <c r="F54" s="1">
        <v>9749</v>
      </c>
      <c r="G54" s="1">
        <v>15</v>
      </c>
      <c r="H54" s="2">
        <v>46064</v>
      </c>
      <c r="I54" s="2">
        <v>46070</v>
      </c>
      <c r="J54" s="1" t="s">
        <v>24</v>
      </c>
      <c r="K54" s="1">
        <v>1053</v>
      </c>
      <c r="L54" s="1" t="str">
        <f t="shared" si="0"/>
        <v>Pooja_Chair</v>
      </c>
    </row>
    <row r="55" spans="1:12" x14ac:dyDescent="0.3">
      <c r="A55" s="1" t="s">
        <v>26</v>
      </c>
      <c r="B55" s="1" t="s">
        <v>25</v>
      </c>
      <c r="C55" s="1" t="s">
        <v>18</v>
      </c>
      <c r="D55" s="1" t="s">
        <v>23</v>
      </c>
      <c r="E55" s="1">
        <v>8</v>
      </c>
      <c r="F55" s="1">
        <v>9798</v>
      </c>
      <c r="G55" s="1">
        <v>12</v>
      </c>
      <c r="H55" s="2">
        <v>46200</v>
      </c>
      <c r="I55" s="2">
        <v>46201</v>
      </c>
      <c r="J55" s="1" t="s">
        <v>51</v>
      </c>
      <c r="K55" s="1">
        <v>1054</v>
      </c>
      <c r="L55" s="1" t="str">
        <f t="shared" si="0"/>
        <v>Vikram_Table</v>
      </c>
    </row>
    <row r="56" spans="1:12" x14ac:dyDescent="0.3">
      <c r="A56" s="1" t="s">
        <v>48</v>
      </c>
      <c r="B56" s="1" t="s">
        <v>12</v>
      </c>
      <c r="C56" s="1" t="s">
        <v>13</v>
      </c>
      <c r="D56" s="1" t="s">
        <v>37</v>
      </c>
      <c r="E56" s="1">
        <v>18</v>
      </c>
      <c r="F56" s="1">
        <v>185</v>
      </c>
      <c r="G56" s="1">
        <v>15</v>
      </c>
      <c r="H56" s="2">
        <v>46077</v>
      </c>
      <c r="I56" s="2">
        <v>46078</v>
      </c>
      <c r="J56" s="1" t="s">
        <v>15</v>
      </c>
      <c r="K56" s="1">
        <v>1055</v>
      </c>
      <c r="L56" s="1" t="str">
        <f t="shared" si="0"/>
        <v>Nitin_Pen Pack</v>
      </c>
    </row>
    <row r="57" spans="1:12" x14ac:dyDescent="0.3">
      <c r="A57" s="1" t="s">
        <v>11</v>
      </c>
      <c r="B57" s="1" t="s">
        <v>22</v>
      </c>
      <c r="C57" s="1" t="s">
        <v>18</v>
      </c>
      <c r="D57" s="1" t="s">
        <v>19</v>
      </c>
      <c r="E57" s="1">
        <v>3</v>
      </c>
      <c r="F57" s="1">
        <v>9771</v>
      </c>
      <c r="G57" s="1">
        <v>5</v>
      </c>
      <c r="H57" s="2">
        <v>46133</v>
      </c>
      <c r="I57" s="2">
        <v>46139</v>
      </c>
      <c r="J57" s="1" t="s">
        <v>24</v>
      </c>
      <c r="K57" s="1">
        <v>1056</v>
      </c>
      <c r="L57" s="1" t="str">
        <f t="shared" si="0"/>
        <v>Ritesh_Desk</v>
      </c>
    </row>
    <row r="58" spans="1:12" x14ac:dyDescent="0.3">
      <c r="A58" s="1" t="s">
        <v>59</v>
      </c>
      <c r="B58" s="1" t="s">
        <v>22</v>
      </c>
      <c r="C58" s="1" t="s">
        <v>18</v>
      </c>
      <c r="D58" s="1" t="s">
        <v>28</v>
      </c>
      <c r="E58" s="1">
        <v>2</v>
      </c>
      <c r="F58" s="1">
        <v>9531</v>
      </c>
      <c r="G58" s="1">
        <v>15</v>
      </c>
      <c r="H58" s="2">
        <v>46067</v>
      </c>
      <c r="I58" s="2">
        <v>46076</v>
      </c>
      <c r="J58" s="1" t="s">
        <v>51</v>
      </c>
      <c r="K58" s="1">
        <v>1057</v>
      </c>
      <c r="L58" s="1" t="str">
        <f t="shared" si="0"/>
        <v>Anita_Chair</v>
      </c>
    </row>
    <row r="59" spans="1:12" x14ac:dyDescent="0.3">
      <c r="A59" s="1" t="s">
        <v>52</v>
      </c>
      <c r="B59" s="1" t="s">
        <v>38</v>
      </c>
      <c r="C59" s="1" t="s">
        <v>18</v>
      </c>
      <c r="D59" s="1" t="s">
        <v>28</v>
      </c>
      <c r="E59" s="1">
        <v>10</v>
      </c>
      <c r="F59" s="1">
        <v>5532</v>
      </c>
      <c r="G59" s="1">
        <v>7</v>
      </c>
      <c r="H59" s="2">
        <v>46074</v>
      </c>
      <c r="I59" s="2">
        <v>46084</v>
      </c>
      <c r="J59" s="1" t="s">
        <v>24</v>
      </c>
      <c r="K59" s="1">
        <v>1058</v>
      </c>
      <c r="L59" s="1" t="str">
        <f t="shared" si="0"/>
        <v>Komal_Chair</v>
      </c>
    </row>
    <row r="60" spans="1:12" x14ac:dyDescent="0.3">
      <c r="A60" s="1" t="s">
        <v>54</v>
      </c>
      <c r="B60" s="1" t="s">
        <v>25</v>
      </c>
      <c r="C60" s="1" t="s">
        <v>13</v>
      </c>
      <c r="D60" s="1" t="s">
        <v>50</v>
      </c>
      <c r="E60" s="1">
        <v>20</v>
      </c>
      <c r="F60" s="1">
        <v>112</v>
      </c>
      <c r="G60" s="1">
        <v>10</v>
      </c>
      <c r="H60" s="2">
        <v>46113</v>
      </c>
      <c r="I60" s="2">
        <v>46122</v>
      </c>
      <c r="J60" s="1" t="s">
        <v>51</v>
      </c>
      <c r="K60" s="1">
        <v>1059</v>
      </c>
      <c r="L60" s="1" t="str">
        <f t="shared" si="0"/>
        <v>Manoj_Marker</v>
      </c>
    </row>
    <row r="61" spans="1:12" x14ac:dyDescent="0.3">
      <c r="A61" s="1" t="s">
        <v>49</v>
      </c>
      <c r="B61" s="1" t="s">
        <v>12</v>
      </c>
      <c r="C61" s="1" t="s">
        <v>18</v>
      </c>
      <c r="D61" s="1" t="s">
        <v>44</v>
      </c>
      <c r="E61" s="1">
        <v>9</v>
      </c>
      <c r="F61" s="1">
        <v>9727</v>
      </c>
      <c r="G61" s="1">
        <v>2</v>
      </c>
      <c r="H61" s="2">
        <v>46024</v>
      </c>
      <c r="I61" s="2">
        <v>46030</v>
      </c>
      <c r="J61" s="1" t="s">
        <v>20</v>
      </c>
      <c r="K61" s="1">
        <v>1060</v>
      </c>
      <c r="L61" s="1" t="str">
        <f t="shared" si="0"/>
        <v>Ajay_Bookshelf</v>
      </c>
    </row>
    <row r="62" spans="1:12" x14ac:dyDescent="0.3">
      <c r="A62" s="1" t="s">
        <v>57</v>
      </c>
      <c r="B62" s="1" t="s">
        <v>12</v>
      </c>
      <c r="C62" s="1" t="s">
        <v>34</v>
      </c>
      <c r="D62" s="1" t="s">
        <v>41</v>
      </c>
      <c r="E62" s="1">
        <v>16</v>
      </c>
      <c r="F62" s="1">
        <v>59084</v>
      </c>
      <c r="G62" s="1">
        <v>0</v>
      </c>
      <c r="H62" s="2">
        <v>46060</v>
      </c>
      <c r="I62" s="2">
        <v>46069</v>
      </c>
      <c r="J62" s="1" t="s">
        <v>20</v>
      </c>
      <c r="K62" s="1">
        <v>1061</v>
      </c>
      <c r="L62" s="1" t="str">
        <f t="shared" si="0"/>
        <v>Sara_Headset</v>
      </c>
    </row>
    <row r="63" spans="1:12" x14ac:dyDescent="0.3">
      <c r="A63" s="1" t="s">
        <v>40</v>
      </c>
      <c r="B63" s="1" t="s">
        <v>43</v>
      </c>
      <c r="C63" s="1" t="s">
        <v>18</v>
      </c>
      <c r="D63" s="1" t="s">
        <v>23</v>
      </c>
      <c r="E63" s="1">
        <v>8</v>
      </c>
      <c r="F63" s="1">
        <v>8360</v>
      </c>
      <c r="G63" s="1">
        <v>2</v>
      </c>
      <c r="H63" s="2">
        <v>46190</v>
      </c>
      <c r="I63" s="2">
        <v>46200</v>
      </c>
      <c r="J63" s="1" t="s">
        <v>51</v>
      </c>
      <c r="K63" s="1">
        <v>1062</v>
      </c>
      <c r="L63" s="1" t="str">
        <f t="shared" si="0"/>
        <v>Deepak_Table</v>
      </c>
    </row>
    <row r="64" spans="1:12" x14ac:dyDescent="0.3">
      <c r="A64" s="1" t="s">
        <v>54</v>
      </c>
      <c r="B64" s="1" t="s">
        <v>22</v>
      </c>
      <c r="C64" s="1" t="s">
        <v>34</v>
      </c>
      <c r="D64" s="1" t="s">
        <v>45</v>
      </c>
      <c r="E64" s="1">
        <v>7</v>
      </c>
      <c r="F64" s="1">
        <v>66744</v>
      </c>
      <c r="G64" s="1">
        <v>7</v>
      </c>
      <c r="H64" s="2">
        <v>46148</v>
      </c>
      <c r="I64" s="2">
        <v>46155</v>
      </c>
      <c r="J64" s="1" t="s">
        <v>15</v>
      </c>
      <c r="K64" s="1">
        <v>1063</v>
      </c>
      <c r="L64" s="1" t="str">
        <f t="shared" si="0"/>
        <v>Manoj_Monitor</v>
      </c>
    </row>
    <row r="65" spans="1:12" x14ac:dyDescent="0.3">
      <c r="A65" s="1" t="s">
        <v>26</v>
      </c>
      <c r="B65" s="1" t="s">
        <v>17</v>
      </c>
      <c r="C65" s="1" t="s">
        <v>13</v>
      </c>
      <c r="D65" s="1" t="s">
        <v>50</v>
      </c>
      <c r="E65" s="1">
        <v>20</v>
      </c>
      <c r="F65" s="1">
        <v>191</v>
      </c>
      <c r="G65" s="1">
        <v>7</v>
      </c>
      <c r="H65" s="2">
        <v>46185</v>
      </c>
      <c r="I65" s="2">
        <v>46195</v>
      </c>
      <c r="J65" s="1" t="s">
        <v>29</v>
      </c>
      <c r="K65" s="1">
        <v>1064</v>
      </c>
      <c r="L65" s="1" t="str">
        <f t="shared" si="0"/>
        <v>Vikram_Marker</v>
      </c>
    </row>
    <row r="66" spans="1:12" x14ac:dyDescent="0.3">
      <c r="A66" s="1" t="s">
        <v>42</v>
      </c>
      <c r="B66" s="1" t="s">
        <v>43</v>
      </c>
      <c r="C66" s="1" t="s">
        <v>18</v>
      </c>
      <c r="D66" s="1" t="s">
        <v>44</v>
      </c>
      <c r="E66" s="1">
        <v>1</v>
      </c>
      <c r="F66" s="1">
        <v>7730</v>
      </c>
      <c r="G66" s="1">
        <v>5</v>
      </c>
      <c r="H66" s="2">
        <v>46192</v>
      </c>
      <c r="I66" s="2">
        <v>46195</v>
      </c>
      <c r="J66" s="1" t="s">
        <v>51</v>
      </c>
      <c r="K66" s="1">
        <v>1065</v>
      </c>
      <c r="L66" s="1" t="str">
        <f t="shared" si="0"/>
        <v>Nisha_Bookshelf</v>
      </c>
    </row>
    <row r="67" spans="1:12" x14ac:dyDescent="0.3">
      <c r="A67" s="1" t="s">
        <v>47</v>
      </c>
      <c r="B67" s="1" t="s">
        <v>25</v>
      </c>
      <c r="C67" s="1" t="s">
        <v>18</v>
      </c>
      <c r="D67" s="1" t="s">
        <v>44</v>
      </c>
      <c r="E67" s="1">
        <v>15</v>
      </c>
      <c r="F67" s="1">
        <v>11987</v>
      </c>
      <c r="G67" s="1">
        <v>5</v>
      </c>
      <c r="H67" s="2">
        <v>46082</v>
      </c>
      <c r="I67" s="2">
        <v>46083</v>
      </c>
      <c r="J67" s="1" t="s">
        <v>15</v>
      </c>
      <c r="K67" s="1">
        <v>1066</v>
      </c>
      <c r="L67" s="1" t="str">
        <f t="shared" si="0"/>
        <v>Yash_Bookshelf</v>
      </c>
    </row>
    <row r="68" spans="1:12" x14ac:dyDescent="0.3">
      <c r="A68" s="1" t="s">
        <v>32</v>
      </c>
      <c r="B68" s="1" t="s">
        <v>43</v>
      </c>
      <c r="C68" s="1" t="s">
        <v>18</v>
      </c>
      <c r="D68" s="1" t="s">
        <v>56</v>
      </c>
      <c r="E68" s="1">
        <v>14</v>
      </c>
      <c r="F68" s="1">
        <v>10869</v>
      </c>
      <c r="G68" s="1">
        <v>0</v>
      </c>
      <c r="H68" s="2">
        <v>46058</v>
      </c>
      <c r="I68" s="2">
        <v>46062</v>
      </c>
      <c r="J68" s="1" t="s">
        <v>29</v>
      </c>
      <c r="K68" s="1">
        <v>1067</v>
      </c>
      <c r="L68" s="1" t="str">
        <f t="shared" si="0"/>
        <v>Asha_Cabinet</v>
      </c>
    </row>
    <row r="69" spans="1:12" x14ac:dyDescent="0.3">
      <c r="A69" s="1" t="s">
        <v>52</v>
      </c>
      <c r="B69" s="1" t="s">
        <v>43</v>
      </c>
      <c r="C69" s="1" t="s">
        <v>34</v>
      </c>
      <c r="D69" s="1" t="s">
        <v>60</v>
      </c>
      <c r="E69" s="1">
        <v>15</v>
      </c>
      <c r="F69" s="1">
        <v>14534</v>
      </c>
      <c r="G69" s="1">
        <v>5</v>
      </c>
      <c r="H69" s="2">
        <v>46196</v>
      </c>
      <c r="I69" s="2">
        <v>46199</v>
      </c>
      <c r="J69" s="1" t="s">
        <v>29</v>
      </c>
      <c r="K69" s="1">
        <v>1068</v>
      </c>
      <c r="L69" s="1" t="str">
        <f t="shared" si="0"/>
        <v>Komal_Laptop</v>
      </c>
    </row>
    <row r="70" spans="1:12" x14ac:dyDescent="0.3">
      <c r="A70" s="1" t="s">
        <v>52</v>
      </c>
      <c r="B70" s="1" t="s">
        <v>31</v>
      </c>
      <c r="C70" s="1" t="s">
        <v>18</v>
      </c>
      <c r="D70" s="1" t="s">
        <v>28</v>
      </c>
      <c r="E70" s="1">
        <v>9</v>
      </c>
      <c r="F70" s="1">
        <v>4415</v>
      </c>
      <c r="G70" s="1">
        <v>5</v>
      </c>
      <c r="H70" s="2">
        <v>46039</v>
      </c>
      <c r="I70" s="2">
        <v>46046</v>
      </c>
      <c r="J70" s="1" t="s">
        <v>15</v>
      </c>
      <c r="K70" s="1">
        <v>1069</v>
      </c>
      <c r="L70" s="1" t="str">
        <f t="shared" si="0"/>
        <v>Komal_Chair</v>
      </c>
    </row>
    <row r="71" spans="1:12" x14ac:dyDescent="0.3">
      <c r="A71" s="1" t="s">
        <v>52</v>
      </c>
      <c r="B71" s="1" t="s">
        <v>43</v>
      </c>
      <c r="C71" s="1" t="s">
        <v>13</v>
      </c>
      <c r="D71" s="1" t="s">
        <v>36</v>
      </c>
      <c r="E71" s="1">
        <v>10</v>
      </c>
      <c r="F71" s="1">
        <v>233</v>
      </c>
      <c r="G71" s="1">
        <v>7</v>
      </c>
      <c r="H71" s="2">
        <v>46076</v>
      </c>
      <c r="I71" s="2">
        <v>46077</v>
      </c>
      <c r="J71" s="1" t="s">
        <v>29</v>
      </c>
      <c r="K71" s="1">
        <v>1070</v>
      </c>
      <c r="L71" s="1" t="str">
        <f t="shared" si="0"/>
        <v>Komal_Stapler</v>
      </c>
    </row>
    <row r="72" spans="1:12" x14ac:dyDescent="0.3">
      <c r="A72" s="1" t="s">
        <v>59</v>
      </c>
      <c r="B72" s="1" t="s">
        <v>22</v>
      </c>
      <c r="C72" s="1" t="s">
        <v>34</v>
      </c>
      <c r="D72" s="1" t="s">
        <v>61</v>
      </c>
      <c r="E72" s="1">
        <v>18</v>
      </c>
      <c r="F72" s="1">
        <v>32197</v>
      </c>
      <c r="G72" s="1">
        <v>5</v>
      </c>
      <c r="H72" s="2">
        <v>46129</v>
      </c>
      <c r="I72" s="2">
        <v>46137</v>
      </c>
      <c r="J72" s="1" t="s">
        <v>20</v>
      </c>
      <c r="K72" s="1">
        <v>1071</v>
      </c>
      <c r="L72" s="1" t="str">
        <f t="shared" si="0"/>
        <v>Anita_Mouse</v>
      </c>
    </row>
    <row r="73" spans="1:12" x14ac:dyDescent="0.3">
      <c r="A73" s="1" t="s">
        <v>16</v>
      </c>
      <c r="B73" s="1" t="s">
        <v>25</v>
      </c>
      <c r="C73" s="1" t="s">
        <v>34</v>
      </c>
      <c r="D73" s="1" t="s">
        <v>61</v>
      </c>
      <c r="E73" s="1">
        <v>20</v>
      </c>
      <c r="F73" s="1">
        <v>58779</v>
      </c>
      <c r="G73" s="1">
        <v>0</v>
      </c>
      <c r="H73" s="2">
        <v>46035</v>
      </c>
      <c r="I73" s="2">
        <v>46036</v>
      </c>
      <c r="J73" s="1" t="s">
        <v>24</v>
      </c>
      <c r="K73" s="1">
        <v>1072</v>
      </c>
      <c r="L73" s="1" t="str">
        <f t="shared" si="0"/>
        <v>Pooja_Mouse</v>
      </c>
    </row>
    <row r="74" spans="1:12" x14ac:dyDescent="0.3">
      <c r="A74" s="1" t="s">
        <v>58</v>
      </c>
      <c r="B74" s="1" t="s">
        <v>17</v>
      </c>
      <c r="C74" s="1" t="s">
        <v>18</v>
      </c>
      <c r="D74" s="1" t="s">
        <v>56</v>
      </c>
      <c r="E74" s="1">
        <v>4</v>
      </c>
      <c r="F74" s="1">
        <v>2453</v>
      </c>
      <c r="G74" s="1">
        <v>7</v>
      </c>
      <c r="H74" s="2">
        <v>46126</v>
      </c>
      <c r="I74" s="2">
        <v>46129</v>
      </c>
      <c r="J74" s="1" t="s">
        <v>51</v>
      </c>
      <c r="K74" s="1">
        <v>1073</v>
      </c>
      <c r="L74" s="1" t="str">
        <f t="shared" si="0"/>
        <v>Rohan_Cabinet</v>
      </c>
    </row>
    <row r="75" spans="1:12" x14ac:dyDescent="0.3">
      <c r="A75" s="1" t="s">
        <v>26</v>
      </c>
      <c r="B75" s="1" t="s">
        <v>31</v>
      </c>
      <c r="C75" s="1" t="s">
        <v>13</v>
      </c>
      <c r="D75" s="1" t="s">
        <v>50</v>
      </c>
      <c r="E75" s="1">
        <v>11</v>
      </c>
      <c r="F75" s="1">
        <v>390</v>
      </c>
      <c r="G75" s="1">
        <v>15</v>
      </c>
      <c r="H75" s="2">
        <v>46114</v>
      </c>
      <c r="I75" s="2">
        <v>46123</v>
      </c>
      <c r="J75" s="1" t="s">
        <v>29</v>
      </c>
      <c r="K75" s="1">
        <v>1074</v>
      </c>
      <c r="L75" s="1" t="str">
        <f t="shared" si="0"/>
        <v>Vikram_Marker</v>
      </c>
    </row>
    <row r="76" spans="1:12" x14ac:dyDescent="0.3">
      <c r="A76" s="1" t="s">
        <v>42</v>
      </c>
      <c r="B76" s="1" t="s">
        <v>43</v>
      </c>
      <c r="C76" s="1" t="s">
        <v>34</v>
      </c>
      <c r="D76" s="1" t="s">
        <v>61</v>
      </c>
      <c r="E76" s="1">
        <v>4</v>
      </c>
      <c r="F76" s="1">
        <v>64773</v>
      </c>
      <c r="G76" s="1">
        <v>10</v>
      </c>
      <c r="H76" s="2">
        <v>46185</v>
      </c>
      <c r="I76" s="2">
        <v>46186</v>
      </c>
      <c r="J76" s="1" t="s">
        <v>51</v>
      </c>
      <c r="K76" s="1">
        <v>1075</v>
      </c>
      <c r="L76" s="1" t="str">
        <f t="shared" si="0"/>
        <v>Nisha_Mouse</v>
      </c>
    </row>
    <row r="77" spans="1:12" x14ac:dyDescent="0.3">
      <c r="A77" s="1" t="s">
        <v>29</v>
      </c>
      <c r="B77" s="1" t="s">
        <v>17</v>
      </c>
      <c r="C77" s="1" t="s">
        <v>34</v>
      </c>
      <c r="D77" s="1" t="s">
        <v>35</v>
      </c>
      <c r="E77" s="1">
        <v>19</v>
      </c>
      <c r="F77" s="1">
        <v>26714</v>
      </c>
      <c r="G77" s="1">
        <v>5</v>
      </c>
      <c r="H77" s="2">
        <v>46045</v>
      </c>
      <c r="I77" s="2">
        <v>46055</v>
      </c>
      <c r="J77" s="1" t="s">
        <v>29</v>
      </c>
      <c r="K77" s="1">
        <v>1076</v>
      </c>
      <c r="L77" s="1" t="str">
        <f t="shared" si="0"/>
        <v>Priya_Printer</v>
      </c>
    </row>
    <row r="78" spans="1:12" x14ac:dyDescent="0.3">
      <c r="A78" s="1" t="s">
        <v>55</v>
      </c>
      <c r="B78" s="1" t="s">
        <v>25</v>
      </c>
      <c r="C78" s="1" t="s">
        <v>13</v>
      </c>
      <c r="D78" s="1" t="s">
        <v>14</v>
      </c>
      <c r="E78" s="1">
        <v>1</v>
      </c>
      <c r="F78" s="1">
        <v>123</v>
      </c>
      <c r="G78" s="1">
        <v>10</v>
      </c>
      <c r="H78" s="2">
        <v>46113</v>
      </c>
      <c r="I78" s="2">
        <v>46121</v>
      </c>
      <c r="J78" s="1" t="s">
        <v>51</v>
      </c>
      <c r="K78" s="1">
        <v>1077</v>
      </c>
      <c r="L78" s="1" t="str">
        <f t="shared" si="0"/>
        <v>Sneha_Notebook</v>
      </c>
    </row>
    <row r="79" spans="1:12" x14ac:dyDescent="0.3">
      <c r="A79" s="1" t="s">
        <v>52</v>
      </c>
      <c r="B79" s="1" t="s">
        <v>17</v>
      </c>
      <c r="C79" s="1" t="s">
        <v>34</v>
      </c>
      <c r="D79" s="1" t="s">
        <v>39</v>
      </c>
      <c r="E79" s="1">
        <v>11</v>
      </c>
      <c r="F79" s="1">
        <v>24278</v>
      </c>
      <c r="G79" s="1">
        <v>12</v>
      </c>
      <c r="H79" s="2">
        <v>46084</v>
      </c>
      <c r="I79" s="2">
        <v>46090</v>
      </c>
      <c r="J79" s="1" t="s">
        <v>29</v>
      </c>
      <c r="K79" s="1">
        <v>1078</v>
      </c>
      <c r="L79" s="1" t="str">
        <f t="shared" si="0"/>
        <v>Komal_Keyboard</v>
      </c>
    </row>
    <row r="80" spans="1:12" x14ac:dyDescent="0.3">
      <c r="A80" s="1" t="s">
        <v>26</v>
      </c>
      <c r="B80" s="1" t="s">
        <v>38</v>
      </c>
      <c r="C80" s="1" t="s">
        <v>34</v>
      </c>
      <c r="D80" s="1" t="s">
        <v>41</v>
      </c>
      <c r="E80" s="1">
        <v>19</v>
      </c>
      <c r="F80" s="1">
        <v>48956</v>
      </c>
      <c r="G80" s="1">
        <v>12</v>
      </c>
      <c r="H80" s="2">
        <v>46170</v>
      </c>
      <c r="I80" s="2">
        <v>46177</v>
      </c>
      <c r="J80" s="1" t="s">
        <v>51</v>
      </c>
      <c r="K80" s="1">
        <v>1079</v>
      </c>
      <c r="L80" s="1" t="str">
        <f t="shared" si="0"/>
        <v>Vikram_Headset</v>
      </c>
    </row>
    <row r="81" spans="1:12" x14ac:dyDescent="0.3">
      <c r="A81" s="1" t="s">
        <v>21</v>
      </c>
      <c r="B81" s="1" t="s">
        <v>22</v>
      </c>
      <c r="C81" s="1" t="s">
        <v>34</v>
      </c>
      <c r="D81" s="1" t="s">
        <v>41</v>
      </c>
      <c r="E81" s="1">
        <v>12</v>
      </c>
      <c r="F81" s="1">
        <v>54161</v>
      </c>
      <c r="G81" s="1">
        <v>15</v>
      </c>
      <c r="H81" s="2">
        <v>46133</v>
      </c>
      <c r="I81" s="2">
        <v>46143</v>
      </c>
      <c r="J81" s="1" t="s">
        <v>24</v>
      </c>
      <c r="K81" s="1">
        <v>1080</v>
      </c>
      <c r="L81" s="1" t="str">
        <f t="shared" si="0"/>
        <v>Meera_Headset</v>
      </c>
    </row>
    <row r="82" spans="1:12" x14ac:dyDescent="0.3">
      <c r="A82" s="1" t="s">
        <v>47</v>
      </c>
      <c r="B82" s="1" t="s">
        <v>12</v>
      </c>
      <c r="C82" s="1" t="s">
        <v>34</v>
      </c>
      <c r="D82" s="1" t="s">
        <v>35</v>
      </c>
      <c r="E82" s="1">
        <v>15</v>
      </c>
      <c r="F82" s="1">
        <v>59912</v>
      </c>
      <c r="G82" s="1">
        <v>7</v>
      </c>
      <c r="H82" s="2">
        <v>46058</v>
      </c>
      <c r="I82" s="2">
        <v>46060</v>
      </c>
      <c r="J82" s="1" t="s">
        <v>51</v>
      </c>
      <c r="K82" s="1">
        <v>1081</v>
      </c>
      <c r="L82" s="1" t="str">
        <f t="shared" si="0"/>
        <v>Yash_Printer</v>
      </c>
    </row>
    <row r="83" spans="1:12" x14ac:dyDescent="0.3">
      <c r="A83" s="1" t="s">
        <v>21</v>
      </c>
      <c r="B83" s="1" t="s">
        <v>12</v>
      </c>
      <c r="C83" s="1" t="s">
        <v>13</v>
      </c>
      <c r="D83" s="1" t="s">
        <v>14</v>
      </c>
      <c r="E83" s="1">
        <v>7</v>
      </c>
      <c r="F83" s="1">
        <v>133</v>
      </c>
      <c r="G83" s="1">
        <v>10</v>
      </c>
      <c r="H83" s="2">
        <v>46075</v>
      </c>
      <c r="I83" s="2">
        <v>46085</v>
      </c>
      <c r="J83" s="1" t="s">
        <v>51</v>
      </c>
      <c r="K83" s="1">
        <v>1082</v>
      </c>
      <c r="L83" s="1" t="str">
        <f t="shared" si="0"/>
        <v>Meera_Notebook</v>
      </c>
    </row>
    <row r="84" spans="1:12" x14ac:dyDescent="0.3">
      <c r="A84" s="1" t="s">
        <v>55</v>
      </c>
      <c r="B84" s="1" t="s">
        <v>33</v>
      </c>
      <c r="C84" s="1" t="s">
        <v>13</v>
      </c>
      <c r="D84" s="1" t="s">
        <v>53</v>
      </c>
      <c r="E84" s="1">
        <v>4</v>
      </c>
      <c r="F84" s="1">
        <v>397</v>
      </c>
      <c r="G84" s="1">
        <v>7</v>
      </c>
      <c r="H84" s="2">
        <v>46185</v>
      </c>
      <c r="I84" s="2">
        <v>46193</v>
      </c>
      <c r="J84" s="1" t="s">
        <v>15</v>
      </c>
      <c r="K84" s="1">
        <v>1083</v>
      </c>
      <c r="L84" s="1" t="str">
        <f t="shared" si="0"/>
        <v>Sneha_Diary</v>
      </c>
    </row>
    <row r="85" spans="1:12" x14ac:dyDescent="0.3">
      <c r="A85" s="1" t="s">
        <v>49</v>
      </c>
      <c r="B85" s="1" t="s">
        <v>31</v>
      </c>
      <c r="C85" s="1" t="s">
        <v>18</v>
      </c>
      <c r="D85" s="1" t="s">
        <v>28</v>
      </c>
      <c r="E85" s="1">
        <v>4</v>
      </c>
      <c r="F85" s="1">
        <v>6901</v>
      </c>
      <c r="G85" s="1">
        <v>10</v>
      </c>
      <c r="H85" s="2">
        <v>46047</v>
      </c>
      <c r="I85" s="2">
        <v>46057</v>
      </c>
      <c r="J85" s="1" t="s">
        <v>20</v>
      </c>
      <c r="K85" s="1">
        <v>1084</v>
      </c>
      <c r="L85" s="1" t="str">
        <f t="shared" si="0"/>
        <v>Ajay_Chair</v>
      </c>
    </row>
    <row r="86" spans="1:12" x14ac:dyDescent="0.3">
      <c r="A86" s="1" t="s">
        <v>32</v>
      </c>
      <c r="B86" s="1" t="s">
        <v>38</v>
      </c>
      <c r="C86" s="1" t="s">
        <v>34</v>
      </c>
      <c r="D86" s="1" t="s">
        <v>60</v>
      </c>
      <c r="E86" s="1">
        <v>19</v>
      </c>
      <c r="F86" s="1">
        <v>45307</v>
      </c>
      <c r="G86" s="1">
        <v>12</v>
      </c>
      <c r="H86" s="2">
        <v>46146</v>
      </c>
      <c r="I86" s="2">
        <v>46150</v>
      </c>
      <c r="J86" s="1" t="s">
        <v>24</v>
      </c>
      <c r="K86" s="1">
        <v>1085</v>
      </c>
      <c r="L86" s="1" t="str">
        <f t="shared" si="0"/>
        <v>Asha_Laptop</v>
      </c>
    </row>
    <row r="87" spans="1:12" x14ac:dyDescent="0.3">
      <c r="A87" s="1" t="s">
        <v>32</v>
      </c>
      <c r="B87" s="1" t="s">
        <v>12</v>
      </c>
      <c r="C87" s="1" t="s">
        <v>13</v>
      </c>
      <c r="D87" s="1" t="s">
        <v>53</v>
      </c>
      <c r="E87" s="1">
        <v>15</v>
      </c>
      <c r="F87" s="1">
        <v>40</v>
      </c>
      <c r="G87" s="1">
        <v>10</v>
      </c>
      <c r="H87" s="2">
        <v>46045</v>
      </c>
      <c r="I87" s="2">
        <v>46049</v>
      </c>
      <c r="J87" s="1" t="s">
        <v>24</v>
      </c>
      <c r="K87" s="1">
        <v>1086</v>
      </c>
      <c r="L87" s="1" t="str">
        <f t="shared" si="0"/>
        <v>Asha_Diary</v>
      </c>
    </row>
    <row r="88" spans="1:12" x14ac:dyDescent="0.3">
      <c r="A88" s="1" t="s">
        <v>11</v>
      </c>
      <c r="B88" s="1" t="s">
        <v>31</v>
      </c>
      <c r="C88" s="1" t="s">
        <v>13</v>
      </c>
      <c r="D88" s="1" t="s">
        <v>37</v>
      </c>
      <c r="E88" s="1">
        <v>13</v>
      </c>
      <c r="F88" s="1">
        <v>387</v>
      </c>
      <c r="G88" s="1">
        <v>7</v>
      </c>
      <c r="H88" s="2">
        <v>46171</v>
      </c>
      <c r="I88" s="2">
        <v>46176</v>
      </c>
      <c r="J88" s="1" t="s">
        <v>24</v>
      </c>
      <c r="K88" s="1">
        <v>1087</v>
      </c>
      <c r="L88" s="1" t="str">
        <f t="shared" si="0"/>
        <v>Ritesh_Pen Pack</v>
      </c>
    </row>
    <row r="89" spans="1:12" x14ac:dyDescent="0.3">
      <c r="A89" s="1" t="s">
        <v>40</v>
      </c>
      <c r="B89" s="1" t="s">
        <v>33</v>
      </c>
      <c r="C89" s="1" t="s">
        <v>34</v>
      </c>
      <c r="D89" s="1" t="s">
        <v>41</v>
      </c>
      <c r="E89" s="1">
        <v>20</v>
      </c>
      <c r="F89" s="1">
        <v>41165</v>
      </c>
      <c r="G89" s="1">
        <v>0</v>
      </c>
      <c r="H89" s="2">
        <v>46068</v>
      </c>
      <c r="I89" s="2">
        <v>46069</v>
      </c>
      <c r="J89" s="1" t="s">
        <v>20</v>
      </c>
      <c r="K89" s="1">
        <v>1088</v>
      </c>
      <c r="L89" s="1" t="str">
        <f t="shared" si="0"/>
        <v>Deepak_Headset</v>
      </c>
    </row>
    <row r="90" spans="1:12" x14ac:dyDescent="0.3">
      <c r="A90" s="1" t="s">
        <v>46</v>
      </c>
      <c r="B90" s="1" t="s">
        <v>12</v>
      </c>
      <c r="C90" s="1" t="s">
        <v>34</v>
      </c>
      <c r="D90" s="1" t="s">
        <v>35</v>
      </c>
      <c r="E90" s="1">
        <v>10</v>
      </c>
      <c r="F90" s="1">
        <v>17041</v>
      </c>
      <c r="G90" s="1">
        <v>2</v>
      </c>
      <c r="H90" s="2">
        <v>46066</v>
      </c>
      <c r="I90" s="2">
        <v>46071</v>
      </c>
      <c r="J90" s="1" t="s">
        <v>24</v>
      </c>
      <c r="K90" s="1">
        <v>1089</v>
      </c>
      <c r="L90" s="1" t="str">
        <f t="shared" si="0"/>
        <v>Kiran_Printer</v>
      </c>
    </row>
    <row r="91" spans="1:12" x14ac:dyDescent="0.3">
      <c r="A91" s="1" t="s">
        <v>49</v>
      </c>
      <c r="B91" s="1" t="s">
        <v>31</v>
      </c>
      <c r="C91" s="1" t="s">
        <v>34</v>
      </c>
      <c r="D91" s="1" t="s">
        <v>45</v>
      </c>
      <c r="E91" s="1">
        <v>19</v>
      </c>
      <c r="F91" s="1">
        <v>66139</v>
      </c>
      <c r="G91" s="1">
        <v>5</v>
      </c>
      <c r="H91" s="2">
        <v>46088</v>
      </c>
      <c r="I91" s="2">
        <v>46095</v>
      </c>
      <c r="J91" s="1" t="s">
        <v>24</v>
      </c>
      <c r="K91" s="1">
        <v>1090</v>
      </c>
      <c r="L91" s="1" t="str">
        <f t="shared" si="0"/>
        <v>Ajay_Monitor</v>
      </c>
    </row>
    <row r="92" spans="1:12" x14ac:dyDescent="0.3">
      <c r="A92" s="1" t="s">
        <v>55</v>
      </c>
      <c r="B92" s="1" t="s">
        <v>17</v>
      </c>
      <c r="C92" s="1" t="s">
        <v>13</v>
      </c>
      <c r="D92" s="1" t="s">
        <v>53</v>
      </c>
      <c r="E92" s="1">
        <v>2</v>
      </c>
      <c r="F92" s="1">
        <v>305</v>
      </c>
      <c r="G92" s="1">
        <v>0</v>
      </c>
      <c r="H92" s="2">
        <v>46136</v>
      </c>
      <c r="I92" s="2">
        <v>46144</v>
      </c>
      <c r="J92" s="1" t="s">
        <v>15</v>
      </c>
      <c r="K92" s="1">
        <v>1091</v>
      </c>
      <c r="L92" s="1" t="str">
        <f t="shared" si="0"/>
        <v>Sneha_Diary</v>
      </c>
    </row>
    <row r="93" spans="1:12" x14ac:dyDescent="0.3">
      <c r="A93" s="1" t="s">
        <v>21</v>
      </c>
      <c r="B93" s="1" t="s">
        <v>22</v>
      </c>
      <c r="C93" s="1" t="s">
        <v>34</v>
      </c>
      <c r="D93" s="1" t="s">
        <v>41</v>
      </c>
      <c r="E93" s="1">
        <v>9</v>
      </c>
      <c r="F93" s="1">
        <v>23438</v>
      </c>
      <c r="G93" s="1">
        <v>2</v>
      </c>
      <c r="H93" s="2">
        <v>46049</v>
      </c>
      <c r="I93" s="2">
        <v>46055</v>
      </c>
      <c r="J93" s="1" t="s">
        <v>29</v>
      </c>
      <c r="K93" s="1">
        <v>1092</v>
      </c>
      <c r="L93" s="1" t="str">
        <f t="shared" si="0"/>
        <v>Meera_Headset</v>
      </c>
    </row>
    <row r="94" spans="1:12" x14ac:dyDescent="0.3">
      <c r="A94" s="1" t="s">
        <v>47</v>
      </c>
      <c r="B94" s="1" t="s">
        <v>25</v>
      </c>
      <c r="C94" s="1" t="s">
        <v>18</v>
      </c>
      <c r="D94" s="1" t="s">
        <v>23</v>
      </c>
      <c r="E94" s="1">
        <v>6</v>
      </c>
      <c r="F94" s="1">
        <v>8224</v>
      </c>
      <c r="G94" s="1">
        <v>15</v>
      </c>
      <c r="H94" s="2">
        <v>46175</v>
      </c>
      <c r="I94" s="2">
        <v>46185</v>
      </c>
      <c r="J94" s="1" t="s">
        <v>51</v>
      </c>
      <c r="K94" s="1">
        <v>1093</v>
      </c>
      <c r="L94" s="1" t="str">
        <f t="shared" si="0"/>
        <v>Yash_Table</v>
      </c>
    </row>
    <row r="95" spans="1:12" x14ac:dyDescent="0.3">
      <c r="A95" s="1" t="s">
        <v>47</v>
      </c>
      <c r="B95" s="1" t="s">
        <v>43</v>
      </c>
      <c r="C95" s="1" t="s">
        <v>34</v>
      </c>
      <c r="D95" s="1" t="s">
        <v>61</v>
      </c>
      <c r="E95" s="1">
        <v>4</v>
      </c>
      <c r="F95" s="1">
        <v>7073</v>
      </c>
      <c r="G95" s="1">
        <v>0</v>
      </c>
      <c r="H95" s="2">
        <v>46101</v>
      </c>
      <c r="I95" s="2">
        <v>46105</v>
      </c>
      <c r="J95" s="1" t="s">
        <v>29</v>
      </c>
      <c r="K95" s="1">
        <v>1094</v>
      </c>
      <c r="L95" s="1" t="str">
        <f t="shared" si="0"/>
        <v>Yash_Mouse</v>
      </c>
    </row>
    <row r="96" spans="1:12" x14ac:dyDescent="0.3">
      <c r="A96" s="1" t="s">
        <v>47</v>
      </c>
      <c r="B96" s="1" t="s">
        <v>25</v>
      </c>
      <c r="C96" s="1" t="s">
        <v>34</v>
      </c>
      <c r="D96" s="1" t="s">
        <v>41</v>
      </c>
      <c r="E96" s="1">
        <v>18</v>
      </c>
      <c r="F96" s="1">
        <v>587</v>
      </c>
      <c r="G96" s="1">
        <v>2</v>
      </c>
      <c r="H96" s="2">
        <v>46167</v>
      </c>
      <c r="I96" s="2">
        <v>46171</v>
      </c>
      <c r="J96" s="1" t="s">
        <v>20</v>
      </c>
      <c r="K96" s="1">
        <v>1095</v>
      </c>
      <c r="L96" s="1" t="str">
        <f t="shared" si="0"/>
        <v>Yash_Headset</v>
      </c>
    </row>
    <row r="97" spans="1:12" x14ac:dyDescent="0.3">
      <c r="A97" s="1" t="s">
        <v>49</v>
      </c>
      <c r="B97" s="1" t="s">
        <v>17</v>
      </c>
      <c r="C97" s="1" t="s">
        <v>18</v>
      </c>
      <c r="D97" s="1" t="s">
        <v>23</v>
      </c>
      <c r="E97" s="1">
        <v>15</v>
      </c>
      <c r="F97" s="1">
        <v>14724</v>
      </c>
      <c r="G97" s="1">
        <v>15</v>
      </c>
      <c r="H97" s="2">
        <v>46054</v>
      </c>
      <c r="I97" s="2">
        <v>46061</v>
      </c>
      <c r="J97" s="1" t="s">
        <v>20</v>
      </c>
      <c r="K97" s="1">
        <v>1096</v>
      </c>
      <c r="L97" s="1" t="str">
        <f t="shared" si="0"/>
        <v>Ajay_Table</v>
      </c>
    </row>
    <row r="98" spans="1:12" x14ac:dyDescent="0.3">
      <c r="A98" s="1" t="s">
        <v>52</v>
      </c>
      <c r="B98" s="1" t="s">
        <v>22</v>
      </c>
      <c r="C98" s="1" t="s">
        <v>34</v>
      </c>
      <c r="D98" s="1" t="s">
        <v>61</v>
      </c>
      <c r="E98" s="1">
        <v>10</v>
      </c>
      <c r="F98" s="1">
        <v>28980</v>
      </c>
      <c r="G98" s="1">
        <v>10</v>
      </c>
      <c r="H98" s="2">
        <v>46089</v>
      </c>
      <c r="I98" s="2">
        <v>46094</v>
      </c>
      <c r="J98" s="1" t="s">
        <v>24</v>
      </c>
      <c r="K98" s="1">
        <v>1097</v>
      </c>
      <c r="L98" s="1" t="str">
        <f t="shared" si="0"/>
        <v>Komal_Mouse</v>
      </c>
    </row>
    <row r="99" spans="1:12" x14ac:dyDescent="0.3">
      <c r="A99" s="1" t="s">
        <v>26</v>
      </c>
      <c r="B99" s="1" t="s">
        <v>25</v>
      </c>
      <c r="C99" s="1" t="s">
        <v>13</v>
      </c>
      <c r="D99" s="1" t="s">
        <v>53</v>
      </c>
      <c r="E99" s="1">
        <v>17</v>
      </c>
      <c r="F99" s="1">
        <v>345</v>
      </c>
      <c r="G99" s="1">
        <v>2</v>
      </c>
      <c r="H99" s="2">
        <v>46126</v>
      </c>
      <c r="I99" s="2">
        <v>46127</v>
      </c>
      <c r="J99" s="1" t="s">
        <v>51</v>
      </c>
      <c r="K99" s="1">
        <v>1098</v>
      </c>
      <c r="L99" s="1" t="str">
        <f t="shared" si="0"/>
        <v>Vikram_Diary</v>
      </c>
    </row>
    <row r="100" spans="1:12" x14ac:dyDescent="0.3">
      <c r="A100" s="1" t="s">
        <v>26</v>
      </c>
      <c r="B100" s="1" t="s">
        <v>31</v>
      </c>
      <c r="C100" s="1" t="s">
        <v>18</v>
      </c>
      <c r="D100" s="1" t="s">
        <v>19</v>
      </c>
      <c r="E100" s="1">
        <v>1</v>
      </c>
      <c r="F100" s="1">
        <v>5165</v>
      </c>
      <c r="G100" s="1">
        <v>2</v>
      </c>
      <c r="H100" s="2">
        <v>46058</v>
      </c>
      <c r="I100" s="2">
        <v>46060</v>
      </c>
      <c r="J100" s="1" t="s">
        <v>15</v>
      </c>
      <c r="K100" s="1">
        <v>1099</v>
      </c>
      <c r="L100" s="1" t="str">
        <f t="shared" si="0"/>
        <v>Vikram_Desk</v>
      </c>
    </row>
    <row r="101" spans="1:12" x14ac:dyDescent="0.3">
      <c r="A101" s="1" t="s">
        <v>11</v>
      </c>
      <c r="B101" s="1" t="s">
        <v>31</v>
      </c>
      <c r="C101" s="1" t="s">
        <v>13</v>
      </c>
      <c r="D101" s="1" t="s">
        <v>14</v>
      </c>
      <c r="E101" s="1">
        <v>11</v>
      </c>
      <c r="F101" s="1">
        <v>296</v>
      </c>
      <c r="G101" s="1">
        <v>10</v>
      </c>
      <c r="H101" s="2">
        <v>46027</v>
      </c>
      <c r="I101" s="2">
        <v>46031</v>
      </c>
      <c r="J101" s="1" t="s">
        <v>51</v>
      </c>
      <c r="K101" s="1">
        <v>1100</v>
      </c>
      <c r="L101" s="1" t="str">
        <f t="shared" si="0"/>
        <v>Ritesh_Notebook</v>
      </c>
    </row>
    <row r="102" spans="1:12" x14ac:dyDescent="0.3">
      <c r="A102" s="1" t="s">
        <v>27</v>
      </c>
      <c r="B102" s="1" t="s">
        <v>22</v>
      </c>
      <c r="C102" s="1" t="s">
        <v>34</v>
      </c>
      <c r="D102" s="1" t="s">
        <v>61</v>
      </c>
      <c r="E102" s="1">
        <v>9</v>
      </c>
      <c r="F102" s="1">
        <v>37361</v>
      </c>
      <c r="G102" s="1">
        <v>10</v>
      </c>
      <c r="H102" s="2">
        <v>46141</v>
      </c>
      <c r="I102" s="2">
        <v>46142</v>
      </c>
      <c r="J102" s="1" t="s">
        <v>24</v>
      </c>
      <c r="K102" s="1">
        <v>1101</v>
      </c>
      <c r="L102" s="1" t="str">
        <f t="shared" si="0"/>
        <v>Arjun_Mouse</v>
      </c>
    </row>
    <row r="103" spans="1:12" x14ac:dyDescent="0.3">
      <c r="A103" s="1" t="s">
        <v>54</v>
      </c>
      <c r="B103" s="1" t="s">
        <v>25</v>
      </c>
      <c r="C103" s="1" t="s">
        <v>34</v>
      </c>
      <c r="D103" s="1" t="s">
        <v>45</v>
      </c>
      <c r="E103" s="1">
        <v>12</v>
      </c>
      <c r="F103" s="1">
        <v>63402</v>
      </c>
      <c r="G103" s="1">
        <v>7</v>
      </c>
      <c r="H103" s="2">
        <v>46106</v>
      </c>
      <c r="I103" s="2">
        <v>46113</v>
      </c>
      <c r="J103" s="1" t="s">
        <v>51</v>
      </c>
      <c r="K103" s="1">
        <v>1102</v>
      </c>
      <c r="L103" s="1" t="str">
        <f t="shared" si="0"/>
        <v>Manoj_Monitor</v>
      </c>
    </row>
    <row r="104" spans="1:12" x14ac:dyDescent="0.3">
      <c r="A104" s="1" t="s">
        <v>16</v>
      </c>
      <c r="B104" s="1" t="s">
        <v>12</v>
      </c>
      <c r="C104" s="1" t="s">
        <v>18</v>
      </c>
      <c r="D104" s="1" t="s">
        <v>23</v>
      </c>
      <c r="E104" s="1">
        <v>7</v>
      </c>
      <c r="F104" s="1">
        <v>11925</v>
      </c>
      <c r="G104" s="1">
        <v>5</v>
      </c>
      <c r="H104" s="2">
        <v>46040</v>
      </c>
      <c r="I104" s="2">
        <v>46041</v>
      </c>
      <c r="J104" s="1" t="s">
        <v>29</v>
      </c>
      <c r="K104" s="1">
        <v>1103</v>
      </c>
      <c r="L104" s="1" t="str">
        <f t="shared" si="0"/>
        <v>Pooja_Table</v>
      </c>
    </row>
    <row r="105" spans="1:12" x14ac:dyDescent="0.3">
      <c r="A105" s="1" t="s">
        <v>16</v>
      </c>
      <c r="B105" s="1" t="s">
        <v>43</v>
      </c>
      <c r="C105" s="1" t="s">
        <v>18</v>
      </c>
      <c r="D105" s="1" t="s">
        <v>19</v>
      </c>
      <c r="E105" s="1">
        <v>10</v>
      </c>
      <c r="F105" s="1">
        <v>12848</v>
      </c>
      <c r="G105" s="1">
        <v>15</v>
      </c>
      <c r="H105" s="2">
        <v>46060</v>
      </c>
      <c r="I105" s="2">
        <v>46064</v>
      </c>
      <c r="J105" s="1" t="s">
        <v>29</v>
      </c>
      <c r="K105" s="1">
        <v>1104</v>
      </c>
      <c r="L105" s="1" t="str">
        <f t="shared" si="0"/>
        <v>Pooja_Desk</v>
      </c>
    </row>
    <row r="106" spans="1:12" x14ac:dyDescent="0.3">
      <c r="A106" s="1" t="s">
        <v>59</v>
      </c>
      <c r="B106" s="1" t="s">
        <v>25</v>
      </c>
      <c r="C106" s="1" t="s">
        <v>13</v>
      </c>
      <c r="D106" s="1" t="s">
        <v>50</v>
      </c>
      <c r="E106" s="1">
        <v>2</v>
      </c>
      <c r="F106" s="1">
        <v>493</v>
      </c>
      <c r="G106" s="1">
        <v>12</v>
      </c>
      <c r="H106" s="2">
        <v>46057</v>
      </c>
      <c r="I106" s="2">
        <v>46066</v>
      </c>
      <c r="J106" s="1" t="s">
        <v>51</v>
      </c>
      <c r="K106" s="1">
        <v>1105</v>
      </c>
      <c r="L106" s="1" t="str">
        <f t="shared" si="0"/>
        <v>Anita_Marker</v>
      </c>
    </row>
    <row r="107" spans="1:12" x14ac:dyDescent="0.3">
      <c r="A107" s="1" t="s">
        <v>27</v>
      </c>
      <c r="B107" s="1" t="s">
        <v>43</v>
      </c>
      <c r="C107" s="1" t="s">
        <v>18</v>
      </c>
      <c r="D107" s="1" t="s">
        <v>23</v>
      </c>
      <c r="E107" s="1">
        <v>20</v>
      </c>
      <c r="F107" s="1">
        <v>2141</v>
      </c>
      <c r="G107" s="1">
        <v>2</v>
      </c>
      <c r="H107" s="2">
        <v>46091</v>
      </c>
      <c r="I107" s="2">
        <v>46097</v>
      </c>
      <c r="J107" s="1" t="s">
        <v>29</v>
      </c>
      <c r="K107" s="1">
        <v>1106</v>
      </c>
      <c r="L107" s="1" t="str">
        <f t="shared" si="0"/>
        <v>Arjun_Table</v>
      </c>
    </row>
    <row r="108" spans="1:12" x14ac:dyDescent="0.3">
      <c r="A108" s="1" t="s">
        <v>52</v>
      </c>
      <c r="B108" s="1" t="s">
        <v>17</v>
      </c>
      <c r="C108" s="1" t="s">
        <v>34</v>
      </c>
      <c r="D108" s="1" t="s">
        <v>60</v>
      </c>
      <c r="E108" s="1">
        <v>4</v>
      </c>
      <c r="F108" s="1">
        <v>14291</v>
      </c>
      <c r="G108" s="1">
        <v>2</v>
      </c>
      <c r="H108" s="2">
        <v>46076</v>
      </c>
      <c r="I108" s="2">
        <v>46078</v>
      </c>
      <c r="J108" s="1" t="s">
        <v>15</v>
      </c>
      <c r="K108" s="1">
        <v>1107</v>
      </c>
      <c r="L108" s="1" t="str">
        <f t="shared" si="0"/>
        <v>Komal_Laptop</v>
      </c>
    </row>
    <row r="109" spans="1:12" x14ac:dyDescent="0.3">
      <c r="A109" s="1" t="s">
        <v>42</v>
      </c>
      <c r="B109" s="1" t="s">
        <v>33</v>
      </c>
      <c r="C109" s="1" t="s">
        <v>18</v>
      </c>
      <c r="D109" s="1" t="s">
        <v>28</v>
      </c>
      <c r="E109" s="1">
        <v>15</v>
      </c>
      <c r="F109" s="1">
        <v>13843</v>
      </c>
      <c r="G109" s="1">
        <v>7</v>
      </c>
      <c r="H109" s="2">
        <v>46119</v>
      </c>
      <c r="I109" s="2">
        <v>46127</v>
      </c>
      <c r="J109" s="1" t="s">
        <v>20</v>
      </c>
      <c r="K109" s="1">
        <v>1108</v>
      </c>
      <c r="L109" s="1" t="str">
        <f t="shared" si="0"/>
        <v>Nisha_Chair</v>
      </c>
    </row>
    <row r="110" spans="1:12" x14ac:dyDescent="0.3">
      <c r="A110" s="1" t="s">
        <v>21</v>
      </c>
      <c r="B110" s="1" t="s">
        <v>31</v>
      </c>
      <c r="C110" s="1" t="s">
        <v>18</v>
      </c>
      <c r="D110" s="1" t="s">
        <v>44</v>
      </c>
      <c r="E110" s="1">
        <v>19</v>
      </c>
      <c r="F110" s="1">
        <v>6512</v>
      </c>
      <c r="G110" s="1">
        <v>10</v>
      </c>
      <c r="H110" s="2">
        <v>46033</v>
      </c>
      <c r="I110" s="2">
        <v>46037</v>
      </c>
      <c r="J110" s="1" t="s">
        <v>20</v>
      </c>
      <c r="K110" s="1">
        <v>1109</v>
      </c>
      <c r="L110" s="1" t="str">
        <f t="shared" si="0"/>
        <v>Meera_Bookshelf</v>
      </c>
    </row>
    <row r="111" spans="1:12" x14ac:dyDescent="0.3">
      <c r="A111" s="1" t="s">
        <v>49</v>
      </c>
      <c r="B111" s="1" t="s">
        <v>38</v>
      </c>
      <c r="C111" s="1" t="s">
        <v>18</v>
      </c>
      <c r="D111" s="1" t="s">
        <v>23</v>
      </c>
      <c r="E111" s="1">
        <v>14</v>
      </c>
      <c r="F111" s="1">
        <v>6793</v>
      </c>
      <c r="G111" s="1">
        <v>7</v>
      </c>
      <c r="H111" s="2">
        <v>46077</v>
      </c>
      <c r="I111" s="2">
        <v>46082</v>
      </c>
      <c r="J111" s="1" t="s">
        <v>29</v>
      </c>
      <c r="K111" s="1">
        <v>1110</v>
      </c>
      <c r="L111" s="1" t="str">
        <f t="shared" si="0"/>
        <v>Ajay_Table</v>
      </c>
    </row>
    <row r="112" spans="1:12" x14ac:dyDescent="0.3">
      <c r="A112" s="1" t="s">
        <v>47</v>
      </c>
      <c r="B112" s="1" t="s">
        <v>17</v>
      </c>
      <c r="C112" s="1" t="s">
        <v>34</v>
      </c>
      <c r="D112" s="1" t="s">
        <v>35</v>
      </c>
      <c r="E112" s="1">
        <v>5</v>
      </c>
      <c r="F112" s="1">
        <v>49945</v>
      </c>
      <c r="G112" s="1">
        <v>12</v>
      </c>
      <c r="H112" s="2">
        <v>46133</v>
      </c>
      <c r="I112" s="2">
        <v>46141</v>
      </c>
      <c r="J112" s="1" t="s">
        <v>29</v>
      </c>
      <c r="K112" s="1">
        <v>1111</v>
      </c>
      <c r="L112" s="1" t="str">
        <f t="shared" si="0"/>
        <v>Yash_Printer</v>
      </c>
    </row>
    <row r="113" spans="1:12" x14ac:dyDescent="0.3">
      <c r="A113" s="1" t="s">
        <v>21</v>
      </c>
      <c r="B113" s="1" t="s">
        <v>43</v>
      </c>
      <c r="C113" s="1" t="s">
        <v>18</v>
      </c>
      <c r="D113" s="1" t="s">
        <v>44</v>
      </c>
      <c r="E113" s="1">
        <v>7</v>
      </c>
      <c r="F113" s="1">
        <v>1959</v>
      </c>
      <c r="G113" s="1">
        <v>15</v>
      </c>
      <c r="H113" s="2">
        <v>46090</v>
      </c>
      <c r="I113" s="2">
        <v>46100</v>
      </c>
      <c r="J113" s="1" t="s">
        <v>15</v>
      </c>
      <c r="K113" s="1">
        <v>1112</v>
      </c>
      <c r="L113" s="1" t="str">
        <f t="shared" si="0"/>
        <v>Meera_Bookshelf</v>
      </c>
    </row>
    <row r="114" spans="1:12" x14ac:dyDescent="0.3">
      <c r="A114" s="1" t="s">
        <v>26</v>
      </c>
      <c r="B114" s="1" t="s">
        <v>43</v>
      </c>
      <c r="C114" s="1" t="s">
        <v>18</v>
      </c>
      <c r="D114" s="1" t="s">
        <v>56</v>
      </c>
      <c r="E114" s="1">
        <v>13</v>
      </c>
      <c r="F114" s="1">
        <v>6719</v>
      </c>
      <c r="G114" s="1">
        <v>15</v>
      </c>
      <c r="H114" s="2">
        <v>46076</v>
      </c>
      <c r="I114" s="2">
        <v>46081</v>
      </c>
      <c r="J114" s="1" t="s">
        <v>24</v>
      </c>
      <c r="K114" s="1">
        <v>1113</v>
      </c>
      <c r="L114" s="1" t="str">
        <f t="shared" si="0"/>
        <v>Vikram_Cabinet</v>
      </c>
    </row>
    <row r="115" spans="1:12" x14ac:dyDescent="0.3">
      <c r="A115" s="1" t="s">
        <v>16</v>
      </c>
      <c r="B115" s="1" t="s">
        <v>25</v>
      </c>
      <c r="C115" s="1" t="s">
        <v>13</v>
      </c>
      <c r="D115" s="1" t="s">
        <v>50</v>
      </c>
      <c r="E115" s="1">
        <v>13</v>
      </c>
      <c r="F115" s="1">
        <v>32</v>
      </c>
      <c r="G115" s="1">
        <v>15</v>
      </c>
      <c r="H115" s="2">
        <v>46066</v>
      </c>
      <c r="I115" s="2">
        <v>46069</v>
      </c>
      <c r="J115" s="1" t="s">
        <v>15</v>
      </c>
      <c r="K115" s="1">
        <v>1114</v>
      </c>
      <c r="L115" s="1" t="str">
        <f t="shared" si="0"/>
        <v>Pooja_Marker</v>
      </c>
    </row>
    <row r="116" spans="1:12" x14ac:dyDescent="0.3">
      <c r="A116" s="1" t="s">
        <v>59</v>
      </c>
      <c r="B116" s="1" t="s">
        <v>43</v>
      </c>
      <c r="C116" s="1" t="s">
        <v>13</v>
      </c>
      <c r="D116" s="1" t="s">
        <v>50</v>
      </c>
      <c r="E116" s="1">
        <v>9</v>
      </c>
      <c r="F116" s="1">
        <v>303</v>
      </c>
      <c r="G116" s="1">
        <v>10</v>
      </c>
      <c r="H116" s="2">
        <v>46149</v>
      </c>
      <c r="I116" s="2">
        <v>46157</v>
      </c>
      <c r="J116" s="1" t="s">
        <v>29</v>
      </c>
      <c r="K116" s="1">
        <v>1115</v>
      </c>
      <c r="L116" s="1" t="str">
        <f t="shared" si="0"/>
        <v>Anita_Marker</v>
      </c>
    </row>
    <row r="117" spans="1:12" x14ac:dyDescent="0.3">
      <c r="A117" s="1" t="s">
        <v>16</v>
      </c>
      <c r="B117" s="1" t="s">
        <v>25</v>
      </c>
      <c r="C117" s="1" t="s">
        <v>18</v>
      </c>
      <c r="D117" s="1" t="s">
        <v>56</v>
      </c>
      <c r="E117" s="1">
        <v>2</v>
      </c>
      <c r="F117" s="1">
        <v>12692</v>
      </c>
      <c r="G117" s="1">
        <v>15</v>
      </c>
      <c r="H117" s="2">
        <v>46049</v>
      </c>
      <c r="I117" s="2">
        <v>46051</v>
      </c>
      <c r="J117" s="1" t="s">
        <v>15</v>
      </c>
      <c r="K117" s="1">
        <v>1116</v>
      </c>
      <c r="L117" s="1" t="str">
        <f t="shared" si="0"/>
        <v>Pooja_Cabinet</v>
      </c>
    </row>
    <row r="118" spans="1:12" x14ac:dyDescent="0.3">
      <c r="A118" s="1" t="s">
        <v>55</v>
      </c>
      <c r="B118" s="1" t="s">
        <v>43</v>
      </c>
      <c r="C118" s="1" t="s">
        <v>34</v>
      </c>
      <c r="D118" s="1" t="s">
        <v>39</v>
      </c>
      <c r="E118" s="1">
        <v>16</v>
      </c>
      <c r="F118" s="1">
        <v>33162</v>
      </c>
      <c r="G118" s="1">
        <v>7</v>
      </c>
      <c r="H118" s="2">
        <v>46147</v>
      </c>
      <c r="I118" s="2">
        <v>46155</v>
      </c>
      <c r="J118" s="1" t="s">
        <v>29</v>
      </c>
      <c r="K118" s="1">
        <v>1117</v>
      </c>
      <c r="L118" s="1" t="str">
        <f t="shared" si="0"/>
        <v>Sneha_Keyboard</v>
      </c>
    </row>
    <row r="119" spans="1:12" x14ac:dyDescent="0.3">
      <c r="A119" s="1" t="s">
        <v>21</v>
      </c>
      <c r="B119" s="1" t="s">
        <v>22</v>
      </c>
      <c r="C119" s="1" t="s">
        <v>18</v>
      </c>
      <c r="D119" s="1" t="s">
        <v>23</v>
      </c>
      <c r="E119" s="1">
        <v>18</v>
      </c>
      <c r="F119" s="1">
        <v>9118</v>
      </c>
      <c r="G119" s="1">
        <v>5</v>
      </c>
      <c r="H119" s="2">
        <v>46178</v>
      </c>
      <c r="I119" s="2">
        <v>46187</v>
      </c>
      <c r="J119" s="1" t="s">
        <v>29</v>
      </c>
      <c r="K119" s="1">
        <v>1118</v>
      </c>
      <c r="L119" s="1" t="str">
        <f t="shared" si="0"/>
        <v>Meera_Table</v>
      </c>
    </row>
    <row r="120" spans="1:12" x14ac:dyDescent="0.3">
      <c r="A120" s="1" t="s">
        <v>30</v>
      </c>
      <c r="B120" s="1" t="s">
        <v>43</v>
      </c>
      <c r="C120" s="1" t="s">
        <v>18</v>
      </c>
      <c r="D120" s="1" t="s">
        <v>28</v>
      </c>
      <c r="E120" s="1">
        <v>2</v>
      </c>
      <c r="F120" s="1">
        <v>3706</v>
      </c>
      <c r="G120" s="1">
        <v>5</v>
      </c>
      <c r="H120" s="2">
        <v>46184</v>
      </c>
      <c r="I120" s="2">
        <v>46192</v>
      </c>
      <c r="J120" s="1" t="s">
        <v>51</v>
      </c>
      <c r="K120" s="1">
        <v>1119</v>
      </c>
      <c r="L120" s="1" t="str">
        <f t="shared" si="0"/>
        <v>Neha_Chair</v>
      </c>
    </row>
    <row r="121" spans="1:12" x14ac:dyDescent="0.3">
      <c r="A121" s="1" t="s">
        <v>32</v>
      </c>
      <c r="B121" s="1" t="s">
        <v>38</v>
      </c>
      <c r="C121" s="1" t="s">
        <v>13</v>
      </c>
      <c r="D121" s="1" t="s">
        <v>36</v>
      </c>
      <c r="E121" s="1">
        <v>10</v>
      </c>
      <c r="F121" s="1">
        <v>438</v>
      </c>
      <c r="G121" s="1">
        <v>10</v>
      </c>
      <c r="H121" s="2">
        <v>46061</v>
      </c>
      <c r="I121" s="2">
        <v>46065</v>
      </c>
      <c r="J121" s="1" t="s">
        <v>51</v>
      </c>
      <c r="K121" s="1">
        <v>1120</v>
      </c>
      <c r="L121" s="1" t="str">
        <f t="shared" si="0"/>
        <v>Asha_Stapler</v>
      </c>
    </row>
    <row r="122" spans="1:12" x14ac:dyDescent="0.3">
      <c r="A122" s="1" t="s">
        <v>29</v>
      </c>
      <c r="B122" s="1" t="s">
        <v>12</v>
      </c>
      <c r="C122" s="1" t="s">
        <v>34</v>
      </c>
      <c r="D122" s="1" t="s">
        <v>39</v>
      </c>
      <c r="E122" s="1">
        <v>4</v>
      </c>
      <c r="F122" s="1">
        <v>55809</v>
      </c>
      <c r="G122" s="1">
        <v>2</v>
      </c>
      <c r="H122" s="2">
        <v>46103</v>
      </c>
      <c r="I122" s="2">
        <v>46108</v>
      </c>
      <c r="J122" s="1" t="s">
        <v>29</v>
      </c>
      <c r="K122" s="1">
        <v>1121</v>
      </c>
      <c r="L122" s="1" t="str">
        <f t="shared" si="0"/>
        <v>Priya_Keyboard</v>
      </c>
    </row>
    <row r="123" spans="1:12" x14ac:dyDescent="0.3">
      <c r="A123" s="1" t="s">
        <v>40</v>
      </c>
      <c r="B123" s="1" t="s">
        <v>22</v>
      </c>
      <c r="C123" s="1" t="s">
        <v>34</v>
      </c>
      <c r="D123" s="1" t="s">
        <v>39</v>
      </c>
      <c r="E123" s="1">
        <v>14</v>
      </c>
      <c r="F123" s="1">
        <v>49990</v>
      </c>
      <c r="G123" s="1">
        <v>10</v>
      </c>
      <c r="H123" s="2">
        <v>46132</v>
      </c>
      <c r="I123" s="2">
        <v>46135</v>
      </c>
      <c r="J123" s="1" t="s">
        <v>29</v>
      </c>
      <c r="K123" s="1">
        <v>1122</v>
      </c>
      <c r="L123" s="1" t="str">
        <f t="shared" si="0"/>
        <v>Deepak_Keyboard</v>
      </c>
    </row>
    <row r="124" spans="1:12" x14ac:dyDescent="0.3">
      <c r="A124" s="1" t="s">
        <v>32</v>
      </c>
      <c r="B124" s="1" t="s">
        <v>31</v>
      </c>
      <c r="C124" s="1" t="s">
        <v>34</v>
      </c>
      <c r="D124" s="1" t="s">
        <v>45</v>
      </c>
      <c r="E124" s="1">
        <v>16</v>
      </c>
      <c r="F124" s="1">
        <v>1332</v>
      </c>
      <c r="G124" s="1">
        <v>7</v>
      </c>
      <c r="H124" s="2">
        <v>46107</v>
      </c>
      <c r="I124" s="2">
        <v>46109</v>
      </c>
      <c r="J124" s="1" t="s">
        <v>29</v>
      </c>
      <c r="K124" s="1">
        <v>1123</v>
      </c>
      <c r="L124" s="1" t="str">
        <f t="shared" si="0"/>
        <v>Asha_Monitor</v>
      </c>
    </row>
    <row r="125" spans="1:12" x14ac:dyDescent="0.3">
      <c r="A125" s="1" t="s">
        <v>27</v>
      </c>
      <c r="B125" s="1" t="s">
        <v>38</v>
      </c>
      <c r="C125" s="1" t="s">
        <v>18</v>
      </c>
      <c r="D125" s="1" t="s">
        <v>56</v>
      </c>
      <c r="E125" s="1">
        <v>4</v>
      </c>
      <c r="F125" s="1">
        <v>14195</v>
      </c>
      <c r="G125" s="1">
        <v>15</v>
      </c>
      <c r="H125" s="2">
        <v>46182</v>
      </c>
      <c r="I125" s="2">
        <v>46189</v>
      </c>
      <c r="J125" s="1" t="s">
        <v>51</v>
      </c>
      <c r="K125" s="1">
        <v>1124</v>
      </c>
      <c r="L125" s="1" t="str">
        <f t="shared" si="0"/>
        <v>Arjun_Cabinet</v>
      </c>
    </row>
    <row r="126" spans="1:12" x14ac:dyDescent="0.3">
      <c r="A126" s="1" t="s">
        <v>49</v>
      </c>
      <c r="B126" s="1" t="s">
        <v>33</v>
      </c>
      <c r="C126" s="1" t="s">
        <v>13</v>
      </c>
      <c r="D126" s="1" t="s">
        <v>14</v>
      </c>
      <c r="E126" s="1">
        <v>6</v>
      </c>
      <c r="F126" s="1">
        <v>30</v>
      </c>
      <c r="G126" s="1">
        <v>2</v>
      </c>
      <c r="H126" s="2">
        <v>46133</v>
      </c>
      <c r="I126" s="2">
        <v>46138</v>
      </c>
      <c r="J126" s="1" t="s">
        <v>24</v>
      </c>
      <c r="K126" s="1">
        <v>1125</v>
      </c>
      <c r="L126" s="1" t="str">
        <f t="shared" si="0"/>
        <v>Ajay_Notebook</v>
      </c>
    </row>
    <row r="127" spans="1:12" x14ac:dyDescent="0.3">
      <c r="A127" s="1" t="s">
        <v>46</v>
      </c>
      <c r="B127" s="1" t="s">
        <v>22</v>
      </c>
      <c r="C127" s="1" t="s">
        <v>34</v>
      </c>
      <c r="D127" s="1" t="s">
        <v>39</v>
      </c>
      <c r="E127" s="1">
        <v>17</v>
      </c>
      <c r="F127" s="1">
        <v>19390</v>
      </c>
      <c r="G127" s="1">
        <v>12</v>
      </c>
      <c r="H127" s="2">
        <v>46201</v>
      </c>
      <c r="I127" s="2">
        <v>46206</v>
      </c>
      <c r="J127" s="1" t="s">
        <v>29</v>
      </c>
      <c r="K127" s="1">
        <v>1126</v>
      </c>
      <c r="L127" s="1" t="str">
        <f t="shared" si="0"/>
        <v>Kiran_Keyboard</v>
      </c>
    </row>
    <row r="128" spans="1:12" x14ac:dyDescent="0.3">
      <c r="A128" s="1" t="s">
        <v>26</v>
      </c>
      <c r="B128" s="1" t="s">
        <v>33</v>
      </c>
      <c r="C128" s="1" t="s">
        <v>18</v>
      </c>
      <c r="D128" s="1" t="s">
        <v>28</v>
      </c>
      <c r="E128" s="1">
        <v>15</v>
      </c>
      <c r="F128" s="1">
        <v>11694</v>
      </c>
      <c r="G128" s="1">
        <v>12</v>
      </c>
      <c r="H128" s="2">
        <v>46170</v>
      </c>
      <c r="I128" s="2">
        <v>46179</v>
      </c>
      <c r="J128" s="1" t="s">
        <v>29</v>
      </c>
      <c r="K128" s="1">
        <v>1127</v>
      </c>
      <c r="L128" s="1" t="str">
        <f t="shared" si="0"/>
        <v>Vikram_Chair</v>
      </c>
    </row>
    <row r="129" spans="1:12" x14ac:dyDescent="0.3">
      <c r="A129" s="1" t="s">
        <v>30</v>
      </c>
      <c r="B129" s="1" t="s">
        <v>22</v>
      </c>
      <c r="C129" s="1" t="s">
        <v>34</v>
      </c>
      <c r="D129" s="1" t="s">
        <v>61</v>
      </c>
      <c r="E129" s="1">
        <v>6</v>
      </c>
      <c r="F129" s="1">
        <v>5001</v>
      </c>
      <c r="G129" s="1">
        <v>7</v>
      </c>
      <c r="H129" s="2">
        <v>46044</v>
      </c>
      <c r="I129" s="2">
        <v>46050</v>
      </c>
      <c r="J129" s="1" t="s">
        <v>29</v>
      </c>
      <c r="K129" s="1">
        <v>1128</v>
      </c>
      <c r="L129" s="1" t="str">
        <f t="shared" si="0"/>
        <v>Neha_Mouse</v>
      </c>
    </row>
    <row r="130" spans="1:12" x14ac:dyDescent="0.3">
      <c r="A130" s="1" t="s">
        <v>58</v>
      </c>
      <c r="B130" s="1" t="s">
        <v>17</v>
      </c>
      <c r="C130" s="1" t="s">
        <v>13</v>
      </c>
      <c r="D130" s="1" t="s">
        <v>50</v>
      </c>
      <c r="E130" s="1">
        <v>15</v>
      </c>
      <c r="F130" s="1">
        <v>75</v>
      </c>
      <c r="G130" s="1">
        <v>7</v>
      </c>
      <c r="H130" s="2">
        <v>46160</v>
      </c>
      <c r="I130" s="2">
        <v>46164</v>
      </c>
      <c r="J130" s="1" t="s">
        <v>29</v>
      </c>
      <c r="K130" s="1">
        <v>1129</v>
      </c>
      <c r="L130" s="1" t="str">
        <f t="shared" si="0"/>
        <v>Rohan_Marker</v>
      </c>
    </row>
    <row r="131" spans="1:12" x14ac:dyDescent="0.3">
      <c r="A131" s="1" t="s">
        <v>48</v>
      </c>
      <c r="B131" s="1" t="s">
        <v>33</v>
      </c>
      <c r="C131" s="1" t="s">
        <v>13</v>
      </c>
      <c r="D131" s="1" t="s">
        <v>14</v>
      </c>
      <c r="E131" s="1">
        <v>12</v>
      </c>
      <c r="F131" s="1">
        <v>50</v>
      </c>
      <c r="G131" s="1">
        <v>2</v>
      </c>
      <c r="H131" s="2">
        <v>46125</v>
      </c>
      <c r="I131" s="2">
        <v>46131</v>
      </c>
      <c r="J131" s="1" t="s">
        <v>24</v>
      </c>
      <c r="K131" s="1">
        <v>1130</v>
      </c>
      <c r="L131" s="1" t="str">
        <f t="shared" si="0"/>
        <v>Nitin_Notebook</v>
      </c>
    </row>
    <row r="132" spans="1:12" x14ac:dyDescent="0.3">
      <c r="A132" s="1" t="s">
        <v>21</v>
      </c>
      <c r="B132" s="1" t="s">
        <v>31</v>
      </c>
      <c r="C132" s="1" t="s">
        <v>18</v>
      </c>
      <c r="D132" s="1" t="s">
        <v>23</v>
      </c>
      <c r="E132" s="1">
        <v>13</v>
      </c>
      <c r="F132" s="1">
        <v>3083</v>
      </c>
      <c r="G132" s="1">
        <v>7</v>
      </c>
      <c r="H132" s="2">
        <v>46168</v>
      </c>
      <c r="I132" s="2">
        <v>46173</v>
      </c>
      <c r="J132" s="1" t="s">
        <v>51</v>
      </c>
      <c r="K132" s="1">
        <v>1131</v>
      </c>
      <c r="L132" s="1" t="str">
        <f t="shared" si="0"/>
        <v>Meera_Table</v>
      </c>
    </row>
    <row r="133" spans="1:12" x14ac:dyDescent="0.3">
      <c r="A133" s="1" t="s">
        <v>11</v>
      </c>
      <c r="B133" s="1" t="s">
        <v>31</v>
      </c>
      <c r="C133" s="1" t="s">
        <v>13</v>
      </c>
      <c r="D133" s="1" t="s">
        <v>50</v>
      </c>
      <c r="E133" s="1">
        <v>10</v>
      </c>
      <c r="F133" s="1">
        <v>270</v>
      </c>
      <c r="G133" s="1">
        <v>7</v>
      </c>
      <c r="H133" s="2">
        <v>46024</v>
      </c>
      <c r="I133" s="2">
        <v>46034</v>
      </c>
      <c r="J133" s="1" t="s">
        <v>24</v>
      </c>
      <c r="K133" s="1">
        <v>1132</v>
      </c>
      <c r="L133" s="1" t="str">
        <f t="shared" si="0"/>
        <v>Ritesh_Marker</v>
      </c>
    </row>
    <row r="134" spans="1:12" x14ac:dyDescent="0.3">
      <c r="A134" s="1" t="s">
        <v>11</v>
      </c>
      <c r="B134" s="1" t="s">
        <v>12</v>
      </c>
      <c r="C134" s="1" t="s">
        <v>18</v>
      </c>
      <c r="D134" s="1" t="s">
        <v>56</v>
      </c>
      <c r="E134" s="1">
        <v>6</v>
      </c>
      <c r="F134" s="1">
        <v>9037</v>
      </c>
      <c r="G134" s="1">
        <v>2</v>
      </c>
      <c r="H134" s="2">
        <v>46112</v>
      </c>
      <c r="I134" s="2">
        <v>46121</v>
      </c>
      <c r="J134" s="1" t="s">
        <v>51</v>
      </c>
      <c r="K134" s="1">
        <v>1133</v>
      </c>
      <c r="L134" s="1" t="str">
        <f t="shared" si="0"/>
        <v>Ritesh_Cabinet</v>
      </c>
    </row>
    <row r="135" spans="1:12" x14ac:dyDescent="0.3">
      <c r="A135" s="1" t="s">
        <v>57</v>
      </c>
      <c r="B135" s="1" t="s">
        <v>31</v>
      </c>
      <c r="C135" s="1" t="s">
        <v>34</v>
      </c>
      <c r="D135" s="1" t="s">
        <v>61</v>
      </c>
      <c r="E135" s="1">
        <v>10</v>
      </c>
      <c r="F135" s="1">
        <v>29217</v>
      </c>
      <c r="G135" s="1">
        <v>15</v>
      </c>
      <c r="H135" s="2">
        <v>46148</v>
      </c>
      <c r="I135" s="2">
        <v>46150</v>
      </c>
      <c r="J135" s="1" t="s">
        <v>24</v>
      </c>
      <c r="K135" s="1">
        <v>1134</v>
      </c>
      <c r="L135" s="1" t="str">
        <f t="shared" si="0"/>
        <v>Sara_Mouse</v>
      </c>
    </row>
    <row r="136" spans="1:12" x14ac:dyDescent="0.3">
      <c r="A136" s="1" t="s">
        <v>49</v>
      </c>
      <c r="B136" s="1" t="s">
        <v>43</v>
      </c>
      <c r="C136" s="1" t="s">
        <v>34</v>
      </c>
      <c r="D136" s="1" t="s">
        <v>39</v>
      </c>
      <c r="E136" s="1">
        <v>14</v>
      </c>
      <c r="F136" s="1">
        <v>68534</v>
      </c>
      <c r="G136" s="1">
        <v>0</v>
      </c>
      <c r="H136" s="2">
        <v>46041</v>
      </c>
      <c r="I136" s="2">
        <v>46042</v>
      </c>
      <c r="J136" s="1" t="s">
        <v>15</v>
      </c>
      <c r="K136" s="1">
        <v>1135</v>
      </c>
      <c r="L136" s="1" t="str">
        <f t="shared" si="0"/>
        <v>Ajay_Keyboard</v>
      </c>
    </row>
    <row r="137" spans="1:12" x14ac:dyDescent="0.3">
      <c r="A137" s="1" t="s">
        <v>27</v>
      </c>
      <c r="B137" s="1" t="s">
        <v>43</v>
      </c>
      <c r="C137" s="1" t="s">
        <v>18</v>
      </c>
      <c r="D137" s="1" t="s">
        <v>56</v>
      </c>
      <c r="E137" s="1">
        <v>19</v>
      </c>
      <c r="F137" s="1">
        <v>14528</v>
      </c>
      <c r="G137" s="1">
        <v>12</v>
      </c>
      <c r="H137" s="2">
        <v>46056</v>
      </c>
      <c r="I137" s="2">
        <v>46062</v>
      </c>
      <c r="J137" s="1" t="s">
        <v>24</v>
      </c>
      <c r="K137" s="1">
        <v>1136</v>
      </c>
      <c r="L137" s="1" t="str">
        <f t="shared" si="0"/>
        <v>Arjun_Cabinet</v>
      </c>
    </row>
    <row r="138" spans="1:12" x14ac:dyDescent="0.3">
      <c r="A138" s="1" t="s">
        <v>52</v>
      </c>
      <c r="B138" s="1" t="s">
        <v>12</v>
      </c>
      <c r="C138" s="1" t="s">
        <v>13</v>
      </c>
      <c r="D138" s="1" t="s">
        <v>37</v>
      </c>
      <c r="E138" s="1">
        <v>16</v>
      </c>
      <c r="F138" s="1">
        <v>270</v>
      </c>
      <c r="G138" s="1">
        <v>10</v>
      </c>
      <c r="H138" s="2">
        <v>46184</v>
      </c>
      <c r="I138" s="2">
        <v>46190</v>
      </c>
      <c r="J138" s="1" t="s">
        <v>29</v>
      </c>
      <c r="K138" s="1">
        <v>1137</v>
      </c>
      <c r="L138" s="1" t="str">
        <f t="shared" si="0"/>
        <v>Komal_Pen Pack</v>
      </c>
    </row>
    <row r="139" spans="1:12" x14ac:dyDescent="0.3">
      <c r="A139" s="1" t="s">
        <v>55</v>
      </c>
      <c r="B139" s="1" t="s">
        <v>43</v>
      </c>
      <c r="C139" s="1" t="s">
        <v>18</v>
      </c>
      <c r="D139" s="1" t="s">
        <v>19</v>
      </c>
      <c r="E139" s="1">
        <v>5</v>
      </c>
      <c r="F139" s="1">
        <v>14466</v>
      </c>
      <c r="G139" s="1">
        <v>2</v>
      </c>
      <c r="H139" s="2">
        <v>46084</v>
      </c>
      <c r="I139" s="2">
        <v>46092</v>
      </c>
      <c r="J139" s="1" t="s">
        <v>51</v>
      </c>
      <c r="K139" s="1">
        <v>1138</v>
      </c>
      <c r="L139" s="1" t="str">
        <f t="shared" si="0"/>
        <v>Sneha_Desk</v>
      </c>
    </row>
    <row r="140" spans="1:12" x14ac:dyDescent="0.3">
      <c r="A140" s="1" t="s">
        <v>55</v>
      </c>
      <c r="B140" s="1" t="s">
        <v>33</v>
      </c>
      <c r="C140" s="1" t="s">
        <v>34</v>
      </c>
      <c r="D140" s="1" t="s">
        <v>61</v>
      </c>
      <c r="E140" s="1">
        <v>17</v>
      </c>
      <c r="F140" s="1">
        <v>28839</v>
      </c>
      <c r="G140" s="1">
        <v>10</v>
      </c>
      <c r="H140" s="2">
        <v>46093</v>
      </c>
      <c r="I140" s="2">
        <v>46099</v>
      </c>
      <c r="J140" s="1" t="s">
        <v>15</v>
      </c>
      <c r="K140" s="1">
        <v>1139</v>
      </c>
      <c r="L140" s="1" t="str">
        <f t="shared" si="0"/>
        <v>Sneha_Mouse</v>
      </c>
    </row>
    <row r="141" spans="1:12" x14ac:dyDescent="0.3">
      <c r="A141" s="1" t="s">
        <v>57</v>
      </c>
      <c r="B141" s="1" t="s">
        <v>38</v>
      </c>
      <c r="C141" s="1" t="s">
        <v>34</v>
      </c>
      <c r="D141" s="1" t="s">
        <v>41</v>
      </c>
      <c r="E141" s="1">
        <v>5</v>
      </c>
      <c r="F141" s="1">
        <v>68012</v>
      </c>
      <c r="G141" s="1">
        <v>5</v>
      </c>
      <c r="H141" s="2">
        <v>46061</v>
      </c>
      <c r="I141" s="2">
        <v>46065</v>
      </c>
      <c r="J141" s="1" t="s">
        <v>15</v>
      </c>
      <c r="K141" s="1">
        <v>1140</v>
      </c>
      <c r="L141" s="1" t="str">
        <f t="shared" si="0"/>
        <v>Sara_Headset</v>
      </c>
    </row>
    <row r="142" spans="1:12" x14ac:dyDescent="0.3">
      <c r="A142" s="1" t="s">
        <v>11</v>
      </c>
      <c r="B142" s="1" t="s">
        <v>17</v>
      </c>
      <c r="C142" s="1" t="s">
        <v>18</v>
      </c>
      <c r="D142" s="1" t="s">
        <v>44</v>
      </c>
      <c r="E142" s="1">
        <v>20</v>
      </c>
      <c r="F142" s="1">
        <v>6835</v>
      </c>
      <c r="G142" s="1">
        <v>2</v>
      </c>
      <c r="H142" s="2">
        <v>46043</v>
      </c>
      <c r="I142" s="2">
        <v>46053</v>
      </c>
      <c r="J142" s="1" t="s">
        <v>15</v>
      </c>
      <c r="K142" s="1">
        <v>1141</v>
      </c>
      <c r="L142" s="1" t="str">
        <f t="shared" si="0"/>
        <v>Ritesh_Bookshelf</v>
      </c>
    </row>
    <row r="143" spans="1:12" x14ac:dyDescent="0.3">
      <c r="A143" s="1" t="s">
        <v>40</v>
      </c>
      <c r="B143" s="1" t="s">
        <v>25</v>
      </c>
      <c r="C143" s="1" t="s">
        <v>34</v>
      </c>
      <c r="D143" s="1" t="s">
        <v>60</v>
      </c>
      <c r="E143" s="1">
        <v>9</v>
      </c>
      <c r="F143" s="1">
        <v>59788</v>
      </c>
      <c r="G143" s="1">
        <v>7</v>
      </c>
      <c r="H143" s="2">
        <v>46064</v>
      </c>
      <c r="I143" s="2">
        <v>46071</v>
      </c>
      <c r="J143" s="1" t="s">
        <v>29</v>
      </c>
      <c r="K143" s="1">
        <v>1142</v>
      </c>
      <c r="L143" s="1" t="str">
        <f t="shared" si="0"/>
        <v>Deepak_Laptop</v>
      </c>
    </row>
    <row r="144" spans="1:12" x14ac:dyDescent="0.3">
      <c r="A144" s="1" t="s">
        <v>29</v>
      </c>
      <c r="B144" s="1" t="s">
        <v>17</v>
      </c>
      <c r="C144" s="1" t="s">
        <v>13</v>
      </c>
      <c r="D144" s="1" t="s">
        <v>37</v>
      </c>
      <c r="E144" s="1">
        <v>13</v>
      </c>
      <c r="F144" s="1">
        <v>456</v>
      </c>
      <c r="G144" s="1">
        <v>2</v>
      </c>
      <c r="H144" s="2">
        <v>46160</v>
      </c>
      <c r="I144" s="2">
        <v>46167</v>
      </c>
      <c r="J144" s="1" t="s">
        <v>24</v>
      </c>
      <c r="K144" s="1">
        <v>1143</v>
      </c>
      <c r="L144" s="1" t="str">
        <f t="shared" si="0"/>
        <v>Priya_Pen Pack</v>
      </c>
    </row>
    <row r="145" spans="1:12" x14ac:dyDescent="0.3">
      <c r="A145" s="1" t="s">
        <v>42</v>
      </c>
      <c r="B145" s="1" t="s">
        <v>25</v>
      </c>
      <c r="C145" s="1" t="s">
        <v>13</v>
      </c>
      <c r="D145" s="1" t="s">
        <v>14</v>
      </c>
      <c r="E145" s="1">
        <v>16</v>
      </c>
      <c r="F145" s="1">
        <v>219</v>
      </c>
      <c r="G145" s="1">
        <v>7</v>
      </c>
      <c r="H145" s="2">
        <v>46138</v>
      </c>
      <c r="I145" s="2">
        <v>46140</v>
      </c>
      <c r="J145" s="1" t="s">
        <v>20</v>
      </c>
      <c r="K145" s="1">
        <v>1144</v>
      </c>
      <c r="L145" s="1" t="str">
        <f t="shared" si="0"/>
        <v>Nisha_Notebook</v>
      </c>
    </row>
    <row r="146" spans="1:12" x14ac:dyDescent="0.3">
      <c r="A146" s="1" t="s">
        <v>42</v>
      </c>
      <c r="B146" s="1" t="s">
        <v>33</v>
      </c>
      <c r="C146" s="1" t="s">
        <v>34</v>
      </c>
      <c r="D146" s="1" t="s">
        <v>39</v>
      </c>
      <c r="E146" s="1">
        <v>2</v>
      </c>
      <c r="F146" s="1">
        <v>34429</v>
      </c>
      <c r="G146" s="1">
        <v>12</v>
      </c>
      <c r="H146" s="2">
        <v>46102</v>
      </c>
      <c r="I146" s="2">
        <v>46112</v>
      </c>
      <c r="J146" s="1" t="s">
        <v>24</v>
      </c>
      <c r="K146" s="1">
        <v>1145</v>
      </c>
      <c r="L146" s="1" t="str">
        <f t="shared" si="0"/>
        <v>Nisha_Keyboard</v>
      </c>
    </row>
    <row r="147" spans="1:12" x14ac:dyDescent="0.3">
      <c r="A147" s="1" t="s">
        <v>16</v>
      </c>
      <c r="B147" s="1" t="s">
        <v>43</v>
      </c>
      <c r="C147" s="1" t="s">
        <v>34</v>
      </c>
      <c r="D147" s="1" t="s">
        <v>45</v>
      </c>
      <c r="E147" s="1">
        <v>7</v>
      </c>
      <c r="F147" s="1">
        <v>68217</v>
      </c>
      <c r="G147" s="1">
        <v>0</v>
      </c>
      <c r="H147" s="2">
        <v>46190</v>
      </c>
      <c r="I147" s="2">
        <v>46197</v>
      </c>
      <c r="J147" s="1" t="s">
        <v>29</v>
      </c>
      <c r="K147" s="1">
        <v>1146</v>
      </c>
      <c r="L147" s="1" t="str">
        <f t="shared" si="0"/>
        <v>Pooja_Monitor</v>
      </c>
    </row>
    <row r="148" spans="1:12" x14ac:dyDescent="0.3">
      <c r="A148" s="1" t="s">
        <v>11</v>
      </c>
      <c r="B148" s="1" t="s">
        <v>22</v>
      </c>
      <c r="C148" s="1" t="s">
        <v>18</v>
      </c>
      <c r="D148" s="1" t="s">
        <v>28</v>
      </c>
      <c r="E148" s="1">
        <v>7</v>
      </c>
      <c r="F148" s="1">
        <v>9581</v>
      </c>
      <c r="G148" s="1">
        <v>5</v>
      </c>
      <c r="H148" s="2">
        <v>46154</v>
      </c>
      <c r="I148" s="2">
        <v>46155</v>
      </c>
      <c r="J148" s="1" t="s">
        <v>20</v>
      </c>
      <c r="K148" s="1">
        <v>1147</v>
      </c>
      <c r="L148" s="1" t="str">
        <f t="shared" si="0"/>
        <v>Ritesh_Chair</v>
      </c>
    </row>
    <row r="149" spans="1:12" x14ac:dyDescent="0.3">
      <c r="A149" s="1" t="s">
        <v>59</v>
      </c>
      <c r="B149" s="1" t="s">
        <v>33</v>
      </c>
      <c r="C149" s="1" t="s">
        <v>18</v>
      </c>
      <c r="D149" s="1" t="s">
        <v>28</v>
      </c>
      <c r="E149" s="1">
        <v>11</v>
      </c>
      <c r="F149" s="1">
        <v>3023</v>
      </c>
      <c r="G149" s="1">
        <v>7</v>
      </c>
      <c r="H149" s="2">
        <v>46030</v>
      </c>
      <c r="I149" s="2">
        <v>46032</v>
      </c>
      <c r="J149" s="1" t="s">
        <v>24</v>
      </c>
      <c r="K149" s="1">
        <v>1148</v>
      </c>
      <c r="L149" s="1" t="str">
        <f t="shared" si="0"/>
        <v>Anita_Chair</v>
      </c>
    </row>
    <row r="150" spans="1:12" x14ac:dyDescent="0.3">
      <c r="A150" s="1" t="s">
        <v>26</v>
      </c>
      <c r="B150" s="1" t="s">
        <v>38</v>
      </c>
      <c r="C150" s="1" t="s">
        <v>34</v>
      </c>
      <c r="D150" s="1" t="s">
        <v>35</v>
      </c>
      <c r="E150" s="1">
        <v>10</v>
      </c>
      <c r="F150" s="1">
        <v>22853</v>
      </c>
      <c r="G150" s="1">
        <v>7</v>
      </c>
      <c r="H150" s="2">
        <v>46053</v>
      </c>
      <c r="I150" s="2">
        <v>46054</v>
      </c>
      <c r="J150" s="1" t="s">
        <v>29</v>
      </c>
      <c r="K150" s="1">
        <v>1149</v>
      </c>
      <c r="L150" s="1" t="str">
        <f t="shared" si="0"/>
        <v>Vikram_Printer</v>
      </c>
    </row>
    <row r="151" spans="1:12" x14ac:dyDescent="0.3">
      <c r="A151" s="1" t="s">
        <v>42</v>
      </c>
      <c r="B151" s="1" t="s">
        <v>12</v>
      </c>
      <c r="C151" s="1" t="s">
        <v>18</v>
      </c>
      <c r="D151" s="1" t="s">
        <v>56</v>
      </c>
      <c r="E151" s="1">
        <v>10</v>
      </c>
      <c r="F151" s="1">
        <v>5323</v>
      </c>
      <c r="G151" s="1">
        <v>7</v>
      </c>
      <c r="H151" s="2">
        <v>46143</v>
      </c>
      <c r="I151" s="2">
        <v>46153</v>
      </c>
      <c r="J151" s="1" t="s">
        <v>24</v>
      </c>
      <c r="K151" s="1">
        <v>1150</v>
      </c>
      <c r="L151" s="1" t="str">
        <f t="shared" si="0"/>
        <v>Nisha_Cabinet</v>
      </c>
    </row>
    <row r="152" spans="1:12" x14ac:dyDescent="0.3">
      <c r="A152" s="1" t="s">
        <v>46</v>
      </c>
      <c r="B152" s="1" t="s">
        <v>43</v>
      </c>
      <c r="C152" s="1" t="s">
        <v>13</v>
      </c>
      <c r="D152" s="1" t="s">
        <v>50</v>
      </c>
      <c r="E152" s="1">
        <v>20</v>
      </c>
      <c r="F152" s="1">
        <v>272</v>
      </c>
      <c r="G152" s="1">
        <v>15</v>
      </c>
      <c r="H152" s="2">
        <v>46024</v>
      </c>
      <c r="I152" s="2">
        <v>46029</v>
      </c>
      <c r="J152" s="1" t="s">
        <v>51</v>
      </c>
      <c r="K152" s="1">
        <v>1151</v>
      </c>
      <c r="L152" s="1" t="str">
        <f t="shared" si="0"/>
        <v>Kiran_Marker</v>
      </c>
    </row>
    <row r="153" spans="1:12" x14ac:dyDescent="0.3">
      <c r="A153" s="1" t="s">
        <v>27</v>
      </c>
      <c r="B153" s="1" t="s">
        <v>31</v>
      </c>
      <c r="C153" s="1" t="s">
        <v>34</v>
      </c>
      <c r="D153" s="1" t="s">
        <v>61</v>
      </c>
      <c r="E153" s="1">
        <v>14</v>
      </c>
      <c r="F153" s="1">
        <v>8150</v>
      </c>
      <c r="G153" s="1">
        <v>10</v>
      </c>
      <c r="H153" s="2">
        <v>46062</v>
      </c>
      <c r="I153" s="2">
        <v>46070</v>
      </c>
      <c r="J153" s="1" t="s">
        <v>15</v>
      </c>
      <c r="K153" s="1">
        <v>1152</v>
      </c>
      <c r="L153" s="1" t="str">
        <f t="shared" si="0"/>
        <v>Arjun_Mouse</v>
      </c>
    </row>
    <row r="154" spans="1:12" x14ac:dyDescent="0.3">
      <c r="A154" s="1" t="s">
        <v>42</v>
      </c>
      <c r="B154" s="1" t="s">
        <v>25</v>
      </c>
      <c r="C154" s="1" t="s">
        <v>18</v>
      </c>
      <c r="D154" s="1" t="s">
        <v>23</v>
      </c>
      <c r="E154" s="1">
        <v>19</v>
      </c>
      <c r="F154" s="1">
        <v>10273</v>
      </c>
      <c r="G154" s="1">
        <v>12</v>
      </c>
      <c r="H154" s="2">
        <v>46069</v>
      </c>
      <c r="I154" s="2">
        <v>46072</v>
      </c>
      <c r="J154" s="1" t="s">
        <v>29</v>
      </c>
      <c r="K154" s="1">
        <v>1153</v>
      </c>
      <c r="L154" s="1" t="str">
        <f t="shared" si="0"/>
        <v>Nisha_Table</v>
      </c>
    </row>
    <row r="155" spans="1:12" x14ac:dyDescent="0.3">
      <c r="A155" s="1" t="s">
        <v>32</v>
      </c>
      <c r="B155" s="1" t="s">
        <v>17</v>
      </c>
      <c r="C155" s="1" t="s">
        <v>18</v>
      </c>
      <c r="D155" s="1" t="s">
        <v>56</v>
      </c>
      <c r="E155" s="1">
        <v>15</v>
      </c>
      <c r="F155" s="1">
        <v>6101</v>
      </c>
      <c r="G155" s="1">
        <v>0</v>
      </c>
      <c r="H155" s="2">
        <v>46178</v>
      </c>
      <c r="I155" s="2">
        <v>46183</v>
      </c>
      <c r="J155" s="1" t="s">
        <v>51</v>
      </c>
      <c r="K155" s="1">
        <v>1154</v>
      </c>
      <c r="L155" s="1" t="str">
        <f t="shared" si="0"/>
        <v>Asha_Cabinet</v>
      </c>
    </row>
    <row r="156" spans="1:12" x14ac:dyDescent="0.3">
      <c r="A156" s="1" t="s">
        <v>11</v>
      </c>
      <c r="B156" s="1" t="s">
        <v>31</v>
      </c>
      <c r="C156" s="1" t="s">
        <v>18</v>
      </c>
      <c r="D156" s="1" t="s">
        <v>28</v>
      </c>
      <c r="E156" s="1">
        <v>13</v>
      </c>
      <c r="F156" s="1">
        <v>4341</v>
      </c>
      <c r="G156" s="1">
        <v>15</v>
      </c>
      <c r="H156" s="2">
        <v>46093</v>
      </c>
      <c r="I156" s="2">
        <v>46096</v>
      </c>
      <c r="J156" s="1" t="s">
        <v>24</v>
      </c>
      <c r="K156" s="1">
        <v>1155</v>
      </c>
      <c r="L156" s="1" t="str">
        <f t="shared" si="0"/>
        <v>Ritesh_Chair</v>
      </c>
    </row>
    <row r="157" spans="1:12" x14ac:dyDescent="0.3">
      <c r="A157" s="1" t="s">
        <v>54</v>
      </c>
      <c r="B157" s="1" t="s">
        <v>38</v>
      </c>
      <c r="C157" s="1" t="s">
        <v>13</v>
      </c>
      <c r="D157" s="1" t="s">
        <v>36</v>
      </c>
      <c r="E157" s="1">
        <v>5</v>
      </c>
      <c r="F157" s="1">
        <v>466</v>
      </c>
      <c r="G157" s="1">
        <v>15</v>
      </c>
      <c r="H157" s="2">
        <v>46025</v>
      </c>
      <c r="I157" s="2">
        <v>46029</v>
      </c>
      <c r="J157" s="1" t="s">
        <v>15</v>
      </c>
      <c r="K157" s="1">
        <v>1156</v>
      </c>
      <c r="L157" s="1" t="str">
        <f t="shared" si="0"/>
        <v>Manoj_Stapler</v>
      </c>
    </row>
    <row r="158" spans="1:12" x14ac:dyDescent="0.3">
      <c r="A158" s="1" t="s">
        <v>52</v>
      </c>
      <c r="B158" s="1" t="s">
        <v>33</v>
      </c>
      <c r="C158" s="1" t="s">
        <v>13</v>
      </c>
      <c r="D158" s="1" t="s">
        <v>50</v>
      </c>
      <c r="E158" s="1">
        <v>3</v>
      </c>
      <c r="F158" s="1">
        <v>203</v>
      </c>
      <c r="G158" s="1">
        <v>15</v>
      </c>
      <c r="H158" s="2">
        <v>46076</v>
      </c>
      <c r="I158" s="2">
        <v>46080</v>
      </c>
      <c r="J158" s="1" t="s">
        <v>29</v>
      </c>
      <c r="K158" s="1">
        <v>1157</v>
      </c>
      <c r="L158" s="1" t="str">
        <f t="shared" si="0"/>
        <v>Komal_Marker</v>
      </c>
    </row>
    <row r="159" spans="1:12" x14ac:dyDescent="0.3">
      <c r="A159" s="1" t="s">
        <v>26</v>
      </c>
      <c r="B159" s="1" t="s">
        <v>38</v>
      </c>
      <c r="C159" s="1" t="s">
        <v>34</v>
      </c>
      <c r="D159" s="1" t="s">
        <v>41</v>
      </c>
      <c r="E159" s="1">
        <v>13</v>
      </c>
      <c r="F159" s="1">
        <v>12518</v>
      </c>
      <c r="G159" s="1">
        <v>2</v>
      </c>
      <c r="H159" s="2">
        <v>46079</v>
      </c>
      <c r="I159" s="2">
        <v>46082</v>
      </c>
      <c r="J159" s="1" t="s">
        <v>51</v>
      </c>
      <c r="K159" s="1">
        <v>1158</v>
      </c>
      <c r="L159" s="1" t="str">
        <f t="shared" si="0"/>
        <v>Vikram_Headset</v>
      </c>
    </row>
    <row r="160" spans="1:12" x14ac:dyDescent="0.3">
      <c r="A160" s="1" t="s">
        <v>32</v>
      </c>
      <c r="B160" s="1" t="s">
        <v>43</v>
      </c>
      <c r="C160" s="1" t="s">
        <v>18</v>
      </c>
      <c r="D160" s="1" t="s">
        <v>28</v>
      </c>
      <c r="E160" s="1">
        <v>20</v>
      </c>
      <c r="F160" s="1">
        <v>14000</v>
      </c>
      <c r="G160" s="1">
        <v>15</v>
      </c>
      <c r="H160" s="2">
        <v>46184</v>
      </c>
      <c r="I160" s="2">
        <v>46187</v>
      </c>
      <c r="J160" s="1" t="s">
        <v>15</v>
      </c>
      <c r="K160" s="1">
        <v>1159</v>
      </c>
      <c r="L160" s="1" t="str">
        <f t="shared" si="0"/>
        <v>Asha_Chair</v>
      </c>
    </row>
    <row r="161" spans="1:12" x14ac:dyDescent="0.3">
      <c r="A161" s="1" t="s">
        <v>59</v>
      </c>
      <c r="B161" s="1" t="s">
        <v>22</v>
      </c>
      <c r="C161" s="1" t="s">
        <v>34</v>
      </c>
      <c r="D161" s="1" t="s">
        <v>39</v>
      </c>
      <c r="E161" s="1">
        <v>7</v>
      </c>
      <c r="F161" s="1">
        <v>53986</v>
      </c>
      <c r="G161" s="1">
        <v>10</v>
      </c>
      <c r="H161" s="2">
        <v>46142</v>
      </c>
      <c r="I161" s="2">
        <v>46147</v>
      </c>
      <c r="J161" s="1" t="s">
        <v>51</v>
      </c>
      <c r="K161" s="1">
        <v>1160</v>
      </c>
      <c r="L161" s="1" t="str">
        <f t="shared" si="0"/>
        <v>Anita_Keyboard</v>
      </c>
    </row>
    <row r="162" spans="1:12" x14ac:dyDescent="0.3">
      <c r="A162" s="1" t="s">
        <v>27</v>
      </c>
      <c r="B162" s="1" t="s">
        <v>25</v>
      </c>
      <c r="C162" s="1" t="s">
        <v>34</v>
      </c>
      <c r="D162" s="1" t="s">
        <v>39</v>
      </c>
      <c r="E162" s="1">
        <v>4</v>
      </c>
      <c r="F162" s="1">
        <v>54659</v>
      </c>
      <c r="G162" s="1">
        <v>7</v>
      </c>
      <c r="H162" s="2">
        <v>46105</v>
      </c>
      <c r="I162" s="2">
        <v>46109</v>
      </c>
      <c r="J162" s="1" t="s">
        <v>20</v>
      </c>
      <c r="K162" s="1">
        <v>1161</v>
      </c>
      <c r="L162" s="1" t="str">
        <f t="shared" si="0"/>
        <v>Arjun_Keyboard</v>
      </c>
    </row>
    <row r="163" spans="1:12" x14ac:dyDescent="0.3">
      <c r="A163" s="1" t="s">
        <v>57</v>
      </c>
      <c r="B163" s="1" t="s">
        <v>31</v>
      </c>
      <c r="C163" s="1" t="s">
        <v>34</v>
      </c>
      <c r="D163" s="1" t="s">
        <v>45</v>
      </c>
      <c r="E163" s="1">
        <v>2</v>
      </c>
      <c r="F163" s="1">
        <v>28176</v>
      </c>
      <c r="G163" s="1">
        <v>10</v>
      </c>
      <c r="H163" s="2">
        <v>46100</v>
      </c>
      <c r="I163" s="2">
        <v>46101</v>
      </c>
      <c r="J163" s="1" t="s">
        <v>20</v>
      </c>
      <c r="K163" s="1">
        <v>1162</v>
      </c>
      <c r="L163" s="1" t="str">
        <f t="shared" si="0"/>
        <v>Sara_Monitor</v>
      </c>
    </row>
    <row r="164" spans="1:12" x14ac:dyDescent="0.3">
      <c r="A164" s="1" t="s">
        <v>29</v>
      </c>
      <c r="B164" s="1" t="s">
        <v>38</v>
      </c>
      <c r="C164" s="1" t="s">
        <v>34</v>
      </c>
      <c r="D164" s="1" t="s">
        <v>39</v>
      </c>
      <c r="E164" s="1">
        <v>9</v>
      </c>
      <c r="F164" s="1">
        <v>62440</v>
      </c>
      <c r="G164" s="1">
        <v>2</v>
      </c>
      <c r="H164" s="2">
        <v>46081</v>
      </c>
      <c r="I164" s="2">
        <v>46086</v>
      </c>
      <c r="J164" s="1" t="s">
        <v>29</v>
      </c>
      <c r="K164" s="1">
        <v>1163</v>
      </c>
      <c r="L164" s="1" t="str">
        <f t="shared" si="0"/>
        <v>Priya_Keyboard</v>
      </c>
    </row>
    <row r="165" spans="1:12" x14ac:dyDescent="0.3">
      <c r="A165" s="1" t="s">
        <v>40</v>
      </c>
      <c r="B165" s="1" t="s">
        <v>43</v>
      </c>
      <c r="C165" s="1" t="s">
        <v>34</v>
      </c>
      <c r="D165" s="1" t="s">
        <v>61</v>
      </c>
      <c r="E165" s="1">
        <v>7</v>
      </c>
      <c r="F165" s="1">
        <v>24615</v>
      </c>
      <c r="G165" s="1">
        <v>12</v>
      </c>
      <c r="H165" s="2">
        <v>46196</v>
      </c>
      <c r="I165" s="2">
        <v>46203</v>
      </c>
      <c r="J165" s="1" t="s">
        <v>51</v>
      </c>
      <c r="K165" s="1">
        <v>1164</v>
      </c>
      <c r="L165" s="1" t="str">
        <f t="shared" si="0"/>
        <v>Deepak_Mouse</v>
      </c>
    </row>
    <row r="166" spans="1:12" x14ac:dyDescent="0.3">
      <c r="A166" s="1" t="s">
        <v>48</v>
      </c>
      <c r="B166" s="1" t="s">
        <v>25</v>
      </c>
      <c r="C166" s="1" t="s">
        <v>13</v>
      </c>
      <c r="D166" s="1" t="s">
        <v>37</v>
      </c>
      <c r="E166" s="1">
        <v>1</v>
      </c>
      <c r="F166" s="1">
        <v>427</v>
      </c>
      <c r="G166" s="1">
        <v>0</v>
      </c>
      <c r="H166" s="2">
        <v>46042</v>
      </c>
      <c r="I166" s="2">
        <v>46050</v>
      </c>
      <c r="J166" s="1" t="s">
        <v>51</v>
      </c>
      <c r="K166" s="1">
        <v>1165</v>
      </c>
      <c r="L166" s="1" t="str">
        <f t="shared" si="0"/>
        <v>Nitin_Pen Pack</v>
      </c>
    </row>
    <row r="167" spans="1:12" x14ac:dyDescent="0.3">
      <c r="A167" s="1" t="s">
        <v>32</v>
      </c>
      <c r="B167" s="1" t="s">
        <v>31</v>
      </c>
      <c r="C167" s="1" t="s">
        <v>13</v>
      </c>
      <c r="D167" s="1" t="s">
        <v>37</v>
      </c>
      <c r="E167" s="1">
        <v>1</v>
      </c>
      <c r="F167" s="1">
        <v>396</v>
      </c>
      <c r="G167" s="1">
        <v>5</v>
      </c>
      <c r="H167" s="2">
        <v>46092</v>
      </c>
      <c r="I167" s="2">
        <v>46093</v>
      </c>
      <c r="J167" s="1" t="s">
        <v>20</v>
      </c>
      <c r="K167" s="1">
        <v>1166</v>
      </c>
      <c r="L167" s="1" t="str">
        <f t="shared" si="0"/>
        <v>Asha_Pen Pack</v>
      </c>
    </row>
    <row r="168" spans="1:12" x14ac:dyDescent="0.3">
      <c r="A168" s="1" t="s">
        <v>48</v>
      </c>
      <c r="B168" s="1" t="s">
        <v>17</v>
      </c>
      <c r="C168" s="1" t="s">
        <v>13</v>
      </c>
      <c r="D168" s="1" t="s">
        <v>37</v>
      </c>
      <c r="E168" s="1">
        <v>20</v>
      </c>
      <c r="F168" s="1">
        <v>251</v>
      </c>
      <c r="G168" s="1">
        <v>5</v>
      </c>
      <c r="H168" s="2">
        <v>46160</v>
      </c>
      <c r="I168" s="2">
        <v>46170</v>
      </c>
      <c r="J168" s="1" t="s">
        <v>29</v>
      </c>
      <c r="K168" s="1">
        <v>1167</v>
      </c>
      <c r="L168" s="1" t="str">
        <f t="shared" si="0"/>
        <v>Nitin_Pen Pack</v>
      </c>
    </row>
    <row r="169" spans="1:12" x14ac:dyDescent="0.3">
      <c r="A169" s="1" t="s">
        <v>54</v>
      </c>
      <c r="B169" s="1" t="s">
        <v>12</v>
      </c>
      <c r="C169" s="1" t="s">
        <v>13</v>
      </c>
      <c r="D169" s="1" t="s">
        <v>37</v>
      </c>
      <c r="E169" s="1">
        <v>18</v>
      </c>
      <c r="F169" s="1">
        <v>335</v>
      </c>
      <c r="G169" s="1">
        <v>15</v>
      </c>
      <c r="H169" s="2">
        <v>46130</v>
      </c>
      <c r="I169" s="2">
        <v>46140</v>
      </c>
      <c r="J169" s="1" t="s">
        <v>29</v>
      </c>
      <c r="K169" s="1">
        <v>1168</v>
      </c>
      <c r="L169" s="1" t="str">
        <f t="shared" si="0"/>
        <v>Manoj_Pen Pack</v>
      </c>
    </row>
    <row r="170" spans="1:12" x14ac:dyDescent="0.3">
      <c r="A170" s="1" t="s">
        <v>47</v>
      </c>
      <c r="B170" s="1" t="s">
        <v>12</v>
      </c>
      <c r="C170" s="1" t="s">
        <v>18</v>
      </c>
      <c r="D170" s="1" t="s">
        <v>56</v>
      </c>
      <c r="E170" s="1">
        <v>12</v>
      </c>
      <c r="F170" s="1">
        <v>12104</v>
      </c>
      <c r="G170" s="1">
        <v>7</v>
      </c>
      <c r="H170" s="2">
        <v>46121</v>
      </c>
      <c r="I170" s="2">
        <v>46130</v>
      </c>
      <c r="J170" s="1" t="s">
        <v>24</v>
      </c>
      <c r="K170" s="1">
        <v>1169</v>
      </c>
      <c r="L170" s="1" t="str">
        <f t="shared" si="0"/>
        <v>Yash_Cabinet</v>
      </c>
    </row>
    <row r="171" spans="1:12" x14ac:dyDescent="0.3">
      <c r="A171" s="1" t="s">
        <v>49</v>
      </c>
      <c r="B171" s="1" t="s">
        <v>38</v>
      </c>
      <c r="C171" s="1" t="s">
        <v>13</v>
      </c>
      <c r="D171" s="1" t="s">
        <v>14</v>
      </c>
      <c r="E171" s="1">
        <v>6</v>
      </c>
      <c r="F171" s="1">
        <v>339</v>
      </c>
      <c r="G171" s="1">
        <v>12</v>
      </c>
      <c r="H171" s="2">
        <v>46105</v>
      </c>
      <c r="I171" s="2">
        <v>46106</v>
      </c>
      <c r="J171" s="1" t="s">
        <v>24</v>
      </c>
      <c r="K171" s="1">
        <v>1170</v>
      </c>
      <c r="L171" s="1" t="str">
        <f t="shared" si="0"/>
        <v>Ajay_Notebook</v>
      </c>
    </row>
    <row r="172" spans="1:12" x14ac:dyDescent="0.3">
      <c r="A172" s="1" t="s">
        <v>57</v>
      </c>
      <c r="B172" s="1" t="s">
        <v>25</v>
      </c>
      <c r="C172" s="1" t="s">
        <v>13</v>
      </c>
      <c r="D172" s="1" t="s">
        <v>50</v>
      </c>
      <c r="E172" s="1">
        <v>17</v>
      </c>
      <c r="F172" s="1">
        <v>147</v>
      </c>
      <c r="G172" s="1">
        <v>12</v>
      </c>
      <c r="H172" s="2">
        <v>46155</v>
      </c>
      <c r="I172" s="2">
        <v>46160</v>
      </c>
      <c r="J172" s="1" t="s">
        <v>20</v>
      </c>
      <c r="K172" s="1">
        <v>1171</v>
      </c>
      <c r="L172" s="1" t="str">
        <f t="shared" si="0"/>
        <v>Sara_Marker</v>
      </c>
    </row>
    <row r="173" spans="1:12" x14ac:dyDescent="0.3">
      <c r="A173" s="1" t="s">
        <v>16</v>
      </c>
      <c r="B173" s="1" t="s">
        <v>12</v>
      </c>
      <c r="C173" s="1" t="s">
        <v>34</v>
      </c>
      <c r="D173" s="1" t="s">
        <v>45</v>
      </c>
      <c r="E173" s="1">
        <v>13</v>
      </c>
      <c r="F173" s="1">
        <v>43163</v>
      </c>
      <c r="G173" s="1">
        <v>12</v>
      </c>
      <c r="H173" s="2">
        <v>46120</v>
      </c>
      <c r="I173" s="2">
        <v>46129</v>
      </c>
      <c r="J173" s="1" t="s">
        <v>24</v>
      </c>
      <c r="K173" s="1">
        <v>1172</v>
      </c>
      <c r="L173" s="1" t="str">
        <f t="shared" si="0"/>
        <v>Pooja_Monitor</v>
      </c>
    </row>
    <row r="174" spans="1:12" x14ac:dyDescent="0.3">
      <c r="A174" s="1" t="s">
        <v>40</v>
      </c>
      <c r="B174" s="1" t="s">
        <v>17</v>
      </c>
      <c r="C174" s="1" t="s">
        <v>13</v>
      </c>
      <c r="D174" s="1" t="s">
        <v>37</v>
      </c>
      <c r="E174" s="1">
        <v>15</v>
      </c>
      <c r="F174" s="1">
        <v>214</v>
      </c>
      <c r="G174" s="1">
        <v>10</v>
      </c>
      <c r="H174" s="2">
        <v>46050</v>
      </c>
      <c r="I174" s="2">
        <v>46060</v>
      </c>
      <c r="J174" s="1" t="s">
        <v>51</v>
      </c>
      <c r="K174" s="1">
        <v>1173</v>
      </c>
      <c r="L174" s="1" t="str">
        <f t="shared" si="0"/>
        <v>Deepak_Pen Pack</v>
      </c>
    </row>
    <row r="175" spans="1:12" x14ac:dyDescent="0.3">
      <c r="A175" s="1" t="s">
        <v>58</v>
      </c>
      <c r="B175" s="1" t="s">
        <v>38</v>
      </c>
      <c r="C175" s="1" t="s">
        <v>13</v>
      </c>
      <c r="D175" s="1" t="s">
        <v>14</v>
      </c>
      <c r="E175" s="1">
        <v>13</v>
      </c>
      <c r="F175" s="1">
        <v>155</v>
      </c>
      <c r="G175" s="1">
        <v>2</v>
      </c>
      <c r="H175" s="2">
        <v>46066</v>
      </c>
      <c r="I175" s="2">
        <v>46069</v>
      </c>
      <c r="J175" s="1" t="s">
        <v>24</v>
      </c>
      <c r="K175" s="1">
        <v>1174</v>
      </c>
      <c r="L175" s="1" t="str">
        <f t="shared" si="0"/>
        <v>Rohan_Notebook</v>
      </c>
    </row>
    <row r="176" spans="1:12" x14ac:dyDescent="0.3">
      <c r="A176" s="1" t="s">
        <v>26</v>
      </c>
      <c r="B176" s="1" t="s">
        <v>17</v>
      </c>
      <c r="C176" s="1" t="s">
        <v>34</v>
      </c>
      <c r="D176" s="1" t="s">
        <v>41</v>
      </c>
      <c r="E176" s="1">
        <v>10</v>
      </c>
      <c r="F176" s="1">
        <v>20339</v>
      </c>
      <c r="G176" s="1">
        <v>2</v>
      </c>
      <c r="H176" s="2">
        <v>46088</v>
      </c>
      <c r="I176" s="2">
        <v>46094</v>
      </c>
      <c r="J176" s="1" t="s">
        <v>20</v>
      </c>
      <c r="K176" s="1">
        <v>1175</v>
      </c>
      <c r="L176" s="1" t="str">
        <f t="shared" si="0"/>
        <v>Vikram_Headset</v>
      </c>
    </row>
    <row r="177" spans="1:12" x14ac:dyDescent="0.3">
      <c r="A177" s="1" t="s">
        <v>58</v>
      </c>
      <c r="B177" s="1" t="s">
        <v>38</v>
      </c>
      <c r="C177" s="1" t="s">
        <v>34</v>
      </c>
      <c r="D177" s="1" t="s">
        <v>41</v>
      </c>
      <c r="E177" s="1">
        <v>17</v>
      </c>
      <c r="F177" s="1">
        <v>46937</v>
      </c>
      <c r="G177" s="1">
        <v>12</v>
      </c>
      <c r="H177" s="2">
        <v>46048</v>
      </c>
      <c r="I177" s="2">
        <v>46056</v>
      </c>
      <c r="J177" s="1" t="s">
        <v>29</v>
      </c>
      <c r="K177" s="1">
        <v>1176</v>
      </c>
      <c r="L177" s="1" t="str">
        <f t="shared" si="0"/>
        <v>Rohan_Headset</v>
      </c>
    </row>
    <row r="178" spans="1:12" x14ac:dyDescent="0.3">
      <c r="A178" s="1" t="s">
        <v>29</v>
      </c>
      <c r="B178" s="1" t="s">
        <v>22</v>
      </c>
      <c r="C178" s="1" t="s">
        <v>18</v>
      </c>
      <c r="D178" s="1" t="s">
        <v>19</v>
      </c>
      <c r="E178" s="1">
        <v>14</v>
      </c>
      <c r="F178" s="1">
        <v>7501</v>
      </c>
      <c r="G178" s="1">
        <v>7</v>
      </c>
      <c r="H178" s="2">
        <v>46169</v>
      </c>
      <c r="I178" s="2">
        <v>46179</v>
      </c>
      <c r="J178" s="1" t="s">
        <v>20</v>
      </c>
      <c r="K178" s="1">
        <v>1177</v>
      </c>
      <c r="L178" s="1" t="str">
        <f t="shared" si="0"/>
        <v>Priya_Desk</v>
      </c>
    </row>
    <row r="179" spans="1:12" x14ac:dyDescent="0.3">
      <c r="A179" s="1" t="s">
        <v>57</v>
      </c>
      <c r="B179" s="1" t="s">
        <v>17</v>
      </c>
      <c r="C179" s="1" t="s">
        <v>13</v>
      </c>
      <c r="D179" s="1" t="s">
        <v>50</v>
      </c>
      <c r="E179" s="1">
        <v>5</v>
      </c>
      <c r="F179" s="1">
        <v>50</v>
      </c>
      <c r="G179" s="1">
        <v>0</v>
      </c>
      <c r="H179" s="2">
        <v>46111</v>
      </c>
      <c r="I179" s="2">
        <v>46117</v>
      </c>
      <c r="J179" s="1" t="s">
        <v>20</v>
      </c>
      <c r="K179" s="1">
        <v>1178</v>
      </c>
      <c r="L179" s="1" t="str">
        <f t="shared" si="0"/>
        <v>Sara_Marker</v>
      </c>
    </row>
    <row r="180" spans="1:12" x14ac:dyDescent="0.3">
      <c r="A180" s="1" t="s">
        <v>47</v>
      </c>
      <c r="B180" s="1" t="s">
        <v>17</v>
      </c>
      <c r="C180" s="1" t="s">
        <v>34</v>
      </c>
      <c r="D180" s="1" t="s">
        <v>39</v>
      </c>
      <c r="E180" s="1">
        <v>6</v>
      </c>
      <c r="F180" s="1">
        <v>10400</v>
      </c>
      <c r="G180" s="1">
        <v>2</v>
      </c>
      <c r="H180" s="2">
        <v>46155</v>
      </c>
      <c r="I180" s="2">
        <v>46158</v>
      </c>
      <c r="J180" s="1" t="s">
        <v>15</v>
      </c>
      <c r="K180" s="1">
        <v>1179</v>
      </c>
      <c r="L180" s="1" t="str">
        <f t="shared" si="0"/>
        <v>Yash_Keyboard</v>
      </c>
    </row>
    <row r="181" spans="1:12" x14ac:dyDescent="0.3">
      <c r="A181" s="1" t="s">
        <v>40</v>
      </c>
      <c r="B181" s="1" t="s">
        <v>31</v>
      </c>
      <c r="C181" s="1" t="s">
        <v>18</v>
      </c>
      <c r="D181" s="1" t="s">
        <v>28</v>
      </c>
      <c r="E181" s="1">
        <v>2</v>
      </c>
      <c r="F181" s="1">
        <v>2076</v>
      </c>
      <c r="G181" s="1">
        <v>2</v>
      </c>
      <c r="H181" s="2">
        <v>46111</v>
      </c>
      <c r="I181" s="2">
        <v>46121</v>
      </c>
      <c r="J181" s="1" t="s">
        <v>29</v>
      </c>
      <c r="K181" s="1">
        <v>1180</v>
      </c>
      <c r="L181" s="1" t="str">
        <f t="shared" si="0"/>
        <v>Deepak_Chair</v>
      </c>
    </row>
    <row r="182" spans="1:12" x14ac:dyDescent="0.3">
      <c r="A182" s="1" t="s">
        <v>58</v>
      </c>
      <c r="B182" s="1" t="s">
        <v>33</v>
      </c>
      <c r="C182" s="1" t="s">
        <v>13</v>
      </c>
      <c r="D182" s="1" t="s">
        <v>36</v>
      </c>
      <c r="E182" s="1">
        <v>4</v>
      </c>
      <c r="F182" s="1">
        <v>357</v>
      </c>
      <c r="G182" s="1">
        <v>2</v>
      </c>
      <c r="H182" s="2">
        <v>46033</v>
      </c>
      <c r="I182" s="2">
        <v>46035</v>
      </c>
      <c r="J182" s="1" t="s">
        <v>15</v>
      </c>
      <c r="K182" s="1">
        <v>1181</v>
      </c>
      <c r="L182" s="1" t="str">
        <f t="shared" si="0"/>
        <v>Rohan_Stapler</v>
      </c>
    </row>
    <row r="183" spans="1:12" x14ac:dyDescent="0.3">
      <c r="A183" s="1" t="s">
        <v>42</v>
      </c>
      <c r="B183" s="1" t="s">
        <v>12</v>
      </c>
      <c r="C183" s="1" t="s">
        <v>34</v>
      </c>
      <c r="D183" s="1" t="s">
        <v>39</v>
      </c>
      <c r="E183" s="1">
        <v>8</v>
      </c>
      <c r="F183" s="1">
        <v>66022</v>
      </c>
      <c r="G183" s="1">
        <v>12</v>
      </c>
      <c r="H183" s="2">
        <v>46108</v>
      </c>
      <c r="I183" s="2">
        <v>46114</v>
      </c>
      <c r="J183" s="1" t="s">
        <v>24</v>
      </c>
      <c r="K183" s="1">
        <v>1182</v>
      </c>
      <c r="L183" s="1" t="str">
        <f t="shared" si="0"/>
        <v>Nisha_Keyboard</v>
      </c>
    </row>
    <row r="184" spans="1:12" x14ac:dyDescent="0.3">
      <c r="A184" s="1" t="s">
        <v>52</v>
      </c>
      <c r="B184" s="1" t="s">
        <v>43</v>
      </c>
      <c r="C184" s="1" t="s">
        <v>13</v>
      </c>
      <c r="D184" s="1" t="s">
        <v>14</v>
      </c>
      <c r="E184" s="1">
        <v>2</v>
      </c>
      <c r="F184" s="1">
        <v>309</v>
      </c>
      <c r="G184" s="1">
        <v>2</v>
      </c>
      <c r="H184" s="2">
        <v>46109</v>
      </c>
      <c r="I184" s="2">
        <v>46111</v>
      </c>
      <c r="J184" s="1" t="s">
        <v>20</v>
      </c>
      <c r="K184" s="1">
        <v>1183</v>
      </c>
      <c r="L184" s="1" t="str">
        <f t="shared" si="0"/>
        <v>Komal_Notebook</v>
      </c>
    </row>
    <row r="185" spans="1:12" x14ac:dyDescent="0.3">
      <c r="A185" s="1" t="s">
        <v>40</v>
      </c>
      <c r="B185" s="1" t="s">
        <v>31</v>
      </c>
      <c r="C185" s="1" t="s">
        <v>34</v>
      </c>
      <c r="D185" s="1" t="s">
        <v>39</v>
      </c>
      <c r="E185" s="1">
        <v>12</v>
      </c>
      <c r="F185" s="1">
        <v>50517</v>
      </c>
      <c r="G185" s="1">
        <v>15</v>
      </c>
      <c r="H185" s="2">
        <v>46145</v>
      </c>
      <c r="I185" s="2">
        <v>46153</v>
      </c>
      <c r="J185" s="1" t="s">
        <v>29</v>
      </c>
      <c r="K185" s="1">
        <v>1184</v>
      </c>
      <c r="L185" s="1" t="str">
        <f t="shared" si="0"/>
        <v>Deepak_Keyboard</v>
      </c>
    </row>
    <row r="186" spans="1:12" x14ac:dyDescent="0.3">
      <c r="A186" s="1" t="s">
        <v>58</v>
      </c>
      <c r="B186" s="1" t="s">
        <v>22</v>
      </c>
      <c r="C186" s="1" t="s">
        <v>34</v>
      </c>
      <c r="D186" s="1" t="s">
        <v>60</v>
      </c>
      <c r="E186" s="1">
        <v>16</v>
      </c>
      <c r="F186" s="1">
        <v>15536</v>
      </c>
      <c r="G186" s="1">
        <v>2</v>
      </c>
      <c r="H186" s="2">
        <v>46153</v>
      </c>
      <c r="I186" s="2">
        <v>46156</v>
      </c>
      <c r="J186" s="1" t="s">
        <v>15</v>
      </c>
      <c r="K186" s="1">
        <v>1185</v>
      </c>
      <c r="L186" s="1" t="str">
        <f t="shared" si="0"/>
        <v>Rohan_Laptop</v>
      </c>
    </row>
    <row r="187" spans="1:12" x14ac:dyDescent="0.3">
      <c r="A187" s="1" t="s">
        <v>16</v>
      </c>
      <c r="B187" s="1" t="s">
        <v>25</v>
      </c>
      <c r="C187" s="1" t="s">
        <v>18</v>
      </c>
      <c r="D187" s="1" t="s">
        <v>44</v>
      </c>
      <c r="E187" s="1">
        <v>10</v>
      </c>
      <c r="F187" s="1">
        <v>14951</v>
      </c>
      <c r="G187" s="1">
        <v>2</v>
      </c>
      <c r="H187" s="2">
        <v>46188</v>
      </c>
      <c r="I187" s="2">
        <v>46196</v>
      </c>
      <c r="J187" s="1" t="s">
        <v>24</v>
      </c>
      <c r="K187" s="1">
        <v>1186</v>
      </c>
      <c r="L187" s="1" t="str">
        <f t="shared" si="0"/>
        <v>Pooja_Bookshelf</v>
      </c>
    </row>
    <row r="188" spans="1:12" x14ac:dyDescent="0.3">
      <c r="A188" s="1" t="s">
        <v>54</v>
      </c>
      <c r="B188" s="1" t="s">
        <v>22</v>
      </c>
      <c r="C188" s="1" t="s">
        <v>34</v>
      </c>
      <c r="D188" s="1" t="s">
        <v>45</v>
      </c>
      <c r="E188" s="1">
        <v>18</v>
      </c>
      <c r="F188" s="1">
        <v>68527</v>
      </c>
      <c r="G188" s="1">
        <v>12</v>
      </c>
      <c r="H188" s="2">
        <v>46178</v>
      </c>
      <c r="I188" s="2">
        <v>46184</v>
      </c>
      <c r="J188" s="1" t="s">
        <v>51</v>
      </c>
      <c r="K188" s="1">
        <v>1187</v>
      </c>
      <c r="L188" s="1" t="str">
        <f t="shared" si="0"/>
        <v>Manoj_Monitor</v>
      </c>
    </row>
    <row r="189" spans="1:12" x14ac:dyDescent="0.3">
      <c r="A189" s="1" t="s">
        <v>29</v>
      </c>
      <c r="B189" s="1" t="s">
        <v>22</v>
      </c>
      <c r="C189" s="1" t="s">
        <v>18</v>
      </c>
      <c r="D189" s="1" t="s">
        <v>56</v>
      </c>
      <c r="E189" s="1">
        <v>6</v>
      </c>
      <c r="F189" s="1">
        <v>10368</v>
      </c>
      <c r="G189" s="1">
        <v>7</v>
      </c>
      <c r="H189" s="2">
        <v>46137</v>
      </c>
      <c r="I189" s="2">
        <v>46142</v>
      </c>
      <c r="J189" s="1" t="s">
        <v>15</v>
      </c>
      <c r="K189" s="1">
        <v>1188</v>
      </c>
      <c r="L189" s="1" t="str">
        <f t="shared" si="0"/>
        <v>Priya_Cabinet</v>
      </c>
    </row>
    <row r="190" spans="1:12" x14ac:dyDescent="0.3">
      <c r="A190" s="1" t="s">
        <v>49</v>
      </c>
      <c r="B190" s="1" t="s">
        <v>31</v>
      </c>
      <c r="C190" s="1" t="s">
        <v>18</v>
      </c>
      <c r="D190" s="1" t="s">
        <v>56</v>
      </c>
      <c r="E190" s="1">
        <v>12</v>
      </c>
      <c r="F190" s="1">
        <v>8327</v>
      </c>
      <c r="G190" s="1">
        <v>10</v>
      </c>
      <c r="H190" s="2">
        <v>46184</v>
      </c>
      <c r="I190" s="2">
        <v>46185</v>
      </c>
      <c r="J190" s="1" t="s">
        <v>29</v>
      </c>
      <c r="K190" s="1">
        <v>1189</v>
      </c>
      <c r="L190" s="1" t="str">
        <f t="shared" si="0"/>
        <v>Ajay_Cabinet</v>
      </c>
    </row>
    <row r="191" spans="1:12" x14ac:dyDescent="0.3">
      <c r="A191" s="1" t="s">
        <v>57</v>
      </c>
      <c r="B191" s="1" t="s">
        <v>17</v>
      </c>
      <c r="C191" s="1" t="s">
        <v>18</v>
      </c>
      <c r="D191" s="1" t="s">
        <v>28</v>
      </c>
      <c r="E191" s="1">
        <v>4</v>
      </c>
      <c r="F191" s="1">
        <v>10154</v>
      </c>
      <c r="G191" s="1">
        <v>7</v>
      </c>
      <c r="H191" s="2">
        <v>46052</v>
      </c>
      <c r="I191" s="2">
        <v>46062</v>
      </c>
      <c r="J191" s="1" t="s">
        <v>20</v>
      </c>
      <c r="K191" s="1">
        <v>1190</v>
      </c>
      <c r="L191" s="1" t="str">
        <f t="shared" si="0"/>
        <v>Sara_Chair</v>
      </c>
    </row>
    <row r="192" spans="1:12" x14ac:dyDescent="0.3">
      <c r="A192" s="1" t="s">
        <v>52</v>
      </c>
      <c r="B192" s="1" t="s">
        <v>33</v>
      </c>
      <c r="C192" s="1" t="s">
        <v>18</v>
      </c>
      <c r="D192" s="1" t="s">
        <v>56</v>
      </c>
      <c r="E192" s="1">
        <v>9</v>
      </c>
      <c r="F192" s="1">
        <v>8631</v>
      </c>
      <c r="G192" s="1">
        <v>10</v>
      </c>
      <c r="H192" s="2">
        <v>46149</v>
      </c>
      <c r="I192" s="2">
        <v>46156</v>
      </c>
      <c r="J192" s="1" t="s">
        <v>20</v>
      </c>
      <c r="K192" s="1">
        <v>1191</v>
      </c>
      <c r="L192" s="1" t="str">
        <f t="shared" si="0"/>
        <v>Komal_Cabinet</v>
      </c>
    </row>
    <row r="193" spans="1:12" x14ac:dyDescent="0.3">
      <c r="A193" s="1" t="s">
        <v>21</v>
      </c>
      <c r="B193" s="1" t="s">
        <v>33</v>
      </c>
      <c r="C193" s="1" t="s">
        <v>13</v>
      </c>
      <c r="D193" s="1" t="s">
        <v>53</v>
      </c>
      <c r="E193" s="1">
        <v>18</v>
      </c>
      <c r="F193" s="1">
        <v>49</v>
      </c>
      <c r="G193" s="1">
        <v>12</v>
      </c>
      <c r="H193" s="2">
        <v>46089</v>
      </c>
      <c r="I193" s="2">
        <v>46095</v>
      </c>
      <c r="J193" s="1" t="s">
        <v>24</v>
      </c>
      <c r="K193" s="1">
        <v>1192</v>
      </c>
      <c r="L193" s="1" t="str">
        <f t="shared" si="0"/>
        <v>Meera_Diary</v>
      </c>
    </row>
    <row r="194" spans="1:12" x14ac:dyDescent="0.3">
      <c r="A194" s="1" t="s">
        <v>57</v>
      </c>
      <c r="B194" s="1" t="s">
        <v>12</v>
      </c>
      <c r="C194" s="1" t="s">
        <v>18</v>
      </c>
      <c r="D194" s="1" t="s">
        <v>23</v>
      </c>
      <c r="E194" s="1">
        <v>19</v>
      </c>
      <c r="F194" s="1">
        <v>2699</v>
      </c>
      <c r="G194" s="1">
        <v>7</v>
      </c>
      <c r="H194" s="2">
        <v>46110</v>
      </c>
      <c r="I194" s="2">
        <v>46112</v>
      </c>
      <c r="J194" s="1" t="s">
        <v>29</v>
      </c>
      <c r="K194" s="1">
        <v>1193</v>
      </c>
      <c r="L194" s="1" t="str">
        <f t="shared" si="0"/>
        <v>Sara_Table</v>
      </c>
    </row>
    <row r="195" spans="1:12" x14ac:dyDescent="0.3">
      <c r="A195" s="1" t="s">
        <v>57</v>
      </c>
      <c r="B195" s="1" t="s">
        <v>43</v>
      </c>
      <c r="C195" s="1" t="s">
        <v>18</v>
      </c>
      <c r="D195" s="1" t="s">
        <v>28</v>
      </c>
      <c r="E195" s="1">
        <v>13</v>
      </c>
      <c r="F195" s="1">
        <v>12856</v>
      </c>
      <c r="G195" s="1">
        <v>15</v>
      </c>
      <c r="H195" s="2">
        <v>46129</v>
      </c>
      <c r="I195" s="2">
        <v>46133</v>
      </c>
      <c r="J195" s="1" t="s">
        <v>51</v>
      </c>
      <c r="K195" s="1">
        <v>1194</v>
      </c>
      <c r="L195" s="1" t="str">
        <f t="shared" si="0"/>
        <v>Sara_Chair</v>
      </c>
    </row>
    <row r="196" spans="1:12" x14ac:dyDescent="0.3">
      <c r="A196" s="1" t="s">
        <v>59</v>
      </c>
      <c r="B196" s="1" t="s">
        <v>17</v>
      </c>
      <c r="C196" s="1" t="s">
        <v>13</v>
      </c>
      <c r="D196" s="1" t="s">
        <v>50</v>
      </c>
      <c r="E196" s="1">
        <v>19</v>
      </c>
      <c r="F196" s="1">
        <v>313</v>
      </c>
      <c r="G196" s="1">
        <v>2</v>
      </c>
      <c r="H196" s="2">
        <v>46198</v>
      </c>
      <c r="I196" s="2">
        <v>46206</v>
      </c>
      <c r="J196" s="1" t="s">
        <v>51</v>
      </c>
      <c r="K196" s="1">
        <v>1195</v>
      </c>
      <c r="L196" s="1" t="str">
        <f t="shared" si="0"/>
        <v>Anita_Marker</v>
      </c>
    </row>
    <row r="197" spans="1:12" x14ac:dyDescent="0.3">
      <c r="A197" s="1" t="s">
        <v>48</v>
      </c>
      <c r="B197" s="1" t="s">
        <v>22</v>
      </c>
      <c r="C197" s="1" t="s">
        <v>34</v>
      </c>
      <c r="D197" s="1" t="s">
        <v>35</v>
      </c>
      <c r="E197" s="1">
        <v>20</v>
      </c>
      <c r="F197" s="1">
        <v>3172</v>
      </c>
      <c r="G197" s="1">
        <v>5</v>
      </c>
      <c r="H197" s="2">
        <v>46155</v>
      </c>
      <c r="I197" s="2">
        <v>46159</v>
      </c>
      <c r="J197" s="1" t="s">
        <v>20</v>
      </c>
      <c r="K197" s="1">
        <v>1196</v>
      </c>
      <c r="L197" s="1" t="str">
        <f t="shared" si="0"/>
        <v>Nitin_Printer</v>
      </c>
    </row>
    <row r="198" spans="1:12" x14ac:dyDescent="0.3">
      <c r="A198" s="1" t="s">
        <v>52</v>
      </c>
      <c r="B198" s="1" t="s">
        <v>31</v>
      </c>
      <c r="C198" s="1" t="s">
        <v>34</v>
      </c>
      <c r="D198" s="1" t="s">
        <v>35</v>
      </c>
      <c r="E198" s="1">
        <v>5</v>
      </c>
      <c r="F198" s="1">
        <v>45352</v>
      </c>
      <c r="G198" s="1">
        <v>12</v>
      </c>
      <c r="H198" s="2">
        <v>46045</v>
      </c>
      <c r="I198" s="2">
        <v>46048</v>
      </c>
      <c r="J198" s="1" t="s">
        <v>15</v>
      </c>
      <c r="K198" s="1">
        <v>1197</v>
      </c>
      <c r="L198" s="1" t="str">
        <f t="shared" si="0"/>
        <v>Komal_Printer</v>
      </c>
    </row>
    <row r="199" spans="1:12" x14ac:dyDescent="0.3">
      <c r="A199" s="1" t="s">
        <v>58</v>
      </c>
      <c r="B199" s="1" t="s">
        <v>12</v>
      </c>
      <c r="C199" s="1" t="s">
        <v>13</v>
      </c>
      <c r="D199" s="1" t="s">
        <v>14</v>
      </c>
      <c r="E199" s="1">
        <v>12</v>
      </c>
      <c r="F199" s="1">
        <v>491</v>
      </c>
      <c r="G199" s="1">
        <v>2</v>
      </c>
      <c r="H199" s="2">
        <v>46106</v>
      </c>
      <c r="I199" s="2">
        <v>46109</v>
      </c>
      <c r="J199" s="1" t="s">
        <v>51</v>
      </c>
      <c r="K199" s="1">
        <v>1198</v>
      </c>
      <c r="L199" s="1" t="str">
        <f t="shared" si="0"/>
        <v>Rohan_Notebook</v>
      </c>
    </row>
    <row r="200" spans="1:12" x14ac:dyDescent="0.3">
      <c r="A200" s="1" t="s">
        <v>11</v>
      </c>
      <c r="B200" s="1" t="s">
        <v>25</v>
      </c>
      <c r="C200" s="1" t="s">
        <v>34</v>
      </c>
      <c r="D200" s="1" t="s">
        <v>45</v>
      </c>
      <c r="E200" s="1">
        <v>2</v>
      </c>
      <c r="F200" s="1">
        <v>4375</v>
      </c>
      <c r="G200" s="1">
        <v>7</v>
      </c>
      <c r="H200" s="2">
        <v>46178</v>
      </c>
      <c r="I200" s="2">
        <v>46180</v>
      </c>
      <c r="J200" s="1" t="s">
        <v>24</v>
      </c>
      <c r="K200" s="1">
        <v>1199</v>
      </c>
      <c r="L200" s="1" t="str">
        <f t="shared" si="0"/>
        <v>Ritesh_Monitor</v>
      </c>
    </row>
    <row r="201" spans="1:12" x14ac:dyDescent="0.3">
      <c r="A201" s="1" t="s">
        <v>29</v>
      </c>
      <c r="B201" s="1" t="s">
        <v>31</v>
      </c>
      <c r="C201" s="1" t="s">
        <v>34</v>
      </c>
      <c r="D201" s="1" t="s">
        <v>45</v>
      </c>
      <c r="E201" s="1">
        <v>13</v>
      </c>
      <c r="F201" s="1">
        <v>69422</v>
      </c>
      <c r="G201" s="1">
        <v>0</v>
      </c>
      <c r="H201" s="2">
        <v>46134</v>
      </c>
      <c r="I201" s="2">
        <v>46143</v>
      </c>
      <c r="J201" s="1" t="s">
        <v>29</v>
      </c>
      <c r="K201" s="1">
        <v>1200</v>
      </c>
      <c r="L201" s="1" t="str">
        <f t="shared" si="0"/>
        <v>Priya_Monitor</v>
      </c>
    </row>
    <row r="202" spans="1:12" x14ac:dyDescent="0.3">
      <c r="A202" s="1" t="s">
        <v>54</v>
      </c>
      <c r="B202" s="1" t="s">
        <v>31</v>
      </c>
      <c r="C202" s="1" t="s">
        <v>13</v>
      </c>
      <c r="D202" s="1" t="s">
        <v>53</v>
      </c>
      <c r="E202" s="1">
        <v>18</v>
      </c>
      <c r="F202" s="1">
        <v>139</v>
      </c>
      <c r="G202" s="1">
        <v>12</v>
      </c>
      <c r="H202" s="2">
        <v>46075</v>
      </c>
      <c r="I202" s="2">
        <v>46076</v>
      </c>
      <c r="J202" s="1" t="s">
        <v>20</v>
      </c>
      <c r="K202" s="1">
        <v>1201</v>
      </c>
      <c r="L202" s="1" t="str">
        <f t="shared" si="0"/>
        <v>Manoj_Diary</v>
      </c>
    </row>
    <row r="203" spans="1:12" x14ac:dyDescent="0.3">
      <c r="A203" s="1" t="s">
        <v>57</v>
      </c>
      <c r="B203" s="1" t="s">
        <v>22</v>
      </c>
      <c r="C203" s="1" t="s">
        <v>34</v>
      </c>
      <c r="D203" s="1" t="s">
        <v>35</v>
      </c>
      <c r="E203" s="1">
        <v>2</v>
      </c>
      <c r="F203" s="1">
        <v>20312</v>
      </c>
      <c r="G203" s="1">
        <v>12</v>
      </c>
      <c r="H203" s="2">
        <v>46082</v>
      </c>
      <c r="I203" s="2">
        <v>46091</v>
      </c>
      <c r="J203" s="1" t="s">
        <v>15</v>
      </c>
      <c r="K203" s="1">
        <v>1202</v>
      </c>
      <c r="L203" s="1" t="str">
        <f t="shared" si="0"/>
        <v>Sara_Printer</v>
      </c>
    </row>
    <row r="204" spans="1:12" x14ac:dyDescent="0.3">
      <c r="A204" s="1" t="s">
        <v>40</v>
      </c>
      <c r="B204" s="1" t="s">
        <v>22</v>
      </c>
      <c r="C204" s="1" t="s">
        <v>18</v>
      </c>
      <c r="D204" s="1" t="s">
        <v>23</v>
      </c>
      <c r="E204" s="1">
        <v>17</v>
      </c>
      <c r="F204" s="1">
        <v>6695</v>
      </c>
      <c r="G204" s="1">
        <v>2</v>
      </c>
      <c r="H204" s="2">
        <v>46119</v>
      </c>
      <c r="I204" s="2">
        <v>46122</v>
      </c>
      <c r="J204" s="1" t="s">
        <v>51</v>
      </c>
      <c r="K204" s="1">
        <v>1203</v>
      </c>
      <c r="L204" s="1" t="str">
        <f t="shared" si="0"/>
        <v>Deepak_Table</v>
      </c>
    </row>
    <row r="205" spans="1:12" x14ac:dyDescent="0.3">
      <c r="A205" s="1" t="s">
        <v>16</v>
      </c>
      <c r="B205" s="1" t="s">
        <v>31</v>
      </c>
      <c r="C205" s="1" t="s">
        <v>13</v>
      </c>
      <c r="D205" s="1" t="s">
        <v>37</v>
      </c>
      <c r="E205" s="1">
        <v>13</v>
      </c>
      <c r="F205" s="1">
        <v>416</v>
      </c>
      <c r="G205" s="1">
        <v>10</v>
      </c>
      <c r="H205" s="2">
        <v>46123</v>
      </c>
      <c r="I205" s="2">
        <v>46132</v>
      </c>
      <c r="J205" s="1" t="s">
        <v>20</v>
      </c>
      <c r="K205" s="1">
        <v>1204</v>
      </c>
      <c r="L205" s="1" t="str">
        <f t="shared" si="0"/>
        <v>Pooja_Pen Pack</v>
      </c>
    </row>
    <row r="206" spans="1:12" x14ac:dyDescent="0.3">
      <c r="A206" s="1" t="s">
        <v>21</v>
      </c>
      <c r="B206" s="1" t="s">
        <v>38</v>
      </c>
      <c r="C206" s="1" t="s">
        <v>13</v>
      </c>
      <c r="D206" s="1" t="s">
        <v>36</v>
      </c>
      <c r="E206" s="1">
        <v>1</v>
      </c>
      <c r="F206" s="1">
        <v>112</v>
      </c>
      <c r="G206" s="1">
        <v>7</v>
      </c>
      <c r="H206" s="2">
        <v>46033</v>
      </c>
      <c r="I206" s="2">
        <v>46040</v>
      </c>
      <c r="J206" s="1" t="s">
        <v>51</v>
      </c>
      <c r="K206" s="1">
        <v>1205</v>
      </c>
      <c r="L206" s="1" t="str">
        <f t="shared" si="0"/>
        <v>Meera_Stapler</v>
      </c>
    </row>
    <row r="207" spans="1:12" x14ac:dyDescent="0.3">
      <c r="A207" s="1" t="s">
        <v>55</v>
      </c>
      <c r="B207" s="1" t="s">
        <v>33</v>
      </c>
      <c r="C207" s="1" t="s">
        <v>13</v>
      </c>
      <c r="D207" s="1" t="s">
        <v>14</v>
      </c>
      <c r="E207" s="1">
        <v>9</v>
      </c>
      <c r="F207" s="1">
        <v>60</v>
      </c>
      <c r="G207" s="1">
        <v>0</v>
      </c>
      <c r="H207" s="2">
        <v>46166</v>
      </c>
      <c r="I207" s="2">
        <v>46174</v>
      </c>
      <c r="J207" s="1" t="s">
        <v>15</v>
      </c>
      <c r="K207" s="1">
        <v>1206</v>
      </c>
      <c r="L207" s="1" t="str">
        <f t="shared" si="0"/>
        <v>Sneha_Notebook</v>
      </c>
    </row>
    <row r="208" spans="1:12" x14ac:dyDescent="0.3">
      <c r="A208" s="1" t="s">
        <v>55</v>
      </c>
      <c r="B208" s="1" t="s">
        <v>25</v>
      </c>
      <c r="C208" s="1" t="s">
        <v>13</v>
      </c>
      <c r="D208" s="1" t="s">
        <v>53</v>
      </c>
      <c r="E208" s="1">
        <v>7</v>
      </c>
      <c r="F208" s="1">
        <v>244</v>
      </c>
      <c r="G208" s="1">
        <v>2</v>
      </c>
      <c r="H208" s="2">
        <v>46164</v>
      </c>
      <c r="I208" s="2">
        <v>46173</v>
      </c>
      <c r="J208" s="1" t="s">
        <v>24</v>
      </c>
      <c r="K208" s="1">
        <v>1207</v>
      </c>
      <c r="L208" s="1" t="str">
        <f t="shared" si="0"/>
        <v>Sneha_Diary</v>
      </c>
    </row>
    <row r="209" spans="1:12" x14ac:dyDescent="0.3">
      <c r="A209" s="1" t="s">
        <v>54</v>
      </c>
      <c r="B209" s="1" t="s">
        <v>43</v>
      </c>
      <c r="C209" s="1" t="s">
        <v>18</v>
      </c>
      <c r="D209" s="1" t="s">
        <v>44</v>
      </c>
      <c r="E209" s="1">
        <v>6</v>
      </c>
      <c r="F209" s="1">
        <v>7627</v>
      </c>
      <c r="G209" s="1">
        <v>10</v>
      </c>
      <c r="H209" s="2">
        <v>46042</v>
      </c>
      <c r="I209" s="2">
        <v>46047</v>
      </c>
      <c r="J209" s="1" t="s">
        <v>20</v>
      </c>
      <c r="K209" s="1">
        <v>1208</v>
      </c>
      <c r="L209" s="1" t="str">
        <f t="shared" si="0"/>
        <v>Manoj_Bookshelf</v>
      </c>
    </row>
    <row r="210" spans="1:12" x14ac:dyDescent="0.3">
      <c r="A210" s="1" t="s">
        <v>48</v>
      </c>
      <c r="B210" s="1" t="s">
        <v>38</v>
      </c>
      <c r="C210" s="1" t="s">
        <v>34</v>
      </c>
      <c r="D210" s="1" t="s">
        <v>35</v>
      </c>
      <c r="E210" s="1">
        <v>19</v>
      </c>
      <c r="F210" s="1">
        <v>20284</v>
      </c>
      <c r="G210" s="1">
        <v>10</v>
      </c>
      <c r="H210" s="2">
        <v>46103</v>
      </c>
      <c r="I210" s="2">
        <v>46110</v>
      </c>
      <c r="J210" s="1" t="s">
        <v>20</v>
      </c>
      <c r="K210" s="1">
        <v>1209</v>
      </c>
      <c r="L210" s="1" t="str">
        <f t="shared" si="0"/>
        <v>Nitin_Printer</v>
      </c>
    </row>
    <row r="211" spans="1:12" x14ac:dyDescent="0.3">
      <c r="A211" s="1" t="s">
        <v>30</v>
      </c>
      <c r="B211" s="1" t="s">
        <v>31</v>
      </c>
      <c r="C211" s="1" t="s">
        <v>13</v>
      </c>
      <c r="D211" s="1" t="s">
        <v>53</v>
      </c>
      <c r="E211" s="1">
        <v>10</v>
      </c>
      <c r="F211" s="1">
        <v>349</v>
      </c>
      <c r="G211" s="1">
        <v>0</v>
      </c>
      <c r="H211" s="2">
        <v>46052</v>
      </c>
      <c r="I211" s="2">
        <v>46060</v>
      </c>
      <c r="J211" s="1" t="s">
        <v>29</v>
      </c>
      <c r="K211" s="1">
        <v>1210</v>
      </c>
      <c r="L211" s="1" t="str">
        <f t="shared" si="0"/>
        <v>Neha_Diary</v>
      </c>
    </row>
    <row r="212" spans="1:12" x14ac:dyDescent="0.3">
      <c r="A212" s="1" t="s">
        <v>48</v>
      </c>
      <c r="B212" s="1" t="s">
        <v>17</v>
      </c>
      <c r="C212" s="1" t="s">
        <v>34</v>
      </c>
      <c r="D212" s="1" t="s">
        <v>35</v>
      </c>
      <c r="E212" s="1">
        <v>3</v>
      </c>
      <c r="F212" s="1">
        <v>5962</v>
      </c>
      <c r="G212" s="1">
        <v>7</v>
      </c>
      <c r="H212" s="2">
        <v>46175</v>
      </c>
      <c r="I212" s="2">
        <v>46183</v>
      </c>
      <c r="J212" s="1" t="s">
        <v>15</v>
      </c>
      <c r="K212" s="1">
        <v>1211</v>
      </c>
      <c r="L212" s="1" t="str">
        <f t="shared" si="0"/>
        <v>Nitin_Printer</v>
      </c>
    </row>
    <row r="213" spans="1:12" x14ac:dyDescent="0.3">
      <c r="A213" s="1" t="s">
        <v>59</v>
      </c>
      <c r="B213" s="1" t="s">
        <v>25</v>
      </c>
      <c r="C213" s="1" t="s">
        <v>34</v>
      </c>
      <c r="D213" s="1" t="s">
        <v>60</v>
      </c>
      <c r="E213" s="1">
        <v>10</v>
      </c>
      <c r="F213" s="1">
        <v>34380</v>
      </c>
      <c r="G213" s="1">
        <v>7</v>
      </c>
      <c r="H213" s="2">
        <v>46194</v>
      </c>
      <c r="I213" s="2">
        <v>46195</v>
      </c>
      <c r="J213" s="1" t="s">
        <v>29</v>
      </c>
      <c r="K213" s="1">
        <v>1212</v>
      </c>
      <c r="L213" s="1" t="str">
        <f t="shared" si="0"/>
        <v>Anita_Laptop</v>
      </c>
    </row>
    <row r="214" spans="1:12" x14ac:dyDescent="0.3">
      <c r="A214" s="1" t="s">
        <v>32</v>
      </c>
      <c r="B214" s="1" t="s">
        <v>38</v>
      </c>
      <c r="C214" s="1" t="s">
        <v>34</v>
      </c>
      <c r="D214" s="1" t="s">
        <v>45</v>
      </c>
      <c r="E214" s="1">
        <v>16</v>
      </c>
      <c r="F214" s="1">
        <v>27741</v>
      </c>
      <c r="G214" s="1">
        <v>12</v>
      </c>
      <c r="H214" s="2">
        <v>46116</v>
      </c>
      <c r="I214" s="2">
        <v>46119</v>
      </c>
      <c r="J214" s="1" t="s">
        <v>15</v>
      </c>
      <c r="K214" s="1">
        <v>1213</v>
      </c>
      <c r="L214" s="1" t="str">
        <f t="shared" si="0"/>
        <v>Asha_Monitor</v>
      </c>
    </row>
    <row r="215" spans="1:12" x14ac:dyDescent="0.3">
      <c r="A215" s="1" t="s">
        <v>42</v>
      </c>
      <c r="B215" s="1" t="s">
        <v>25</v>
      </c>
      <c r="C215" s="1" t="s">
        <v>18</v>
      </c>
      <c r="D215" s="1" t="s">
        <v>28</v>
      </c>
      <c r="E215" s="1">
        <v>19</v>
      </c>
      <c r="F215" s="1">
        <v>13832</v>
      </c>
      <c r="G215" s="1">
        <v>0</v>
      </c>
      <c r="H215" s="2">
        <v>46140</v>
      </c>
      <c r="I215" s="2">
        <v>46145</v>
      </c>
      <c r="J215" s="1" t="s">
        <v>51</v>
      </c>
      <c r="K215" s="1">
        <v>1214</v>
      </c>
      <c r="L215" s="1" t="str">
        <f t="shared" si="0"/>
        <v>Nisha_Chair</v>
      </c>
    </row>
    <row r="216" spans="1:12" x14ac:dyDescent="0.3">
      <c r="A216" s="1" t="s">
        <v>27</v>
      </c>
      <c r="B216" s="1" t="s">
        <v>12</v>
      </c>
      <c r="C216" s="1" t="s">
        <v>18</v>
      </c>
      <c r="D216" s="1" t="s">
        <v>28</v>
      </c>
      <c r="E216" s="1">
        <v>6</v>
      </c>
      <c r="F216" s="1">
        <v>1254</v>
      </c>
      <c r="G216" s="1">
        <v>0</v>
      </c>
      <c r="H216" s="2">
        <v>46131</v>
      </c>
      <c r="I216" s="2">
        <v>46136</v>
      </c>
      <c r="J216" s="1" t="s">
        <v>29</v>
      </c>
      <c r="K216" s="1">
        <v>1215</v>
      </c>
      <c r="L216" s="1" t="str">
        <f t="shared" si="0"/>
        <v>Arjun_Chair</v>
      </c>
    </row>
    <row r="217" spans="1:12" x14ac:dyDescent="0.3">
      <c r="A217" s="1" t="s">
        <v>40</v>
      </c>
      <c r="B217" s="1" t="s">
        <v>22</v>
      </c>
      <c r="C217" s="1" t="s">
        <v>34</v>
      </c>
      <c r="D217" s="1" t="s">
        <v>45</v>
      </c>
      <c r="E217" s="1">
        <v>10</v>
      </c>
      <c r="F217" s="1">
        <v>56709</v>
      </c>
      <c r="G217" s="1">
        <v>15</v>
      </c>
      <c r="H217" s="2">
        <v>46135</v>
      </c>
      <c r="I217" s="2">
        <v>46139</v>
      </c>
      <c r="J217" s="1" t="s">
        <v>29</v>
      </c>
      <c r="K217" s="1">
        <v>1216</v>
      </c>
      <c r="L217" s="1" t="str">
        <f t="shared" si="0"/>
        <v>Deepak_Monitor</v>
      </c>
    </row>
    <row r="218" spans="1:12" x14ac:dyDescent="0.3">
      <c r="A218" s="1" t="s">
        <v>30</v>
      </c>
      <c r="B218" s="1" t="s">
        <v>22</v>
      </c>
      <c r="C218" s="1" t="s">
        <v>13</v>
      </c>
      <c r="D218" s="1" t="s">
        <v>50</v>
      </c>
      <c r="E218" s="1">
        <v>18</v>
      </c>
      <c r="F218" s="1">
        <v>60</v>
      </c>
      <c r="G218" s="1">
        <v>0</v>
      </c>
      <c r="H218" s="2">
        <v>46171</v>
      </c>
      <c r="I218" s="2">
        <v>46172</v>
      </c>
      <c r="J218" s="1" t="s">
        <v>29</v>
      </c>
      <c r="K218" s="1">
        <v>1217</v>
      </c>
      <c r="L218" s="1" t="str">
        <f t="shared" si="0"/>
        <v>Neha_Marker</v>
      </c>
    </row>
    <row r="219" spans="1:12" x14ac:dyDescent="0.3">
      <c r="A219" s="1" t="s">
        <v>55</v>
      </c>
      <c r="B219" s="1" t="s">
        <v>38</v>
      </c>
      <c r="C219" s="1" t="s">
        <v>13</v>
      </c>
      <c r="D219" s="1" t="s">
        <v>14</v>
      </c>
      <c r="E219" s="1">
        <v>1</v>
      </c>
      <c r="F219" s="1">
        <v>134</v>
      </c>
      <c r="G219" s="1">
        <v>10</v>
      </c>
      <c r="H219" s="2">
        <v>46143</v>
      </c>
      <c r="I219" s="2">
        <v>46151</v>
      </c>
      <c r="J219" s="1" t="s">
        <v>51</v>
      </c>
      <c r="K219" s="1">
        <v>1218</v>
      </c>
      <c r="L219" s="1" t="str">
        <f t="shared" si="0"/>
        <v>Sneha_Notebook</v>
      </c>
    </row>
    <row r="220" spans="1:12" x14ac:dyDescent="0.3">
      <c r="A220" s="1" t="s">
        <v>46</v>
      </c>
      <c r="B220" s="1" t="s">
        <v>22</v>
      </c>
      <c r="C220" s="1" t="s">
        <v>13</v>
      </c>
      <c r="D220" s="1" t="s">
        <v>14</v>
      </c>
      <c r="E220" s="1">
        <v>4</v>
      </c>
      <c r="F220" s="1">
        <v>117</v>
      </c>
      <c r="G220" s="1">
        <v>15</v>
      </c>
      <c r="H220" s="2">
        <v>46202</v>
      </c>
      <c r="I220" s="2">
        <v>46206</v>
      </c>
      <c r="J220" s="1" t="s">
        <v>29</v>
      </c>
      <c r="K220" s="1">
        <v>1219</v>
      </c>
      <c r="L220" s="1" t="str">
        <f t="shared" si="0"/>
        <v>Kiran_Notebook</v>
      </c>
    </row>
    <row r="221" spans="1:12" x14ac:dyDescent="0.3">
      <c r="A221" s="1" t="s">
        <v>11</v>
      </c>
      <c r="B221" s="1" t="s">
        <v>25</v>
      </c>
      <c r="C221" s="1" t="s">
        <v>18</v>
      </c>
      <c r="D221" s="1" t="s">
        <v>56</v>
      </c>
      <c r="E221" s="1">
        <v>2</v>
      </c>
      <c r="F221" s="1">
        <v>8861</v>
      </c>
      <c r="G221" s="1">
        <v>2</v>
      </c>
      <c r="H221" s="2">
        <v>46170</v>
      </c>
      <c r="I221" s="2">
        <v>46174</v>
      </c>
      <c r="J221" s="1" t="s">
        <v>24</v>
      </c>
      <c r="K221" s="1">
        <v>1220</v>
      </c>
      <c r="L221" s="1" t="str">
        <f t="shared" si="0"/>
        <v>Ritesh_Cabinet</v>
      </c>
    </row>
    <row r="222" spans="1:12" x14ac:dyDescent="0.3">
      <c r="A222" s="1" t="s">
        <v>11</v>
      </c>
      <c r="B222" s="1" t="s">
        <v>31</v>
      </c>
      <c r="C222" s="1" t="s">
        <v>18</v>
      </c>
      <c r="D222" s="1" t="s">
        <v>56</v>
      </c>
      <c r="E222" s="1">
        <v>18</v>
      </c>
      <c r="F222" s="1">
        <v>2681</v>
      </c>
      <c r="G222" s="1">
        <v>10</v>
      </c>
      <c r="H222" s="2">
        <v>46122</v>
      </c>
      <c r="I222" s="2">
        <v>46125</v>
      </c>
      <c r="J222" s="1" t="s">
        <v>51</v>
      </c>
      <c r="K222" s="1">
        <v>1221</v>
      </c>
      <c r="L222" s="1" t="str">
        <f t="shared" si="0"/>
        <v>Ritesh_Cabinet</v>
      </c>
    </row>
    <row r="223" spans="1:12" x14ac:dyDescent="0.3">
      <c r="A223" s="1" t="s">
        <v>30</v>
      </c>
      <c r="B223" s="1" t="s">
        <v>33</v>
      </c>
      <c r="C223" s="1" t="s">
        <v>18</v>
      </c>
      <c r="D223" s="1" t="s">
        <v>23</v>
      </c>
      <c r="E223" s="1">
        <v>9</v>
      </c>
      <c r="F223" s="1">
        <v>2712</v>
      </c>
      <c r="G223" s="1">
        <v>12</v>
      </c>
      <c r="H223" s="2">
        <v>46154</v>
      </c>
      <c r="I223" s="2">
        <v>46163</v>
      </c>
      <c r="J223" s="1" t="s">
        <v>15</v>
      </c>
      <c r="K223" s="1">
        <v>1222</v>
      </c>
      <c r="L223" s="1" t="str">
        <f t="shared" si="0"/>
        <v>Neha_Table</v>
      </c>
    </row>
    <row r="224" spans="1:12" x14ac:dyDescent="0.3">
      <c r="A224" s="1" t="s">
        <v>59</v>
      </c>
      <c r="B224" s="1" t="s">
        <v>17</v>
      </c>
      <c r="C224" s="1" t="s">
        <v>18</v>
      </c>
      <c r="D224" s="1" t="s">
        <v>23</v>
      </c>
      <c r="E224" s="1">
        <v>4</v>
      </c>
      <c r="F224" s="1">
        <v>2249</v>
      </c>
      <c r="G224" s="1">
        <v>7</v>
      </c>
      <c r="H224" s="2">
        <v>46077</v>
      </c>
      <c r="I224" s="2">
        <v>46084</v>
      </c>
      <c r="J224" s="1" t="s">
        <v>15</v>
      </c>
      <c r="K224" s="1">
        <v>1223</v>
      </c>
      <c r="L224" s="1" t="str">
        <f t="shared" si="0"/>
        <v>Anita_Table</v>
      </c>
    </row>
    <row r="225" spans="1:12" x14ac:dyDescent="0.3">
      <c r="A225" s="1" t="s">
        <v>30</v>
      </c>
      <c r="B225" s="1" t="s">
        <v>38</v>
      </c>
      <c r="C225" s="1" t="s">
        <v>34</v>
      </c>
      <c r="D225" s="1" t="s">
        <v>45</v>
      </c>
      <c r="E225" s="1">
        <v>16</v>
      </c>
      <c r="F225" s="1">
        <v>18378</v>
      </c>
      <c r="G225" s="1">
        <v>10</v>
      </c>
      <c r="H225" s="2">
        <v>46045</v>
      </c>
      <c r="I225" s="2">
        <v>46052</v>
      </c>
      <c r="J225" s="1" t="s">
        <v>24</v>
      </c>
      <c r="K225" s="1">
        <v>1224</v>
      </c>
      <c r="L225" s="1" t="str">
        <f t="shared" si="0"/>
        <v>Neha_Monitor</v>
      </c>
    </row>
    <row r="226" spans="1:12" x14ac:dyDescent="0.3">
      <c r="A226" s="1" t="s">
        <v>42</v>
      </c>
      <c r="B226" s="1" t="s">
        <v>31</v>
      </c>
      <c r="C226" s="1" t="s">
        <v>34</v>
      </c>
      <c r="D226" s="1" t="s">
        <v>35</v>
      </c>
      <c r="E226" s="1">
        <v>16</v>
      </c>
      <c r="F226" s="1">
        <v>32262</v>
      </c>
      <c r="G226" s="1">
        <v>12</v>
      </c>
      <c r="H226" s="2">
        <v>46125</v>
      </c>
      <c r="I226" s="2">
        <v>46126</v>
      </c>
      <c r="J226" s="1" t="s">
        <v>20</v>
      </c>
      <c r="K226" s="1">
        <v>1225</v>
      </c>
      <c r="L226" s="1" t="str">
        <f t="shared" si="0"/>
        <v>Nisha_Printer</v>
      </c>
    </row>
    <row r="227" spans="1:12" x14ac:dyDescent="0.3">
      <c r="A227" s="1" t="s">
        <v>29</v>
      </c>
      <c r="B227" s="1" t="s">
        <v>31</v>
      </c>
      <c r="C227" s="1" t="s">
        <v>34</v>
      </c>
      <c r="D227" s="1" t="s">
        <v>41</v>
      </c>
      <c r="E227" s="1">
        <v>13</v>
      </c>
      <c r="F227" s="1">
        <v>21332</v>
      </c>
      <c r="G227" s="1">
        <v>0</v>
      </c>
      <c r="H227" s="2">
        <v>46044</v>
      </c>
      <c r="I227" s="2">
        <v>46048</v>
      </c>
      <c r="J227" s="1" t="s">
        <v>29</v>
      </c>
      <c r="K227" s="1">
        <v>1226</v>
      </c>
      <c r="L227" s="1" t="str">
        <f t="shared" si="0"/>
        <v>Priya_Headset</v>
      </c>
    </row>
    <row r="228" spans="1:12" x14ac:dyDescent="0.3">
      <c r="A228" s="1" t="s">
        <v>58</v>
      </c>
      <c r="B228" s="1" t="s">
        <v>22</v>
      </c>
      <c r="C228" s="1" t="s">
        <v>34</v>
      </c>
      <c r="D228" s="1" t="s">
        <v>45</v>
      </c>
      <c r="E228" s="1">
        <v>16</v>
      </c>
      <c r="F228" s="1">
        <v>1321</v>
      </c>
      <c r="G228" s="1">
        <v>12</v>
      </c>
      <c r="H228" s="2">
        <v>46113</v>
      </c>
      <c r="I228" s="2">
        <v>46116</v>
      </c>
      <c r="J228" s="1" t="s">
        <v>15</v>
      </c>
      <c r="K228" s="1">
        <v>1227</v>
      </c>
      <c r="L228" s="1" t="str">
        <f t="shared" si="0"/>
        <v>Rohan_Monitor</v>
      </c>
    </row>
    <row r="229" spans="1:12" x14ac:dyDescent="0.3">
      <c r="A229" s="1" t="s">
        <v>29</v>
      </c>
      <c r="B229" s="1" t="s">
        <v>25</v>
      </c>
      <c r="C229" s="1" t="s">
        <v>34</v>
      </c>
      <c r="D229" s="1" t="s">
        <v>45</v>
      </c>
      <c r="E229" s="1">
        <v>16</v>
      </c>
      <c r="F229" s="1">
        <v>17477</v>
      </c>
      <c r="G229" s="1">
        <v>10</v>
      </c>
      <c r="H229" s="2">
        <v>46041</v>
      </c>
      <c r="I229" s="2">
        <v>46043</v>
      </c>
      <c r="J229" s="1" t="s">
        <v>24</v>
      </c>
      <c r="K229" s="1">
        <v>1228</v>
      </c>
      <c r="L229" s="1" t="str">
        <f t="shared" si="0"/>
        <v>Priya_Monitor</v>
      </c>
    </row>
    <row r="230" spans="1:12" x14ac:dyDescent="0.3">
      <c r="A230" s="1" t="s">
        <v>57</v>
      </c>
      <c r="B230" s="1" t="s">
        <v>12</v>
      </c>
      <c r="C230" s="1" t="s">
        <v>18</v>
      </c>
      <c r="D230" s="1" t="s">
        <v>56</v>
      </c>
      <c r="E230" s="1">
        <v>14</v>
      </c>
      <c r="F230" s="1">
        <v>5859</v>
      </c>
      <c r="G230" s="1">
        <v>12</v>
      </c>
      <c r="H230" s="2">
        <v>46027</v>
      </c>
      <c r="I230" s="2">
        <v>46036</v>
      </c>
      <c r="J230" s="1" t="s">
        <v>20</v>
      </c>
      <c r="K230" s="1">
        <v>1229</v>
      </c>
      <c r="L230" s="1" t="str">
        <f t="shared" si="0"/>
        <v>Sara_Cabinet</v>
      </c>
    </row>
    <row r="231" spans="1:12" x14ac:dyDescent="0.3">
      <c r="A231" s="1" t="s">
        <v>59</v>
      </c>
      <c r="B231" s="1" t="s">
        <v>33</v>
      </c>
      <c r="C231" s="1" t="s">
        <v>34</v>
      </c>
      <c r="D231" s="1" t="s">
        <v>60</v>
      </c>
      <c r="E231" s="1">
        <v>7</v>
      </c>
      <c r="F231" s="1">
        <v>2932</v>
      </c>
      <c r="G231" s="1">
        <v>7</v>
      </c>
      <c r="H231" s="2">
        <v>46050</v>
      </c>
      <c r="I231" s="2">
        <v>46059</v>
      </c>
      <c r="J231" s="1" t="s">
        <v>24</v>
      </c>
      <c r="K231" s="1">
        <v>1230</v>
      </c>
      <c r="L231" s="1" t="str">
        <f t="shared" si="0"/>
        <v>Anita_Laptop</v>
      </c>
    </row>
    <row r="232" spans="1:12" x14ac:dyDescent="0.3">
      <c r="A232" s="1" t="s">
        <v>48</v>
      </c>
      <c r="B232" s="1" t="s">
        <v>38</v>
      </c>
      <c r="C232" s="1" t="s">
        <v>18</v>
      </c>
      <c r="D232" s="1" t="s">
        <v>19</v>
      </c>
      <c r="E232" s="1">
        <v>13</v>
      </c>
      <c r="F232" s="1">
        <v>10297</v>
      </c>
      <c r="G232" s="1">
        <v>12</v>
      </c>
      <c r="H232" s="2">
        <v>46178</v>
      </c>
      <c r="I232" s="2">
        <v>46186</v>
      </c>
      <c r="J232" s="1" t="s">
        <v>20</v>
      </c>
      <c r="K232" s="1">
        <v>1231</v>
      </c>
      <c r="L232" s="1" t="str">
        <f t="shared" si="0"/>
        <v>Nitin_Desk</v>
      </c>
    </row>
    <row r="233" spans="1:12" x14ac:dyDescent="0.3">
      <c r="A233" s="1" t="s">
        <v>21</v>
      </c>
      <c r="B233" s="1" t="s">
        <v>12</v>
      </c>
      <c r="C233" s="1" t="s">
        <v>34</v>
      </c>
      <c r="D233" s="1" t="s">
        <v>60</v>
      </c>
      <c r="E233" s="1">
        <v>3</v>
      </c>
      <c r="F233" s="1">
        <v>13272</v>
      </c>
      <c r="G233" s="1">
        <v>2</v>
      </c>
      <c r="H233" s="2">
        <v>46060</v>
      </c>
      <c r="I233" s="2">
        <v>46065</v>
      </c>
      <c r="J233" s="1" t="s">
        <v>15</v>
      </c>
      <c r="K233" s="1">
        <v>1232</v>
      </c>
      <c r="L233" s="1" t="str">
        <f t="shared" si="0"/>
        <v>Meera_Laptop</v>
      </c>
    </row>
    <row r="234" spans="1:12" x14ac:dyDescent="0.3">
      <c r="A234" s="1" t="s">
        <v>58</v>
      </c>
      <c r="B234" s="1" t="s">
        <v>22</v>
      </c>
      <c r="C234" s="1" t="s">
        <v>18</v>
      </c>
      <c r="D234" s="1" t="s">
        <v>19</v>
      </c>
      <c r="E234" s="1">
        <v>20</v>
      </c>
      <c r="F234" s="1">
        <v>13941</v>
      </c>
      <c r="G234" s="1">
        <v>15</v>
      </c>
      <c r="H234" s="2">
        <v>46198</v>
      </c>
      <c r="I234" s="2">
        <v>46202</v>
      </c>
      <c r="J234" s="1" t="s">
        <v>24</v>
      </c>
      <c r="K234" s="1">
        <v>1233</v>
      </c>
      <c r="L234" s="1" t="str">
        <f t="shared" si="0"/>
        <v>Rohan_Desk</v>
      </c>
    </row>
    <row r="235" spans="1:12" x14ac:dyDescent="0.3">
      <c r="A235" s="1" t="s">
        <v>11</v>
      </c>
      <c r="B235" s="1" t="s">
        <v>25</v>
      </c>
      <c r="C235" s="1" t="s">
        <v>18</v>
      </c>
      <c r="D235" s="1" t="s">
        <v>28</v>
      </c>
      <c r="E235" s="1">
        <v>1</v>
      </c>
      <c r="F235" s="1">
        <v>14320</v>
      </c>
      <c r="G235" s="1">
        <v>12</v>
      </c>
      <c r="H235" s="2">
        <v>46114</v>
      </c>
      <c r="I235" s="2">
        <v>46121</v>
      </c>
      <c r="J235" s="1" t="s">
        <v>51</v>
      </c>
      <c r="K235" s="1">
        <v>1234</v>
      </c>
      <c r="L235" s="1" t="str">
        <f t="shared" si="0"/>
        <v>Ritesh_Chair</v>
      </c>
    </row>
    <row r="236" spans="1:12" x14ac:dyDescent="0.3">
      <c r="A236" s="1" t="s">
        <v>57</v>
      </c>
      <c r="B236" s="1" t="s">
        <v>25</v>
      </c>
      <c r="C236" s="1" t="s">
        <v>13</v>
      </c>
      <c r="D236" s="1" t="s">
        <v>50</v>
      </c>
      <c r="E236" s="1">
        <v>15</v>
      </c>
      <c r="F236" s="1">
        <v>267</v>
      </c>
      <c r="G236" s="1">
        <v>15</v>
      </c>
      <c r="H236" s="2">
        <v>46172</v>
      </c>
      <c r="I236" s="2">
        <v>46177</v>
      </c>
      <c r="J236" s="1" t="s">
        <v>29</v>
      </c>
      <c r="K236" s="1">
        <v>1235</v>
      </c>
      <c r="L236" s="1" t="str">
        <f t="shared" si="0"/>
        <v>Sara_Marker</v>
      </c>
    </row>
    <row r="237" spans="1:12" x14ac:dyDescent="0.3">
      <c r="A237" s="1" t="s">
        <v>54</v>
      </c>
      <c r="B237" s="1" t="s">
        <v>43</v>
      </c>
      <c r="C237" s="1" t="s">
        <v>13</v>
      </c>
      <c r="D237" s="1" t="s">
        <v>37</v>
      </c>
      <c r="E237" s="1">
        <v>12</v>
      </c>
      <c r="F237" s="1">
        <v>189</v>
      </c>
      <c r="G237" s="1">
        <v>7</v>
      </c>
      <c r="H237" s="2">
        <v>46164</v>
      </c>
      <c r="I237" s="2">
        <v>46169</v>
      </c>
      <c r="J237" s="1" t="s">
        <v>29</v>
      </c>
      <c r="K237" s="1">
        <v>1236</v>
      </c>
      <c r="L237" s="1" t="str">
        <f t="shared" si="0"/>
        <v>Manoj_Pen Pack</v>
      </c>
    </row>
    <row r="238" spans="1:12" x14ac:dyDescent="0.3">
      <c r="A238" s="1" t="s">
        <v>46</v>
      </c>
      <c r="B238" s="1" t="s">
        <v>38</v>
      </c>
      <c r="C238" s="1" t="s">
        <v>18</v>
      </c>
      <c r="D238" s="1" t="s">
        <v>56</v>
      </c>
      <c r="E238" s="1">
        <v>8</v>
      </c>
      <c r="F238" s="1">
        <v>12123</v>
      </c>
      <c r="G238" s="1">
        <v>2</v>
      </c>
      <c r="H238" s="2">
        <v>46137</v>
      </c>
      <c r="I238" s="2">
        <v>46145</v>
      </c>
      <c r="J238" s="1" t="s">
        <v>15</v>
      </c>
      <c r="K238" s="1">
        <v>1237</v>
      </c>
      <c r="L238" s="1" t="str">
        <f t="shared" si="0"/>
        <v>Kiran_Cabinet</v>
      </c>
    </row>
    <row r="239" spans="1:12" x14ac:dyDescent="0.3">
      <c r="A239" s="1" t="s">
        <v>30</v>
      </c>
      <c r="B239" s="1" t="s">
        <v>31</v>
      </c>
      <c r="C239" s="1" t="s">
        <v>13</v>
      </c>
      <c r="D239" s="1" t="s">
        <v>14</v>
      </c>
      <c r="E239" s="1">
        <v>6</v>
      </c>
      <c r="F239" s="1">
        <v>180</v>
      </c>
      <c r="G239" s="1">
        <v>12</v>
      </c>
      <c r="H239" s="2">
        <v>46096</v>
      </c>
      <c r="I239" s="2">
        <v>46097</v>
      </c>
      <c r="J239" s="1" t="s">
        <v>51</v>
      </c>
      <c r="K239" s="1">
        <v>1238</v>
      </c>
      <c r="L239" s="1" t="str">
        <f t="shared" si="0"/>
        <v>Neha_Notebook</v>
      </c>
    </row>
    <row r="240" spans="1:12" x14ac:dyDescent="0.3">
      <c r="A240" s="1" t="s">
        <v>48</v>
      </c>
      <c r="B240" s="1" t="s">
        <v>17</v>
      </c>
      <c r="C240" s="1" t="s">
        <v>18</v>
      </c>
      <c r="D240" s="1" t="s">
        <v>56</v>
      </c>
      <c r="E240" s="1">
        <v>2</v>
      </c>
      <c r="F240" s="1">
        <v>12330</v>
      </c>
      <c r="G240" s="1">
        <v>12</v>
      </c>
      <c r="H240" s="2">
        <v>46122</v>
      </c>
      <c r="I240" s="2">
        <v>46125</v>
      </c>
      <c r="J240" s="1" t="s">
        <v>15</v>
      </c>
      <c r="K240" s="1">
        <v>1239</v>
      </c>
      <c r="L240" s="1" t="str">
        <f t="shared" si="0"/>
        <v>Nitin_Cabinet</v>
      </c>
    </row>
    <row r="241" spans="1:12" x14ac:dyDescent="0.3">
      <c r="A241" s="1" t="s">
        <v>55</v>
      </c>
      <c r="B241" s="1" t="s">
        <v>33</v>
      </c>
      <c r="C241" s="1" t="s">
        <v>18</v>
      </c>
      <c r="D241" s="1" t="s">
        <v>23</v>
      </c>
      <c r="E241" s="1">
        <v>2</v>
      </c>
      <c r="F241" s="1">
        <v>5475</v>
      </c>
      <c r="G241" s="1">
        <v>2</v>
      </c>
      <c r="H241" s="2">
        <v>46142</v>
      </c>
      <c r="I241" s="2">
        <v>46146</v>
      </c>
      <c r="J241" s="1" t="s">
        <v>29</v>
      </c>
      <c r="K241" s="1">
        <v>1240</v>
      </c>
      <c r="L241" s="1" t="str">
        <f t="shared" si="0"/>
        <v>Sneha_Table</v>
      </c>
    </row>
    <row r="242" spans="1:12" x14ac:dyDescent="0.3">
      <c r="A242" s="1" t="s">
        <v>46</v>
      </c>
      <c r="B242" s="1" t="s">
        <v>31</v>
      </c>
      <c r="C242" s="1" t="s">
        <v>18</v>
      </c>
      <c r="D242" s="1" t="s">
        <v>44</v>
      </c>
      <c r="E242" s="1">
        <v>1</v>
      </c>
      <c r="F242" s="1">
        <v>12537</v>
      </c>
      <c r="G242" s="1">
        <v>0</v>
      </c>
      <c r="H242" s="2">
        <v>46119</v>
      </c>
      <c r="I242" s="2">
        <v>46122</v>
      </c>
      <c r="J242" s="1" t="s">
        <v>15</v>
      </c>
      <c r="K242" s="1">
        <v>1241</v>
      </c>
      <c r="L242" s="1" t="str">
        <f t="shared" si="0"/>
        <v>Kiran_Bookshelf</v>
      </c>
    </row>
    <row r="243" spans="1:12" x14ac:dyDescent="0.3">
      <c r="A243" s="1" t="s">
        <v>54</v>
      </c>
      <c r="B243" s="1" t="s">
        <v>38</v>
      </c>
      <c r="C243" s="1" t="s">
        <v>13</v>
      </c>
      <c r="D243" s="1" t="s">
        <v>50</v>
      </c>
      <c r="E243" s="1">
        <v>7</v>
      </c>
      <c r="F243" s="1">
        <v>168</v>
      </c>
      <c r="G243" s="1">
        <v>10</v>
      </c>
      <c r="H243" s="2">
        <v>46191</v>
      </c>
      <c r="I243" s="2">
        <v>46196</v>
      </c>
      <c r="J243" s="1" t="s">
        <v>51</v>
      </c>
      <c r="K243" s="1">
        <v>1242</v>
      </c>
      <c r="L243" s="1" t="str">
        <f t="shared" si="0"/>
        <v>Manoj_Marker</v>
      </c>
    </row>
    <row r="244" spans="1:12" x14ac:dyDescent="0.3">
      <c r="A244" s="1" t="s">
        <v>30</v>
      </c>
      <c r="B244" s="1" t="s">
        <v>31</v>
      </c>
      <c r="C244" s="1" t="s">
        <v>34</v>
      </c>
      <c r="D244" s="1" t="s">
        <v>41</v>
      </c>
      <c r="E244" s="1">
        <v>5</v>
      </c>
      <c r="F244" s="1">
        <v>11570</v>
      </c>
      <c r="G244" s="1">
        <v>15</v>
      </c>
      <c r="H244" s="2">
        <v>46069</v>
      </c>
      <c r="I244" s="2">
        <v>46077</v>
      </c>
      <c r="J244" s="1" t="s">
        <v>24</v>
      </c>
      <c r="K244" s="1">
        <v>1243</v>
      </c>
      <c r="L244" s="1" t="str">
        <f t="shared" si="0"/>
        <v>Neha_Headset</v>
      </c>
    </row>
    <row r="245" spans="1:12" x14ac:dyDescent="0.3">
      <c r="A245" s="1" t="s">
        <v>57</v>
      </c>
      <c r="B245" s="1" t="s">
        <v>38</v>
      </c>
      <c r="C245" s="1" t="s">
        <v>18</v>
      </c>
      <c r="D245" s="1" t="s">
        <v>28</v>
      </c>
      <c r="E245" s="1">
        <v>10</v>
      </c>
      <c r="F245" s="1">
        <v>6339</v>
      </c>
      <c r="G245" s="1">
        <v>12</v>
      </c>
      <c r="H245" s="2">
        <v>46200</v>
      </c>
      <c r="I245" s="2">
        <v>46205</v>
      </c>
      <c r="J245" s="1" t="s">
        <v>15</v>
      </c>
      <c r="K245" s="1">
        <v>1244</v>
      </c>
      <c r="L245" s="1" t="str">
        <f t="shared" si="0"/>
        <v>Sara_Chair</v>
      </c>
    </row>
    <row r="246" spans="1:12" x14ac:dyDescent="0.3">
      <c r="A246" s="1" t="s">
        <v>55</v>
      </c>
      <c r="B246" s="1" t="s">
        <v>43</v>
      </c>
      <c r="C246" s="1" t="s">
        <v>34</v>
      </c>
      <c r="D246" s="1" t="s">
        <v>41</v>
      </c>
      <c r="E246" s="1">
        <v>19</v>
      </c>
      <c r="F246" s="1">
        <v>69029</v>
      </c>
      <c r="G246" s="1">
        <v>7</v>
      </c>
      <c r="H246" s="2">
        <v>46176</v>
      </c>
      <c r="I246" s="2">
        <v>46179</v>
      </c>
      <c r="J246" s="1" t="s">
        <v>29</v>
      </c>
      <c r="K246" s="1">
        <v>1245</v>
      </c>
      <c r="L246" s="1" t="str">
        <f t="shared" si="0"/>
        <v>Sneha_Headset</v>
      </c>
    </row>
    <row r="247" spans="1:12" x14ac:dyDescent="0.3">
      <c r="A247" s="1" t="s">
        <v>55</v>
      </c>
      <c r="B247" s="1" t="s">
        <v>22</v>
      </c>
      <c r="C247" s="1" t="s">
        <v>34</v>
      </c>
      <c r="D247" s="1" t="s">
        <v>35</v>
      </c>
      <c r="E247" s="1">
        <v>13</v>
      </c>
      <c r="F247" s="1">
        <v>1825</v>
      </c>
      <c r="G247" s="1">
        <v>2</v>
      </c>
      <c r="H247" s="2">
        <v>46039</v>
      </c>
      <c r="I247" s="2">
        <v>46045</v>
      </c>
      <c r="J247" s="1" t="s">
        <v>51</v>
      </c>
      <c r="K247" s="1">
        <v>1246</v>
      </c>
      <c r="L247" s="1" t="str">
        <f t="shared" si="0"/>
        <v>Sneha_Printer</v>
      </c>
    </row>
    <row r="248" spans="1:12" x14ac:dyDescent="0.3">
      <c r="A248" s="1" t="s">
        <v>26</v>
      </c>
      <c r="B248" s="1" t="s">
        <v>12</v>
      </c>
      <c r="C248" s="1" t="s">
        <v>13</v>
      </c>
      <c r="D248" s="1" t="s">
        <v>50</v>
      </c>
      <c r="E248" s="1">
        <v>10</v>
      </c>
      <c r="F248" s="1">
        <v>336</v>
      </c>
      <c r="G248" s="1">
        <v>7</v>
      </c>
      <c r="H248" s="2">
        <v>46173</v>
      </c>
      <c r="I248" s="2">
        <v>46175</v>
      </c>
      <c r="J248" s="1" t="s">
        <v>20</v>
      </c>
      <c r="K248" s="1">
        <v>1247</v>
      </c>
      <c r="L248" s="1" t="str">
        <f t="shared" si="0"/>
        <v>Vikram_Marker</v>
      </c>
    </row>
    <row r="249" spans="1:12" x14ac:dyDescent="0.3">
      <c r="A249" s="1" t="s">
        <v>27</v>
      </c>
      <c r="B249" s="1" t="s">
        <v>43</v>
      </c>
      <c r="C249" s="1" t="s">
        <v>13</v>
      </c>
      <c r="D249" s="1" t="s">
        <v>37</v>
      </c>
      <c r="E249" s="1">
        <v>5</v>
      </c>
      <c r="F249" s="1">
        <v>398</v>
      </c>
      <c r="G249" s="1">
        <v>7</v>
      </c>
      <c r="H249" s="2">
        <v>46161</v>
      </c>
      <c r="I249" s="2">
        <v>46171</v>
      </c>
      <c r="J249" s="1" t="s">
        <v>29</v>
      </c>
      <c r="K249" s="1">
        <v>1248</v>
      </c>
      <c r="L249" s="1" t="str">
        <f t="shared" si="0"/>
        <v>Arjun_Pen Pack</v>
      </c>
    </row>
    <row r="250" spans="1:12" x14ac:dyDescent="0.3">
      <c r="A250" s="1" t="s">
        <v>16</v>
      </c>
      <c r="B250" s="1" t="s">
        <v>25</v>
      </c>
      <c r="C250" s="1" t="s">
        <v>34</v>
      </c>
      <c r="D250" s="1" t="s">
        <v>41</v>
      </c>
      <c r="E250" s="1">
        <v>18</v>
      </c>
      <c r="F250" s="1">
        <v>6360</v>
      </c>
      <c r="G250" s="1">
        <v>12</v>
      </c>
      <c r="H250" s="2">
        <v>46163</v>
      </c>
      <c r="I250" s="2">
        <v>46165</v>
      </c>
      <c r="J250" s="1" t="s">
        <v>20</v>
      </c>
      <c r="K250" s="1">
        <v>1249</v>
      </c>
      <c r="L250" s="1" t="str">
        <f t="shared" si="0"/>
        <v>Pooja_Headset</v>
      </c>
    </row>
    <row r="251" spans="1:12" x14ac:dyDescent="0.3">
      <c r="A251" s="1" t="s">
        <v>11</v>
      </c>
      <c r="B251" s="1" t="s">
        <v>17</v>
      </c>
      <c r="C251" s="1" t="s">
        <v>34</v>
      </c>
      <c r="D251" s="1" t="s">
        <v>45</v>
      </c>
      <c r="E251" s="1">
        <v>2</v>
      </c>
      <c r="F251" s="1">
        <v>65953</v>
      </c>
      <c r="G251" s="1">
        <v>7</v>
      </c>
      <c r="H251" s="2">
        <v>46051</v>
      </c>
      <c r="I251" s="2">
        <v>46053</v>
      </c>
      <c r="J251" s="1" t="s">
        <v>29</v>
      </c>
      <c r="K251" s="1">
        <v>1250</v>
      </c>
      <c r="L251" s="1" t="str">
        <f t="shared" si="0"/>
        <v>Ritesh_Monitor</v>
      </c>
    </row>
    <row r="252" spans="1:12" x14ac:dyDescent="0.3">
      <c r="A252" s="1" t="s">
        <v>55</v>
      </c>
      <c r="B252" s="1" t="s">
        <v>38</v>
      </c>
      <c r="C252" s="1" t="s">
        <v>34</v>
      </c>
      <c r="D252" s="1" t="s">
        <v>61</v>
      </c>
      <c r="E252" s="1">
        <v>19</v>
      </c>
      <c r="F252" s="1">
        <v>48548</v>
      </c>
      <c r="G252" s="1">
        <v>0</v>
      </c>
      <c r="H252" s="2">
        <v>46112</v>
      </c>
      <c r="I252" s="2">
        <v>46121</v>
      </c>
      <c r="J252" s="1" t="s">
        <v>51</v>
      </c>
      <c r="K252" s="1">
        <v>1251</v>
      </c>
      <c r="L252" s="1" t="str">
        <f t="shared" si="0"/>
        <v>Sneha_Mouse</v>
      </c>
    </row>
    <row r="253" spans="1:12" x14ac:dyDescent="0.3">
      <c r="A253" s="1" t="s">
        <v>47</v>
      </c>
      <c r="B253" s="1" t="s">
        <v>25</v>
      </c>
      <c r="C253" s="1" t="s">
        <v>13</v>
      </c>
      <c r="D253" s="1" t="s">
        <v>36</v>
      </c>
      <c r="E253" s="1">
        <v>15</v>
      </c>
      <c r="F253" s="1">
        <v>257</v>
      </c>
      <c r="G253" s="1">
        <v>5</v>
      </c>
      <c r="H253" s="2">
        <v>46166</v>
      </c>
      <c r="I253" s="2">
        <v>46173</v>
      </c>
      <c r="J253" s="1" t="s">
        <v>20</v>
      </c>
      <c r="K253" s="1">
        <v>1252</v>
      </c>
      <c r="L253" s="1" t="str">
        <f t="shared" si="0"/>
        <v>Yash_Stapler</v>
      </c>
    </row>
    <row r="254" spans="1:12" x14ac:dyDescent="0.3">
      <c r="A254" s="1" t="s">
        <v>21</v>
      </c>
      <c r="B254" s="1" t="s">
        <v>31</v>
      </c>
      <c r="C254" s="1" t="s">
        <v>34</v>
      </c>
      <c r="D254" s="1" t="s">
        <v>45</v>
      </c>
      <c r="E254" s="1">
        <v>20</v>
      </c>
      <c r="F254" s="1">
        <v>47880</v>
      </c>
      <c r="G254" s="1">
        <v>7</v>
      </c>
      <c r="H254" s="2">
        <v>46074</v>
      </c>
      <c r="I254" s="2">
        <v>46075</v>
      </c>
      <c r="J254" s="1" t="s">
        <v>29</v>
      </c>
      <c r="K254" s="1">
        <v>1253</v>
      </c>
      <c r="L254" s="1" t="str">
        <f t="shared" si="0"/>
        <v>Meera_Monitor</v>
      </c>
    </row>
    <row r="255" spans="1:12" x14ac:dyDescent="0.3">
      <c r="A255" s="1" t="s">
        <v>52</v>
      </c>
      <c r="B255" s="1" t="s">
        <v>22</v>
      </c>
      <c r="C255" s="1" t="s">
        <v>13</v>
      </c>
      <c r="D255" s="1" t="s">
        <v>50</v>
      </c>
      <c r="E255" s="1">
        <v>18</v>
      </c>
      <c r="F255" s="1">
        <v>447</v>
      </c>
      <c r="G255" s="1">
        <v>15</v>
      </c>
      <c r="H255" s="2">
        <v>46141</v>
      </c>
      <c r="I255" s="2">
        <v>46149</v>
      </c>
      <c r="J255" s="1" t="s">
        <v>24</v>
      </c>
      <c r="K255" s="1">
        <v>1254</v>
      </c>
      <c r="L255" s="1" t="str">
        <f t="shared" si="0"/>
        <v>Komal_Marker</v>
      </c>
    </row>
    <row r="256" spans="1:12" x14ac:dyDescent="0.3">
      <c r="A256" s="1" t="s">
        <v>32</v>
      </c>
      <c r="B256" s="1" t="s">
        <v>17</v>
      </c>
      <c r="C256" s="1" t="s">
        <v>18</v>
      </c>
      <c r="D256" s="1" t="s">
        <v>19</v>
      </c>
      <c r="E256" s="1">
        <v>1</v>
      </c>
      <c r="F256" s="1">
        <v>2240</v>
      </c>
      <c r="G256" s="1">
        <v>5</v>
      </c>
      <c r="H256" s="2">
        <v>46091</v>
      </c>
      <c r="I256" s="2">
        <v>46095</v>
      </c>
      <c r="J256" s="1" t="s">
        <v>20</v>
      </c>
      <c r="K256" s="1">
        <v>1255</v>
      </c>
      <c r="L256" s="1" t="str">
        <f t="shared" si="0"/>
        <v>Asha_Desk</v>
      </c>
    </row>
    <row r="257" spans="1:12" x14ac:dyDescent="0.3">
      <c r="A257" s="1" t="s">
        <v>48</v>
      </c>
      <c r="B257" s="1" t="s">
        <v>31</v>
      </c>
      <c r="C257" s="1" t="s">
        <v>13</v>
      </c>
      <c r="D257" s="1" t="s">
        <v>50</v>
      </c>
      <c r="E257" s="1">
        <v>19</v>
      </c>
      <c r="F257" s="1">
        <v>406</v>
      </c>
      <c r="G257" s="1">
        <v>7</v>
      </c>
      <c r="H257" s="2">
        <v>46057</v>
      </c>
      <c r="I257" s="2">
        <v>46061</v>
      </c>
      <c r="J257" s="1" t="s">
        <v>15</v>
      </c>
      <c r="K257" s="1">
        <v>1256</v>
      </c>
      <c r="L257" s="1" t="str">
        <f t="shared" ref="L257:L401" si="1">A257&amp;"_"&amp;D257</f>
        <v>Nitin_Marker</v>
      </c>
    </row>
    <row r="258" spans="1:12" x14ac:dyDescent="0.3">
      <c r="A258" s="1" t="s">
        <v>54</v>
      </c>
      <c r="B258" s="1" t="s">
        <v>25</v>
      </c>
      <c r="C258" s="1" t="s">
        <v>34</v>
      </c>
      <c r="D258" s="1" t="s">
        <v>61</v>
      </c>
      <c r="E258" s="1">
        <v>7</v>
      </c>
      <c r="F258" s="1">
        <v>53243</v>
      </c>
      <c r="G258" s="1">
        <v>12</v>
      </c>
      <c r="H258" s="2">
        <v>46161</v>
      </c>
      <c r="I258" s="2">
        <v>46171</v>
      </c>
      <c r="J258" s="1" t="s">
        <v>15</v>
      </c>
      <c r="K258" s="1">
        <v>1257</v>
      </c>
      <c r="L258" s="1" t="str">
        <f t="shared" si="1"/>
        <v>Manoj_Mouse</v>
      </c>
    </row>
    <row r="259" spans="1:12" x14ac:dyDescent="0.3">
      <c r="A259" s="1" t="s">
        <v>32</v>
      </c>
      <c r="B259" s="1" t="s">
        <v>31</v>
      </c>
      <c r="C259" s="1" t="s">
        <v>34</v>
      </c>
      <c r="D259" s="1" t="s">
        <v>60</v>
      </c>
      <c r="E259" s="1">
        <v>1</v>
      </c>
      <c r="F259" s="1">
        <v>10600</v>
      </c>
      <c r="G259" s="1">
        <v>5</v>
      </c>
      <c r="H259" s="2">
        <v>46137</v>
      </c>
      <c r="I259" s="2">
        <v>46138</v>
      </c>
      <c r="J259" s="1" t="s">
        <v>29</v>
      </c>
      <c r="K259" s="1">
        <v>1258</v>
      </c>
      <c r="L259" s="1" t="str">
        <f t="shared" si="1"/>
        <v>Asha_Laptop</v>
      </c>
    </row>
    <row r="260" spans="1:12" x14ac:dyDescent="0.3">
      <c r="A260" s="1" t="s">
        <v>42</v>
      </c>
      <c r="B260" s="1" t="s">
        <v>22</v>
      </c>
      <c r="C260" s="1" t="s">
        <v>34</v>
      </c>
      <c r="D260" s="1" t="s">
        <v>45</v>
      </c>
      <c r="E260" s="1">
        <v>10</v>
      </c>
      <c r="F260" s="1">
        <v>38771</v>
      </c>
      <c r="G260" s="1">
        <v>15</v>
      </c>
      <c r="H260" s="2">
        <v>46172</v>
      </c>
      <c r="I260" s="2">
        <v>46182</v>
      </c>
      <c r="J260" s="1" t="s">
        <v>15</v>
      </c>
      <c r="K260" s="1">
        <v>1259</v>
      </c>
      <c r="L260" s="1" t="str">
        <f t="shared" si="1"/>
        <v>Nisha_Monitor</v>
      </c>
    </row>
    <row r="261" spans="1:12" x14ac:dyDescent="0.3">
      <c r="A261" s="1" t="s">
        <v>54</v>
      </c>
      <c r="B261" s="1" t="s">
        <v>38</v>
      </c>
      <c r="C261" s="1" t="s">
        <v>34</v>
      </c>
      <c r="D261" s="1" t="s">
        <v>41</v>
      </c>
      <c r="E261" s="1">
        <v>19</v>
      </c>
      <c r="F261" s="1">
        <v>54981</v>
      </c>
      <c r="G261" s="1">
        <v>10</v>
      </c>
      <c r="H261" s="2">
        <v>46040</v>
      </c>
      <c r="I261" s="2">
        <v>46045</v>
      </c>
      <c r="J261" s="1" t="s">
        <v>29</v>
      </c>
      <c r="K261" s="1">
        <v>1260</v>
      </c>
      <c r="L261" s="1" t="str">
        <f t="shared" si="1"/>
        <v>Manoj_Headset</v>
      </c>
    </row>
    <row r="262" spans="1:12" x14ac:dyDescent="0.3">
      <c r="A262" s="1" t="s">
        <v>40</v>
      </c>
      <c r="B262" s="1" t="s">
        <v>17</v>
      </c>
      <c r="C262" s="1" t="s">
        <v>13</v>
      </c>
      <c r="D262" s="1" t="s">
        <v>50</v>
      </c>
      <c r="E262" s="1">
        <v>20</v>
      </c>
      <c r="F262" s="1">
        <v>162</v>
      </c>
      <c r="G262" s="1">
        <v>7</v>
      </c>
      <c r="H262" s="2">
        <v>46119</v>
      </c>
      <c r="I262" s="2">
        <v>46120</v>
      </c>
      <c r="J262" s="1" t="s">
        <v>51</v>
      </c>
      <c r="K262" s="1">
        <v>1261</v>
      </c>
      <c r="L262" s="1" t="str">
        <f t="shared" si="1"/>
        <v>Deepak_Marker</v>
      </c>
    </row>
    <row r="263" spans="1:12" x14ac:dyDescent="0.3">
      <c r="A263" s="1" t="s">
        <v>16</v>
      </c>
      <c r="B263" s="1" t="s">
        <v>22</v>
      </c>
      <c r="C263" s="1" t="s">
        <v>18</v>
      </c>
      <c r="D263" s="1" t="s">
        <v>28</v>
      </c>
      <c r="E263" s="1">
        <v>9</v>
      </c>
      <c r="F263" s="1">
        <v>2231</v>
      </c>
      <c r="G263" s="1">
        <v>15</v>
      </c>
      <c r="H263" s="2">
        <v>46174</v>
      </c>
      <c r="I263" s="2">
        <v>46183</v>
      </c>
      <c r="J263" s="1" t="s">
        <v>15</v>
      </c>
      <c r="K263" s="1">
        <v>1262</v>
      </c>
      <c r="L263" s="1" t="str">
        <f t="shared" si="1"/>
        <v>Pooja_Chair</v>
      </c>
    </row>
    <row r="264" spans="1:12" x14ac:dyDescent="0.3">
      <c r="A264" s="1" t="s">
        <v>29</v>
      </c>
      <c r="B264" s="1" t="s">
        <v>38</v>
      </c>
      <c r="C264" s="1" t="s">
        <v>18</v>
      </c>
      <c r="D264" s="1" t="s">
        <v>28</v>
      </c>
      <c r="E264" s="1">
        <v>10</v>
      </c>
      <c r="F264" s="1">
        <v>1505</v>
      </c>
      <c r="G264" s="1">
        <v>0</v>
      </c>
      <c r="H264" s="2">
        <v>46130</v>
      </c>
      <c r="I264" s="2">
        <v>46138</v>
      </c>
      <c r="J264" s="1" t="s">
        <v>51</v>
      </c>
      <c r="K264" s="1">
        <v>1263</v>
      </c>
      <c r="L264" s="1" t="str">
        <f t="shared" si="1"/>
        <v>Priya_Chair</v>
      </c>
    </row>
    <row r="265" spans="1:12" x14ac:dyDescent="0.3">
      <c r="A265" s="1" t="s">
        <v>11</v>
      </c>
      <c r="B265" s="1" t="s">
        <v>22</v>
      </c>
      <c r="C265" s="1" t="s">
        <v>18</v>
      </c>
      <c r="D265" s="1" t="s">
        <v>28</v>
      </c>
      <c r="E265" s="1">
        <v>15</v>
      </c>
      <c r="F265" s="1">
        <v>6365</v>
      </c>
      <c r="G265" s="1">
        <v>10</v>
      </c>
      <c r="H265" s="2">
        <v>46200</v>
      </c>
      <c r="I265" s="2">
        <v>46206</v>
      </c>
      <c r="J265" s="1" t="s">
        <v>20</v>
      </c>
      <c r="K265" s="1">
        <v>1264</v>
      </c>
      <c r="L265" s="1" t="str">
        <f t="shared" si="1"/>
        <v>Ritesh_Chair</v>
      </c>
    </row>
    <row r="266" spans="1:12" x14ac:dyDescent="0.3">
      <c r="A266" s="1" t="s">
        <v>58</v>
      </c>
      <c r="B266" s="1" t="s">
        <v>22</v>
      </c>
      <c r="C266" s="1" t="s">
        <v>18</v>
      </c>
      <c r="D266" s="1" t="s">
        <v>19</v>
      </c>
      <c r="E266" s="1">
        <v>1</v>
      </c>
      <c r="F266" s="1">
        <v>1052</v>
      </c>
      <c r="G266" s="1">
        <v>7</v>
      </c>
      <c r="H266" s="2">
        <v>46117</v>
      </c>
      <c r="I266" s="2">
        <v>46127</v>
      </c>
      <c r="J266" s="1" t="s">
        <v>51</v>
      </c>
      <c r="K266" s="1">
        <v>1265</v>
      </c>
      <c r="L266" s="1" t="str">
        <f t="shared" si="1"/>
        <v>Rohan_Desk</v>
      </c>
    </row>
    <row r="267" spans="1:12" x14ac:dyDescent="0.3">
      <c r="A267" s="1" t="s">
        <v>29</v>
      </c>
      <c r="B267" s="1" t="s">
        <v>33</v>
      </c>
      <c r="C267" s="1" t="s">
        <v>13</v>
      </c>
      <c r="D267" s="1" t="s">
        <v>14</v>
      </c>
      <c r="E267" s="1">
        <v>17</v>
      </c>
      <c r="F267" s="1">
        <v>365</v>
      </c>
      <c r="G267" s="1">
        <v>2</v>
      </c>
      <c r="H267" s="2">
        <v>46096</v>
      </c>
      <c r="I267" s="2">
        <v>46104</v>
      </c>
      <c r="J267" s="1" t="s">
        <v>51</v>
      </c>
      <c r="K267" s="1">
        <v>1266</v>
      </c>
      <c r="L267" s="1" t="str">
        <f t="shared" si="1"/>
        <v>Priya_Notebook</v>
      </c>
    </row>
    <row r="268" spans="1:12" x14ac:dyDescent="0.3">
      <c r="A268" s="1" t="s">
        <v>27</v>
      </c>
      <c r="B268" s="1" t="s">
        <v>38</v>
      </c>
      <c r="C268" s="1" t="s">
        <v>13</v>
      </c>
      <c r="D268" s="1" t="s">
        <v>50</v>
      </c>
      <c r="E268" s="1">
        <v>1</v>
      </c>
      <c r="F268" s="1">
        <v>50</v>
      </c>
      <c r="G268" s="1">
        <v>0</v>
      </c>
      <c r="H268" s="2">
        <v>46129</v>
      </c>
      <c r="I268" s="2">
        <v>46138</v>
      </c>
      <c r="J268" s="1" t="s">
        <v>20</v>
      </c>
      <c r="K268" s="1">
        <v>1267</v>
      </c>
      <c r="L268" s="1" t="str">
        <f t="shared" si="1"/>
        <v>Arjun_Marker</v>
      </c>
    </row>
    <row r="269" spans="1:12" x14ac:dyDescent="0.3">
      <c r="A269" s="1" t="s">
        <v>42</v>
      </c>
      <c r="B269" s="1" t="s">
        <v>38</v>
      </c>
      <c r="C269" s="1" t="s">
        <v>34</v>
      </c>
      <c r="D269" s="1" t="s">
        <v>45</v>
      </c>
      <c r="E269" s="1">
        <v>10</v>
      </c>
      <c r="F269" s="1">
        <v>46291</v>
      </c>
      <c r="G269" s="1">
        <v>12</v>
      </c>
      <c r="H269" s="2">
        <v>46199</v>
      </c>
      <c r="I269" s="2">
        <v>46202</v>
      </c>
      <c r="J269" s="1" t="s">
        <v>20</v>
      </c>
      <c r="K269" s="1">
        <v>1268</v>
      </c>
      <c r="L269" s="1" t="str">
        <f t="shared" si="1"/>
        <v>Nisha_Monitor</v>
      </c>
    </row>
    <row r="270" spans="1:12" x14ac:dyDescent="0.3">
      <c r="A270" s="1" t="s">
        <v>52</v>
      </c>
      <c r="B270" s="1" t="s">
        <v>43</v>
      </c>
      <c r="C270" s="1" t="s">
        <v>18</v>
      </c>
      <c r="D270" s="1" t="s">
        <v>19</v>
      </c>
      <c r="E270" s="1">
        <v>14</v>
      </c>
      <c r="F270" s="1">
        <v>5704</v>
      </c>
      <c r="G270" s="1">
        <v>2</v>
      </c>
      <c r="H270" s="2">
        <v>46129</v>
      </c>
      <c r="I270" s="2">
        <v>46131</v>
      </c>
      <c r="J270" s="1" t="s">
        <v>15</v>
      </c>
      <c r="K270" s="1">
        <v>1269</v>
      </c>
      <c r="L270" s="1" t="str">
        <f t="shared" si="1"/>
        <v>Komal_Desk</v>
      </c>
    </row>
    <row r="271" spans="1:12" x14ac:dyDescent="0.3">
      <c r="A271" s="1" t="s">
        <v>49</v>
      </c>
      <c r="B271" s="1" t="s">
        <v>43</v>
      </c>
      <c r="C271" s="1" t="s">
        <v>34</v>
      </c>
      <c r="D271" s="1" t="s">
        <v>35</v>
      </c>
      <c r="E271" s="1">
        <v>16</v>
      </c>
      <c r="F271" s="1">
        <v>62941</v>
      </c>
      <c r="G271" s="1">
        <v>7</v>
      </c>
      <c r="H271" s="2">
        <v>46135</v>
      </c>
      <c r="I271" s="2">
        <v>46141</v>
      </c>
      <c r="J271" s="1" t="s">
        <v>51</v>
      </c>
      <c r="K271" s="1">
        <v>1270</v>
      </c>
      <c r="L271" s="1" t="str">
        <f t="shared" si="1"/>
        <v>Ajay_Printer</v>
      </c>
    </row>
    <row r="272" spans="1:12" x14ac:dyDescent="0.3">
      <c r="A272" s="1" t="s">
        <v>40</v>
      </c>
      <c r="B272" s="1" t="s">
        <v>33</v>
      </c>
      <c r="C272" s="1" t="s">
        <v>34</v>
      </c>
      <c r="D272" s="1" t="s">
        <v>60</v>
      </c>
      <c r="E272" s="1">
        <v>20</v>
      </c>
      <c r="F272" s="1">
        <v>36941</v>
      </c>
      <c r="G272" s="1">
        <v>15</v>
      </c>
      <c r="H272" s="2">
        <v>46083</v>
      </c>
      <c r="I272" s="2">
        <v>46085</v>
      </c>
      <c r="J272" s="1" t="s">
        <v>29</v>
      </c>
      <c r="K272" s="1">
        <v>1271</v>
      </c>
      <c r="L272" s="1" t="str">
        <f t="shared" si="1"/>
        <v>Deepak_Laptop</v>
      </c>
    </row>
    <row r="273" spans="1:12" x14ac:dyDescent="0.3">
      <c r="A273" s="1" t="s">
        <v>52</v>
      </c>
      <c r="B273" s="1" t="s">
        <v>38</v>
      </c>
      <c r="C273" s="1" t="s">
        <v>34</v>
      </c>
      <c r="D273" s="1" t="s">
        <v>41</v>
      </c>
      <c r="E273" s="1">
        <v>13</v>
      </c>
      <c r="F273" s="1">
        <v>42179</v>
      </c>
      <c r="G273" s="1">
        <v>0</v>
      </c>
      <c r="H273" s="2">
        <v>46078</v>
      </c>
      <c r="I273" s="2">
        <v>46084</v>
      </c>
      <c r="J273" s="1" t="s">
        <v>20</v>
      </c>
      <c r="K273" s="1">
        <v>1272</v>
      </c>
      <c r="L273" s="1" t="str">
        <f t="shared" si="1"/>
        <v>Komal_Headset</v>
      </c>
    </row>
    <row r="274" spans="1:12" x14ac:dyDescent="0.3">
      <c r="A274" s="1" t="s">
        <v>46</v>
      </c>
      <c r="B274" s="1" t="s">
        <v>25</v>
      </c>
      <c r="C274" s="1" t="s">
        <v>34</v>
      </c>
      <c r="D274" s="1" t="s">
        <v>39</v>
      </c>
      <c r="E274" s="1">
        <v>12</v>
      </c>
      <c r="F274" s="1">
        <v>20618</v>
      </c>
      <c r="G274" s="1">
        <v>12</v>
      </c>
      <c r="H274" s="2">
        <v>46172</v>
      </c>
      <c r="I274" s="2">
        <v>46174</v>
      </c>
      <c r="J274" s="1" t="s">
        <v>20</v>
      </c>
      <c r="K274" s="1">
        <v>1273</v>
      </c>
      <c r="L274" s="1" t="str">
        <f t="shared" si="1"/>
        <v>Kiran_Keyboard</v>
      </c>
    </row>
    <row r="275" spans="1:12" x14ac:dyDescent="0.3">
      <c r="A275" s="1" t="s">
        <v>26</v>
      </c>
      <c r="B275" s="1" t="s">
        <v>25</v>
      </c>
      <c r="C275" s="1" t="s">
        <v>34</v>
      </c>
      <c r="D275" s="1" t="s">
        <v>41</v>
      </c>
      <c r="E275" s="1">
        <v>13</v>
      </c>
      <c r="F275" s="1">
        <v>36652</v>
      </c>
      <c r="G275" s="1">
        <v>12</v>
      </c>
      <c r="H275" s="2">
        <v>46179</v>
      </c>
      <c r="I275" s="2">
        <v>46186</v>
      </c>
      <c r="J275" s="1" t="s">
        <v>20</v>
      </c>
      <c r="K275" s="1">
        <v>1274</v>
      </c>
      <c r="L275" s="1" t="str">
        <f t="shared" si="1"/>
        <v>Vikram_Headset</v>
      </c>
    </row>
    <row r="276" spans="1:12" x14ac:dyDescent="0.3">
      <c r="A276" s="1" t="s">
        <v>16</v>
      </c>
      <c r="B276" s="1" t="s">
        <v>31</v>
      </c>
      <c r="C276" s="1" t="s">
        <v>13</v>
      </c>
      <c r="D276" s="1" t="s">
        <v>50</v>
      </c>
      <c r="E276" s="1">
        <v>20</v>
      </c>
      <c r="F276" s="1">
        <v>451</v>
      </c>
      <c r="G276" s="1">
        <v>15</v>
      </c>
      <c r="H276" s="2">
        <v>46092</v>
      </c>
      <c r="I276" s="2">
        <v>46094</v>
      </c>
      <c r="J276" s="1" t="s">
        <v>20</v>
      </c>
      <c r="K276" s="1">
        <v>1275</v>
      </c>
      <c r="L276" s="1" t="str">
        <f t="shared" si="1"/>
        <v>Pooja_Marker</v>
      </c>
    </row>
    <row r="277" spans="1:12" x14ac:dyDescent="0.3">
      <c r="A277" s="1" t="s">
        <v>40</v>
      </c>
      <c r="B277" s="1" t="s">
        <v>12</v>
      </c>
      <c r="C277" s="1" t="s">
        <v>18</v>
      </c>
      <c r="D277" s="1" t="s">
        <v>19</v>
      </c>
      <c r="E277" s="1">
        <v>1</v>
      </c>
      <c r="F277" s="1">
        <v>13437</v>
      </c>
      <c r="G277" s="1">
        <v>15</v>
      </c>
      <c r="H277" s="2">
        <v>46097</v>
      </c>
      <c r="I277" s="2">
        <v>46099</v>
      </c>
      <c r="J277" s="1" t="s">
        <v>24</v>
      </c>
      <c r="K277" s="1">
        <v>1276</v>
      </c>
      <c r="L277" s="1" t="str">
        <f t="shared" si="1"/>
        <v>Deepak_Desk</v>
      </c>
    </row>
    <row r="278" spans="1:12" x14ac:dyDescent="0.3">
      <c r="A278" s="1" t="s">
        <v>59</v>
      </c>
      <c r="B278" s="1" t="s">
        <v>17</v>
      </c>
      <c r="C278" s="1" t="s">
        <v>13</v>
      </c>
      <c r="D278" s="1" t="s">
        <v>36</v>
      </c>
      <c r="E278" s="1">
        <v>14</v>
      </c>
      <c r="F278" s="1">
        <v>276</v>
      </c>
      <c r="G278" s="1">
        <v>0</v>
      </c>
      <c r="H278" s="2">
        <v>46086</v>
      </c>
      <c r="I278" s="2">
        <v>46089</v>
      </c>
      <c r="J278" s="1" t="s">
        <v>15</v>
      </c>
      <c r="K278" s="1">
        <v>1277</v>
      </c>
      <c r="L278" s="1" t="str">
        <f t="shared" si="1"/>
        <v>Anita_Stapler</v>
      </c>
    </row>
    <row r="279" spans="1:12" x14ac:dyDescent="0.3">
      <c r="A279" s="1" t="s">
        <v>47</v>
      </c>
      <c r="B279" s="1" t="s">
        <v>22</v>
      </c>
      <c r="C279" s="1" t="s">
        <v>34</v>
      </c>
      <c r="D279" s="1" t="s">
        <v>61</v>
      </c>
      <c r="E279" s="1">
        <v>4</v>
      </c>
      <c r="F279" s="1">
        <v>20639</v>
      </c>
      <c r="G279" s="1">
        <v>7</v>
      </c>
      <c r="H279" s="2">
        <v>46180</v>
      </c>
      <c r="I279" s="2">
        <v>46186</v>
      </c>
      <c r="J279" s="1" t="s">
        <v>20</v>
      </c>
      <c r="K279" s="1">
        <v>1278</v>
      </c>
      <c r="L279" s="1" t="str">
        <f t="shared" si="1"/>
        <v>Yash_Mouse</v>
      </c>
    </row>
    <row r="280" spans="1:12" x14ac:dyDescent="0.3">
      <c r="A280" s="1" t="s">
        <v>55</v>
      </c>
      <c r="B280" s="1" t="s">
        <v>33</v>
      </c>
      <c r="C280" s="1" t="s">
        <v>34</v>
      </c>
      <c r="D280" s="1" t="s">
        <v>45</v>
      </c>
      <c r="E280" s="1">
        <v>20</v>
      </c>
      <c r="F280" s="1">
        <v>49042</v>
      </c>
      <c r="G280" s="1">
        <v>2</v>
      </c>
      <c r="H280" s="2">
        <v>46124</v>
      </c>
      <c r="I280" s="2">
        <v>46126</v>
      </c>
      <c r="J280" s="1" t="s">
        <v>15</v>
      </c>
      <c r="K280" s="1">
        <v>1279</v>
      </c>
      <c r="L280" s="1" t="str">
        <f t="shared" si="1"/>
        <v>Sneha_Monitor</v>
      </c>
    </row>
    <row r="281" spans="1:12" x14ac:dyDescent="0.3">
      <c r="A281" s="1" t="s">
        <v>59</v>
      </c>
      <c r="B281" s="1" t="s">
        <v>38</v>
      </c>
      <c r="C281" s="1" t="s">
        <v>13</v>
      </c>
      <c r="D281" s="1" t="s">
        <v>53</v>
      </c>
      <c r="E281" s="1">
        <v>9</v>
      </c>
      <c r="F281" s="1">
        <v>50</v>
      </c>
      <c r="G281" s="1">
        <v>7</v>
      </c>
      <c r="H281" s="2">
        <v>46085</v>
      </c>
      <c r="I281" s="2">
        <v>46095</v>
      </c>
      <c r="J281" s="1" t="s">
        <v>51</v>
      </c>
      <c r="K281" s="1">
        <v>1280</v>
      </c>
      <c r="L281" s="1" t="str">
        <f t="shared" si="1"/>
        <v>Anita_Diary</v>
      </c>
    </row>
    <row r="282" spans="1:12" x14ac:dyDescent="0.3">
      <c r="A282" s="1" t="s">
        <v>55</v>
      </c>
      <c r="B282" s="1" t="s">
        <v>17</v>
      </c>
      <c r="C282" s="1" t="s">
        <v>13</v>
      </c>
      <c r="D282" s="1" t="s">
        <v>50</v>
      </c>
      <c r="E282" s="1">
        <v>6</v>
      </c>
      <c r="F282" s="1">
        <v>253</v>
      </c>
      <c r="G282" s="1">
        <v>0</v>
      </c>
      <c r="H282" s="2">
        <v>46055</v>
      </c>
      <c r="I282" s="2">
        <v>46063</v>
      </c>
      <c r="J282" s="1" t="s">
        <v>24</v>
      </c>
      <c r="K282" s="1">
        <v>1281</v>
      </c>
      <c r="L282" s="1" t="str">
        <f t="shared" si="1"/>
        <v>Sneha_Marker</v>
      </c>
    </row>
    <row r="283" spans="1:12" x14ac:dyDescent="0.3">
      <c r="A283" s="1" t="s">
        <v>57</v>
      </c>
      <c r="B283" s="1" t="s">
        <v>43</v>
      </c>
      <c r="C283" s="1" t="s">
        <v>18</v>
      </c>
      <c r="D283" s="1" t="s">
        <v>44</v>
      </c>
      <c r="E283" s="1">
        <v>12</v>
      </c>
      <c r="F283" s="1">
        <v>3178</v>
      </c>
      <c r="G283" s="1">
        <v>10</v>
      </c>
      <c r="H283" s="2">
        <v>46176</v>
      </c>
      <c r="I283" s="2">
        <v>46177</v>
      </c>
      <c r="J283" s="1" t="s">
        <v>29</v>
      </c>
      <c r="K283" s="1">
        <v>1282</v>
      </c>
      <c r="L283" s="1" t="str">
        <f t="shared" si="1"/>
        <v>Sara_Bookshelf</v>
      </c>
    </row>
    <row r="284" spans="1:12" x14ac:dyDescent="0.3">
      <c r="A284" s="1" t="s">
        <v>40</v>
      </c>
      <c r="B284" s="1" t="s">
        <v>12</v>
      </c>
      <c r="C284" s="1" t="s">
        <v>18</v>
      </c>
      <c r="D284" s="1" t="s">
        <v>23</v>
      </c>
      <c r="E284" s="1">
        <v>6</v>
      </c>
      <c r="F284" s="1">
        <v>1167</v>
      </c>
      <c r="G284" s="1">
        <v>2</v>
      </c>
      <c r="H284" s="2">
        <v>46100</v>
      </c>
      <c r="I284" s="2">
        <v>46106</v>
      </c>
      <c r="J284" s="1" t="s">
        <v>15</v>
      </c>
      <c r="K284" s="1">
        <v>1283</v>
      </c>
      <c r="L284" s="1" t="str">
        <f t="shared" si="1"/>
        <v>Deepak_Table</v>
      </c>
    </row>
    <row r="285" spans="1:12" x14ac:dyDescent="0.3">
      <c r="A285" s="1" t="s">
        <v>40</v>
      </c>
      <c r="B285" s="1" t="s">
        <v>25</v>
      </c>
      <c r="C285" s="1" t="s">
        <v>13</v>
      </c>
      <c r="D285" s="1" t="s">
        <v>37</v>
      </c>
      <c r="E285" s="1">
        <v>16</v>
      </c>
      <c r="F285" s="1">
        <v>419</v>
      </c>
      <c r="G285" s="1">
        <v>2</v>
      </c>
      <c r="H285" s="2">
        <v>46082</v>
      </c>
      <c r="I285" s="2">
        <v>46090</v>
      </c>
      <c r="J285" s="1" t="s">
        <v>15</v>
      </c>
      <c r="K285" s="1">
        <v>1284</v>
      </c>
      <c r="L285" s="1" t="str">
        <f t="shared" si="1"/>
        <v>Deepak_Pen Pack</v>
      </c>
    </row>
    <row r="286" spans="1:12" x14ac:dyDescent="0.3">
      <c r="A286" s="1" t="s">
        <v>32</v>
      </c>
      <c r="B286" s="1" t="s">
        <v>38</v>
      </c>
      <c r="C286" s="1" t="s">
        <v>13</v>
      </c>
      <c r="D286" s="1" t="s">
        <v>36</v>
      </c>
      <c r="E286" s="1">
        <v>7</v>
      </c>
      <c r="F286" s="1">
        <v>439</v>
      </c>
      <c r="G286" s="1">
        <v>15</v>
      </c>
      <c r="H286" s="2">
        <v>46055</v>
      </c>
      <c r="I286" s="2">
        <v>46058</v>
      </c>
      <c r="J286" s="1" t="s">
        <v>20</v>
      </c>
      <c r="K286" s="1">
        <v>1285</v>
      </c>
      <c r="L286" s="1" t="str">
        <f t="shared" si="1"/>
        <v>Asha_Stapler</v>
      </c>
    </row>
    <row r="287" spans="1:12" x14ac:dyDescent="0.3">
      <c r="A287" s="1" t="s">
        <v>46</v>
      </c>
      <c r="B287" s="1" t="s">
        <v>17</v>
      </c>
      <c r="C287" s="1" t="s">
        <v>18</v>
      </c>
      <c r="D287" s="1" t="s">
        <v>56</v>
      </c>
      <c r="E287" s="1">
        <v>9</v>
      </c>
      <c r="F287" s="1">
        <v>1340</v>
      </c>
      <c r="G287" s="1">
        <v>2</v>
      </c>
      <c r="H287" s="2">
        <v>46168</v>
      </c>
      <c r="I287" s="2">
        <v>46173</v>
      </c>
      <c r="J287" s="1" t="s">
        <v>15</v>
      </c>
      <c r="K287" s="1">
        <v>1286</v>
      </c>
      <c r="L287" s="1" t="str">
        <f t="shared" si="1"/>
        <v>Kiran_Cabinet</v>
      </c>
    </row>
    <row r="288" spans="1:12" x14ac:dyDescent="0.3">
      <c r="A288" s="1" t="s">
        <v>59</v>
      </c>
      <c r="B288" s="1" t="s">
        <v>31</v>
      </c>
      <c r="C288" s="1" t="s">
        <v>13</v>
      </c>
      <c r="D288" s="1" t="s">
        <v>14</v>
      </c>
      <c r="E288" s="1">
        <v>15</v>
      </c>
      <c r="F288" s="1">
        <v>251</v>
      </c>
      <c r="G288" s="1">
        <v>2</v>
      </c>
      <c r="H288" s="2">
        <v>46116</v>
      </c>
      <c r="I288" s="2">
        <v>46122</v>
      </c>
      <c r="J288" s="1" t="s">
        <v>51</v>
      </c>
      <c r="K288" s="1">
        <v>1287</v>
      </c>
      <c r="L288" s="1" t="str">
        <f t="shared" si="1"/>
        <v>Anita_Notebook</v>
      </c>
    </row>
    <row r="289" spans="1:12" x14ac:dyDescent="0.3">
      <c r="A289" s="1" t="s">
        <v>54</v>
      </c>
      <c r="B289" s="1" t="s">
        <v>22</v>
      </c>
      <c r="C289" s="1" t="s">
        <v>34</v>
      </c>
      <c r="D289" s="1" t="s">
        <v>60</v>
      </c>
      <c r="E289" s="1">
        <v>14</v>
      </c>
      <c r="F289" s="1">
        <v>35601</v>
      </c>
      <c r="G289" s="1">
        <v>10</v>
      </c>
      <c r="H289" s="2">
        <v>46179</v>
      </c>
      <c r="I289" s="2">
        <v>46187</v>
      </c>
      <c r="J289" s="1" t="s">
        <v>29</v>
      </c>
      <c r="K289" s="1">
        <v>1288</v>
      </c>
      <c r="L289" s="1" t="str">
        <f t="shared" si="1"/>
        <v>Manoj_Laptop</v>
      </c>
    </row>
    <row r="290" spans="1:12" x14ac:dyDescent="0.3">
      <c r="A290" s="1" t="s">
        <v>26</v>
      </c>
      <c r="B290" s="1" t="s">
        <v>22</v>
      </c>
      <c r="C290" s="1" t="s">
        <v>34</v>
      </c>
      <c r="D290" s="1" t="s">
        <v>45</v>
      </c>
      <c r="E290" s="1">
        <v>19</v>
      </c>
      <c r="F290" s="1">
        <v>25336</v>
      </c>
      <c r="G290" s="1">
        <v>2</v>
      </c>
      <c r="H290" s="2">
        <v>46122</v>
      </c>
      <c r="I290" s="2">
        <v>46130</v>
      </c>
      <c r="J290" s="1" t="s">
        <v>24</v>
      </c>
      <c r="K290" s="1">
        <v>1289</v>
      </c>
      <c r="L290" s="1" t="str">
        <f t="shared" si="1"/>
        <v>Vikram_Monitor</v>
      </c>
    </row>
    <row r="291" spans="1:12" x14ac:dyDescent="0.3">
      <c r="A291" s="1" t="s">
        <v>26</v>
      </c>
      <c r="B291" s="1" t="s">
        <v>22</v>
      </c>
      <c r="C291" s="1" t="s">
        <v>34</v>
      </c>
      <c r="D291" s="1" t="s">
        <v>35</v>
      </c>
      <c r="E291" s="1">
        <v>3</v>
      </c>
      <c r="F291" s="1">
        <v>69793</v>
      </c>
      <c r="G291" s="1">
        <v>15</v>
      </c>
      <c r="H291" s="2">
        <v>46110</v>
      </c>
      <c r="I291" s="2">
        <v>46111</v>
      </c>
      <c r="J291" s="1" t="s">
        <v>29</v>
      </c>
      <c r="K291" s="1">
        <v>1290</v>
      </c>
      <c r="L291" s="1" t="str">
        <f t="shared" si="1"/>
        <v>Vikram_Printer</v>
      </c>
    </row>
    <row r="292" spans="1:12" x14ac:dyDescent="0.3">
      <c r="A292" s="1" t="s">
        <v>21</v>
      </c>
      <c r="B292" s="1" t="s">
        <v>17</v>
      </c>
      <c r="C292" s="1" t="s">
        <v>13</v>
      </c>
      <c r="D292" s="1" t="s">
        <v>36</v>
      </c>
      <c r="E292" s="1">
        <v>17</v>
      </c>
      <c r="F292" s="1">
        <v>415</v>
      </c>
      <c r="G292" s="1">
        <v>5</v>
      </c>
      <c r="H292" s="2">
        <v>46137</v>
      </c>
      <c r="I292" s="2">
        <v>46141</v>
      </c>
      <c r="J292" s="1" t="s">
        <v>20</v>
      </c>
      <c r="K292" s="1">
        <v>1291</v>
      </c>
      <c r="L292" s="1" t="str">
        <f t="shared" si="1"/>
        <v>Meera_Stapler</v>
      </c>
    </row>
    <row r="293" spans="1:12" x14ac:dyDescent="0.3">
      <c r="A293" s="1" t="s">
        <v>54</v>
      </c>
      <c r="B293" s="1" t="s">
        <v>33</v>
      </c>
      <c r="C293" s="1" t="s">
        <v>34</v>
      </c>
      <c r="D293" s="1" t="s">
        <v>61</v>
      </c>
      <c r="E293" s="1">
        <v>11</v>
      </c>
      <c r="F293" s="1">
        <v>25158</v>
      </c>
      <c r="G293" s="1">
        <v>5</v>
      </c>
      <c r="H293" s="2">
        <v>46186</v>
      </c>
      <c r="I293" s="2">
        <v>46193</v>
      </c>
      <c r="J293" s="1" t="s">
        <v>20</v>
      </c>
      <c r="K293" s="1">
        <v>1292</v>
      </c>
      <c r="L293" s="1" t="str">
        <f t="shared" si="1"/>
        <v>Manoj_Mouse</v>
      </c>
    </row>
    <row r="294" spans="1:12" x14ac:dyDescent="0.3">
      <c r="A294" s="1" t="s">
        <v>49</v>
      </c>
      <c r="B294" s="1" t="s">
        <v>43</v>
      </c>
      <c r="C294" s="1" t="s">
        <v>18</v>
      </c>
      <c r="D294" s="1" t="s">
        <v>23</v>
      </c>
      <c r="E294" s="1">
        <v>7</v>
      </c>
      <c r="F294" s="1">
        <v>11481</v>
      </c>
      <c r="G294" s="1">
        <v>15</v>
      </c>
      <c r="H294" s="2">
        <v>46045</v>
      </c>
      <c r="I294" s="2">
        <v>46050</v>
      </c>
      <c r="J294" s="1" t="s">
        <v>20</v>
      </c>
      <c r="K294" s="1">
        <v>1293</v>
      </c>
      <c r="L294" s="1" t="str">
        <f t="shared" si="1"/>
        <v>Ajay_Table</v>
      </c>
    </row>
    <row r="295" spans="1:12" x14ac:dyDescent="0.3">
      <c r="A295" s="1" t="s">
        <v>21</v>
      </c>
      <c r="B295" s="1" t="s">
        <v>12</v>
      </c>
      <c r="C295" s="1" t="s">
        <v>18</v>
      </c>
      <c r="D295" s="1" t="s">
        <v>19</v>
      </c>
      <c r="E295" s="1">
        <v>8</v>
      </c>
      <c r="F295" s="1">
        <v>14448</v>
      </c>
      <c r="G295" s="1">
        <v>10</v>
      </c>
      <c r="H295" s="2">
        <v>46181</v>
      </c>
      <c r="I295" s="2">
        <v>46189</v>
      </c>
      <c r="J295" s="1" t="s">
        <v>15</v>
      </c>
      <c r="K295" s="1">
        <v>1294</v>
      </c>
      <c r="L295" s="1" t="str">
        <f t="shared" si="1"/>
        <v>Meera_Desk</v>
      </c>
    </row>
    <row r="296" spans="1:12" x14ac:dyDescent="0.3">
      <c r="A296" s="1" t="s">
        <v>52</v>
      </c>
      <c r="B296" s="1" t="s">
        <v>38</v>
      </c>
      <c r="C296" s="1" t="s">
        <v>18</v>
      </c>
      <c r="D296" s="1" t="s">
        <v>28</v>
      </c>
      <c r="E296" s="1">
        <v>16</v>
      </c>
      <c r="F296" s="1">
        <v>11935</v>
      </c>
      <c r="G296" s="1">
        <v>12</v>
      </c>
      <c r="H296" s="2">
        <v>46157</v>
      </c>
      <c r="I296" s="2">
        <v>46162</v>
      </c>
      <c r="J296" s="1" t="s">
        <v>15</v>
      </c>
      <c r="K296" s="1">
        <v>1295</v>
      </c>
      <c r="L296" s="1" t="str">
        <f t="shared" si="1"/>
        <v>Komal_Chair</v>
      </c>
    </row>
    <row r="297" spans="1:12" x14ac:dyDescent="0.3">
      <c r="A297" s="1" t="s">
        <v>26</v>
      </c>
      <c r="B297" s="1" t="s">
        <v>38</v>
      </c>
      <c r="C297" s="1" t="s">
        <v>13</v>
      </c>
      <c r="D297" s="1" t="s">
        <v>50</v>
      </c>
      <c r="E297" s="1">
        <v>6</v>
      </c>
      <c r="F297" s="1">
        <v>201</v>
      </c>
      <c r="G297" s="1">
        <v>0</v>
      </c>
      <c r="H297" s="2">
        <v>46063</v>
      </c>
      <c r="I297" s="2">
        <v>46072</v>
      </c>
      <c r="J297" s="1" t="s">
        <v>51</v>
      </c>
      <c r="K297" s="1">
        <v>1296</v>
      </c>
      <c r="L297" s="1" t="str">
        <f t="shared" si="1"/>
        <v>Vikram_Marker</v>
      </c>
    </row>
    <row r="298" spans="1:12" x14ac:dyDescent="0.3">
      <c r="A298" s="1" t="s">
        <v>54</v>
      </c>
      <c r="B298" s="1" t="s">
        <v>25</v>
      </c>
      <c r="C298" s="1" t="s">
        <v>34</v>
      </c>
      <c r="D298" s="1" t="s">
        <v>35</v>
      </c>
      <c r="E298" s="1">
        <v>14</v>
      </c>
      <c r="F298" s="1">
        <v>24524</v>
      </c>
      <c r="G298" s="1">
        <v>10</v>
      </c>
      <c r="H298" s="2">
        <v>46178</v>
      </c>
      <c r="I298" s="2">
        <v>46187</v>
      </c>
      <c r="J298" s="1" t="s">
        <v>29</v>
      </c>
      <c r="K298" s="1">
        <v>1297</v>
      </c>
      <c r="L298" s="1" t="str">
        <f t="shared" si="1"/>
        <v>Manoj_Printer</v>
      </c>
    </row>
    <row r="299" spans="1:12" x14ac:dyDescent="0.3">
      <c r="A299" s="1" t="s">
        <v>21</v>
      </c>
      <c r="B299" s="1" t="s">
        <v>12</v>
      </c>
      <c r="C299" s="1" t="s">
        <v>34</v>
      </c>
      <c r="D299" s="1" t="s">
        <v>61</v>
      </c>
      <c r="E299" s="1">
        <v>19</v>
      </c>
      <c r="F299" s="1">
        <v>20745</v>
      </c>
      <c r="G299" s="1">
        <v>2</v>
      </c>
      <c r="H299" s="2">
        <v>46083</v>
      </c>
      <c r="I299" s="2">
        <v>46093</v>
      </c>
      <c r="J299" s="1" t="s">
        <v>24</v>
      </c>
      <c r="K299" s="1">
        <v>1298</v>
      </c>
      <c r="L299" s="1" t="str">
        <f t="shared" si="1"/>
        <v>Meera_Mouse</v>
      </c>
    </row>
    <row r="300" spans="1:12" x14ac:dyDescent="0.3">
      <c r="A300" s="1" t="s">
        <v>26</v>
      </c>
      <c r="B300" s="1" t="s">
        <v>17</v>
      </c>
      <c r="C300" s="1" t="s">
        <v>18</v>
      </c>
      <c r="D300" s="1" t="s">
        <v>56</v>
      </c>
      <c r="E300" s="1">
        <v>8</v>
      </c>
      <c r="F300" s="1">
        <v>8783</v>
      </c>
      <c r="G300" s="1">
        <v>2</v>
      </c>
      <c r="H300" s="2">
        <v>46123</v>
      </c>
      <c r="I300" s="2">
        <v>46132</v>
      </c>
      <c r="J300" s="1" t="s">
        <v>15</v>
      </c>
      <c r="K300" s="1">
        <v>1299</v>
      </c>
      <c r="L300" s="1" t="str">
        <f t="shared" si="1"/>
        <v>Vikram_Cabinet</v>
      </c>
    </row>
    <row r="301" spans="1:12" x14ac:dyDescent="0.3">
      <c r="A301" s="1" t="s">
        <v>47</v>
      </c>
      <c r="B301" s="1" t="s">
        <v>33</v>
      </c>
      <c r="C301" s="1" t="s">
        <v>34</v>
      </c>
      <c r="D301" s="1" t="s">
        <v>45</v>
      </c>
      <c r="E301" s="1">
        <v>20</v>
      </c>
      <c r="F301" s="1">
        <v>1392</v>
      </c>
      <c r="G301" s="1">
        <v>2</v>
      </c>
      <c r="H301" s="2">
        <v>46110</v>
      </c>
      <c r="I301" s="2">
        <v>46117</v>
      </c>
      <c r="J301" s="1" t="s">
        <v>24</v>
      </c>
      <c r="K301" s="1">
        <v>1300</v>
      </c>
      <c r="L301" s="1" t="str">
        <f t="shared" si="1"/>
        <v>Yash_Monitor</v>
      </c>
    </row>
    <row r="302" spans="1:12" x14ac:dyDescent="0.3">
      <c r="A302" s="1" t="s">
        <v>54</v>
      </c>
      <c r="B302" s="1" t="s">
        <v>17</v>
      </c>
      <c r="C302" s="1" t="s">
        <v>18</v>
      </c>
      <c r="D302" s="1" t="s">
        <v>28</v>
      </c>
      <c r="E302" s="1">
        <v>3</v>
      </c>
      <c r="F302" s="1">
        <v>7020</v>
      </c>
      <c r="G302" s="1">
        <v>10</v>
      </c>
      <c r="H302" s="2">
        <v>46028</v>
      </c>
      <c r="I302" s="2">
        <v>46038</v>
      </c>
      <c r="J302" s="1" t="s">
        <v>24</v>
      </c>
      <c r="K302" s="1">
        <v>1301</v>
      </c>
      <c r="L302" s="1" t="str">
        <f t="shared" si="1"/>
        <v>Manoj_Chair</v>
      </c>
    </row>
    <row r="303" spans="1:12" x14ac:dyDescent="0.3">
      <c r="A303" s="1" t="s">
        <v>57</v>
      </c>
      <c r="B303" s="1" t="s">
        <v>12</v>
      </c>
      <c r="C303" s="1" t="s">
        <v>34</v>
      </c>
      <c r="D303" s="1" t="s">
        <v>35</v>
      </c>
      <c r="E303" s="1">
        <v>9</v>
      </c>
      <c r="F303" s="1">
        <v>8500</v>
      </c>
      <c r="G303" s="1">
        <v>15</v>
      </c>
      <c r="H303" s="2">
        <v>46163</v>
      </c>
      <c r="I303" s="2">
        <v>46172</v>
      </c>
      <c r="J303" s="1" t="s">
        <v>24</v>
      </c>
      <c r="K303" s="1">
        <v>1302</v>
      </c>
      <c r="L303" s="1" t="str">
        <f t="shared" si="1"/>
        <v>Sara_Printer</v>
      </c>
    </row>
    <row r="304" spans="1:12" x14ac:dyDescent="0.3">
      <c r="A304" s="1" t="s">
        <v>57</v>
      </c>
      <c r="B304" s="1" t="s">
        <v>38</v>
      </c>
      <c r="C304" s="1" t="s">
        <v>34</v>
      </c>
      <c r="D304" s="1" t="s">
        <v>35</v>
      </c>
      <c r="E304" s="1">
        <v>13</v>
      </c>
      <c r="F304" s="1">
        <v>5170</v>
      </c>
      <c r="G304" s="1">
        <v>2</v>
      </c>
      <c r="H304" s="2">
        <v>46124</v>
      </c>
      <c r="I304" s="2">
        <v>46127</v>
      </c>
      <c r="J304" s="1" t="s">
        <v>15</v>
      </c>
      <c r="K304" s="1">
        <v>1303</v>
      </c>
      <c r="L304" s="1" t="str">
        <f t="shared" si="1"/>
        <v>Sara_Printer</v>
      </c>
    </row>
    <row r="305" spans="1:12" x14ac:dyDescent="0.3">
      <c r="A305" s="1" t="s">
        <v>59</v>
      </c>
      <c r="B305" s="1" t="s">
        <v>25</v>
      </c>
      <c r="C305" s="1" t="s">
        <v>13</v>
      </c>
      <c r="D305" s="1" t="s">
        <v>36</v>
      </c>
      <c r="E305" s="1">
        <v>20</v>
      </c>
      <c r="F305" s="1">
        <v>368</v>
      </c>
      <c r="G305" s="1">
        <v>7</v>
      </c>
      <c r="H305" s="2">
        <v>46042</v>
      </c>
      <c r="I305" s="2">
        <v>46051</v>
      </c>
      <c r="J305" s="1" t="s">
        <v>51</v>
      </c>
      <c r="K305" s="1">
        <v>1304</v>
      </c>
      <c r="L305" s="1" t="str">
        <f t="shared" si="1"/>
        <v>Anita_Stapler</v>
      </c>
    </row>
    <row r="306" spans="1:12" x14ac:dyDescent="0.3">
      <c r="A306" s="1" t="s">
        <v>58</v>
      </c>
      <c r="B306" s="1" t="s">
        <v>31</v>
      </c>
      <c r="C306" s="1" t="s">
        <v>34</v>
      </c>
      <c r="D306" s="1" t="s">
        <v>60</v>
      </c>
      <c r="E306" s="1">
        <v>20</v>
      </c>
      <c r="F306" s="1">
        <v>31406</v>
      </c>
      <c r="G306" s="1">
        <v>15</v>
      </c>
      <c r="H306" s="2">
        <v>46146</v>
      </c>
      <c r="I306" s="2">
        <v>46154</v>
      </c>
      <c r="J306" s="1" t="s">
        <v>51</v>
      </c>
      <c r="K306" s="1">
        <v>1305</v>
      </c>
      <c r="L306" s="1" t="str">
        <f t="shared" si="1"/>
        <v>Rohan_Laptop</v>
      </c>
    </row>
    <row r="307" spans="1:12" x14ac:dyDescent="0.3">
      <c r="A307" s="1" t="s">
        <v>54</v>
      </c>
      <c r="B307" s="1" t="s">
        <v>43</v>
      </c>
      <c r="C307" s="1" t="s">
        <v>13</v>
      </c>
      <c r="D307" s="1" t="s">
        <v>36</v>
      </c>
      <c r="E307" s="1">
        <v>1</v>
      </c>
      <c r="F307" s="1">
        <v>332</v>
      </c>
      <c r="G307" s="1">
        <v>0</v>
      </c>
      <c r="H307" s="2">
        <v>46191</v>
      </c>
      <c r="I307" s="2">
        <v>46194</v>
      </c>
      <c r="J307" s="1" t="s">
        <v>20</v>
      </c>
      <c r="K307" s="1">
        <v>1306</v>
      </c>
      <c r="L307" s="1" t="str">
        <f t="shared" si="1"/>
        <v>Manoj_Stapler</v>
      </c>
    </row>
    <row r="308" spans="1:12" x14ac:dyDescent="0.3">
      <c r="A308" s="1" t="s">
        <v>57</v>
      </c>
      <c r="B308" s="1" t="s">
        <v>43</v>
      </c>
      <c r="C308" s="1" t="s">
        <v>34</v>
      </c>
      <c r="D308" s="1" t="s">
        <v>35</v>
      </c>
      <c r="E308" s="1">
        <v>18</v>
      </c>
      <c r="F308" s="1">
        <v>7541</v>
      </c>
      <c r="G308" s="1">
        <v>12</v>
      </c>
      <c r="H308" s="2">
        <v>46048</v>
      </c>
      <c r="I308" s="2">
        <v>46051</v>
      </c>
      <c r="J308" s="1" t="s">
        <v>51</v>
      </c>
      <c r="K308" s="1">
        <v>1307</v>
      </c>
      <c r="L308" s="1" t="str">
        <f t="shared" si="1"/>
        <v>Sara_Printer</v>
      </c>
    </row>
    <row r="309" spans="1:12" x14ac:dyDescent="0.3">
      <c r="A309" s="1" t="s">
        <v>30</v>
      </c>
      <c r="B309" s="1" t="s">
        <v>22</v>
      </c>
      <c r="C309" s="1" t="s">
        <v>34</v>
      </c>
      <c r="D309" s="1" t="s">
        <v>41</v>
      </c>
      <c r="E309" s="1">
        <v>12</v>
      </c>
      <c r="F309" s="1">
        <v>66075</v>
      </c>
      <c r="G309" s="1">
        <v>5</v>
      </c>
      <c r="H309" s="2">
        <v>46129</v>
      </c>
      <c r="I309" s="2">
        <v>46135</v>
      </c>
      <c r="J309" s="1" t="s">
        <v>20</v>
      </c>
      <c r="K309" s="1">
        <v>1308</v>
      </c>
      <c r="L309" s="1" t="str">
        <f t="shared" si="1"/>
        <v>Neha_Headset</v>
      </c>
    </row>
    <row r="310" spans="1:12" x14ac:dyDescent="0.3">
      <c r="A310" s="1" t="s">
        <v>29</v>
      </c>
      <c r="B310" s="1" t="s">
        <v>31</v>
      </c>
      <c r="C310" s="1" t="s">
        <v>13</v>
      </c>
      <c r="D310" s="1" t="s">
        <v>50</v>
      </c>
      <c r="E310" s="1">
        <v>2</v>
      </c>
      <c r="F310" s="1">
        <v>35</v>
      </c>
      <c r="G310" s="1">
        <v>5</v>
      </c>
      <c r="H310" s="2">
        <v>46197</v>
      </c>
      <c r="I310" s="2">
        <v>46198</v>
      </c>
      <c r="J310" s="1" t="s">
        <v>24</v>
      </c>
      <c r="K310" s="1">
        <v>1309</v>
      </c>
      <c r="L310" s="1" t="str">
        <f t="shared" si="1"/>
        <v>Priya_Marker</v>
      </c>
    </row>
    <row r="311" spans="1:12" x14ac:dyDescent="0.3">
      <c r="A311" s="1" t="s">
        <v>49</v>
      </c>
      <c r="B311" s="1" t="s">
        <v>17</v>
      </c>
      <c r="C311" s="1" t="s">
        <v>18</v>
      </c>
      <c r="D311" s="1" t="s">
        <v>56</v>
      </c>
      <c r="E311" s="1">
        <v>19</v>
      </c>
      <c r="F311" s="1">
        <v>12691</v>
      </c>
      <c r="G311" s="1">
        <v>0</v>
      </c>
      <c r="H311" s="2">
        <v>46181</v>
      </c>
      <c r="I311" s="2">
        <v>46189</v>
      </c>
      <c r="J311" s="1" t="s">
        <v>29</v>
      </c>
      <c r="K311" s="1">
        <v>1310</v>
      </c>
      <c r="L311" s="1" t="str">
        <f t="shared" si="1"/>
        <v>Ajay_Cabinet</v>
      </c>
    </row>
    <row r="312" spans="1:12" x14ac:dyDescent="0.3">
      <c r="A312" s="1" t="s">
        <v>55</v>
      </c>
      <c r="B312" s="1" t="s">
        <v>12</v>
      </c>
      <c r="C312" s="1" t="s">
        <v>13</v>
      </c>
      <c r="D312" s="1" t="s">
        <v>14</v>
      </c>
      <c r="E312" s="1">
        <v>2</v>
      </c>
      <c r="F312" s="1">
        <v>209</v>
      </c>
      <c r="G312" s="1">
        <v>0</v>
      </c>
      <c r="H312" s="2">
        <v>46173</v>
      </c>
      <c r="I312" s="2">
        <v>46176</v>
      </c>
      <c r="J312" s="1" t="s">
        <v>20</v>
      </c>
      <c r="K312" s="1">
        <v>1311</v>
      </c>
      <c r="L312" s="1" t="str">
        <f t="shared" si="1"/>
        <v>Sneha_Notebook</v>
      </c>
    </row>
    <row r="313" spans="1:12" x14ac:dyDescent="0.3">
      <c r="A313" s="1" t="s">
        <v>57</v>
      </c>
      <c r="B313" s="1" t="s">
        <v>22</v>
      </c>
      <c r="C313" s="1" t="s">
        <v>18</v>
      </c>
      <c r="D313" s="1" t="s">
        <v>56</v>
      </c>
      <c r="E313" s="1">
        <v>20</v>
      </c>
      <c r="F313" s="1">
        <v>3274</v>
      </c>
      <c r="G313" s="1">
        <v>2</v>
      </c>
      <c r="H313" s="2">
        <v>46148</v>
      </c>
      <c r="I313" s="2">
        <v>46156</v>
      </c>
      <c r="J313" s="1" t="s">
        <v>24</v>
      </c>
      <c r="K313" s="1">
        <v>1312</v>
      </c>
      <c r="L313" s="1" t="str">
        <f t="shared" si="1"/>
        <v>Sara_Cabinet</v>
      </c>
    </row>
    <row r="314" spans="1:12" x14ac:dyDescent="0.3">
      <c r="A314" s="1" t="s">
        <v>59</v>
      </c>
      <c r="B314" s="1" t="s">
        <v>22</v>
      </c>
      <c r="C314" s="1" t="s">
        <v>18</v>
      </c>
      <c r="D314" s="1" t="s">
        <v>56</v>
      </c>
      <c r="E314" s="1">
        <v>6</v>
      </c>
      <c r="F314" s="1">
        <v>10864</v>
      </c>
      <c r="G314" s="1">
        <v>10</v>
      </c>
      <c r="H314" s="2">
        <v>46041</v>
      </c>
      <c r="I314" s="2">
        <v>46049</v>
      </c>
      <c r="J314" s="1" t="s">
        <v>15</v>
      </c>
      <c r="K314" s="1">
        <v>1313</v>
      </c>
      <c r="L314" s="1" t="str">
        <f t="shared" si="1"/>
        <v>Anita_Cabinet</v>
      </c>
    </row>
    <row r="315" spans="1:12" x14ac:dyDescent="0.3">
      <c r="A315" s="1" t="s">
        <v>52</v>
      </c>
      <c r="B315" s="1" t="s">
        <v>33</v>
      </c>
      <c r="C315" s="1" t="s">
        <v>18</v>
      </c>
      <c r="D315" s="1" t="s">
        <v>19</v>
      </c>
      <c r="E315" s="1">
        <v>10</v>
      </c>
      <c r="F315" s="1">
        <v>6328</v>
      </c>
      <c r="G315" s="1">
        <v>2</v>
      </c>
      <c r="H315" s="2">
        <v>46196</v>
      </c>
      <c r="I315" s="2">
        <v>46197</v>
      </c>
      <c r="J315" s="1" t="s">
        <v>29</v>
      </c>
      <c r="K315" s="1">
        <v>1314</v>
      </c>
      <c r="L315" s="1" t="str">
        <f t="shared" si="1"/>
        <v>Komal_Desk</v>
      </c>
    </row>
    <row r="316" spans="1:12" x14ac:dyDescent="0.3">
      <c r="A316" s="1" t="s">
        <v>49</v>
      </c>
      <c r="B316" s="1" t="s">
        <v>31</v>
      </c>
      <c r="C316" s="1" t="s">
        <v>34</v>
      </c>
      <c r="D316" s="1" t="s">
        <v>41</v>
      </c>
      <c r="E316" s="1">
        <v>14</v>
      </c>
      <c r="F316" s="1">
        <v>57670</v>
      </c>
      <c r="G316" s="1">
        <v>2</v>
      </c>
      <c r="H316" s="2">
        <v>46186</v>
      </c>
      <c r="I316" s="2">
        <v>46196</v>
      </c>
      <c r="J316" s="1" t="s">
        <v>15</v>
      </c>
      <c r="K316" s="1">
        <v>1315</v>
      </c>
      <c r="L316" s="1" t="str">
        <f t="shared" si="1"/>
        <v>Ajay_Headset</v>
      </c>
    </row>
    <row r="317" spans="1:12" x14ac:dyDescent="0.3">
      <c r="A317" s="1" t="s">
        <v>46</v>
      </c>
      <c r="B317" s="1" t="s">
        <v>12</v>
      </c>
      <c r="C317" s="1" t="s">
        <v>18</v>
      </c>
      <c r="D317" s="1" t="s">
        <v>28</v>
      </c>
      <c r="E317" s="1">
        <v>7</v>
      </c>
      <c r="F317" s="1">
        <v>9838</v>
      </c>
      <c r="G317" s="1">
        <v>7</v>
      </c>
      <c r="H317" s="2">
        <v>46078</v>
      </c>
      <c r="I317" s="2">
        <v>46085</v>
      </c>
      <c r="J317" s="1" t="s">
        <v>20</v>
      </c>
      <c r="K317" s="1">
        <v>1316</v>
      </c>
      <c r="L317" s="1" t="str">
        <f t="shared" si="1"/>
        <v>Kiran_Chair</v>
      </c>
    </row>
    <row r="318" spans="1:12" x14ac:dyDescent="0.3">
      <c r="A318" s="1" t="s">
        <v>59</v>
      </c>
      <c r="B318" s="1" t="s">
        <v>33</v>
      </c>
      <c r="C318" s="1" t="s">
        <v>34</v>
      </c>
      <c r="D318" s="1" t="s">
        <v>41</v>
      </c>
      <c r="E318" s="1">
        <v>7</v>
      </c>
      <c r="F318" s="1">
        <v>67339</v>
      </c>
      <c r="G318" s="1">
        <v>5</v>
      </c>
      <c r="H318" s="2">
        <v>46159</v>
      </c>
      <c r="I318" s="2">
        <v>46169</v>
      </c>
      <c r="J318" s="1" t="s">
        <v>51</v>
      </c>
      <c r="K318" s="1">
        <v>1317</v>
      </c>
      <c r="L318" s="1" t="str">
        <f t="shared" si="1"/>
        <v>Anita_Headset</v>
      </c>
    </row>
    <row r="319" spans="1:12" x14ac:dyDescent="0.3">
      <c r="A319" s="1" t="s">
        <v>11</v>
      </c>
      <c r="B319" s="1" t="s">
        <v>43</v>
      </c>
      <c r="C319" s="1" t="s">
        <v>13</v>
      </c>
      <c r="D319" s="1" t="s">
        <v>50</v>
      </c>
      <c r="E319" s="1">
        <v>4</v>
      </c>
      <c r="F319" s="1">
        <v>38</v>
      </c>
      <c r="G319" s="1">
        <v>12</v>
      </c>
      <c r="H319" s="2">
        <v>46169</v>
      </c>
      <c r="I319" s="2">
        <v>46175</v>
      </c>
      <c r="J319" s="1" t="s">
        <v>29</v>
      </c>
      <c r="K319" s="1">
        <v>1318</v>
      </c>
      <c r="L319" s="1" t="str">
        <f t="shared" si="1"/>
        <v>Ritesh_Marker</v>
      </c>
    </row>
    <row r="320" spans="1:12" x14ac:dyDescent="0.3">
      <c r="A320" s="1" t="s">
        <v>21</v>
      </c>
      <c r="B320" s="1" t="s">
        <v>17</v>
      </c>
      <c r="C320" s="1" t="s">
        <v>34</v>
      </c>
      <c r="D320" s="1" t="s">
        <v>61</v>
      </c>
      <c r="E320" s="1">
        <v>17</v>
      </c>
      <c r="F320" s="1">
        <v>58407</v>
      </c>
      <c r="G320" s="1">
        <v>7</v>
      </c>
      <c r="H320" s="2">
        <v>46094</v>
      </c>
      <c r="I320" s="2">
        <v>46102</v>
      </c>
      <c r="J320" s="1" t="s">
        <v>15</v>
      </c>
      <c r="K320" s="1">
        <v>1319</v>
      </c>
      <c r="L320" s="1" t="str">
        <f t="shared" si="1"/>
        <v>Meera_Mouse</v>
      </c>
    </row>
    <row r="321" spans="1:12" x14ac:dyDescent="0.3">
      <c r="A321" s="1" t="s">
        <v>47</v>
      </c>
      <c r="B321" s="1" t="s">
        <v>38</v>
      </c>
      <c r="C321" s="1" t="s">
        <v>13</v>
      </c>
      <c r="D321" s="1" t="s">
        <v>36</v>
      </c>
      <c r="E321" s="1">
        <v>20</v>
      </c>
      <c r="F321" s="1">
        <v>55</v>
      </c>
      <c r="G321" s="1">
        <v>7</v>
      </c>
      <c r="H321" s="2">
        <v>46183</v>
      </c>
      <c r="I321" s="2">
        <v>46186</v>
      </c>
      <c r="J321" s="1" t="s">
        <v>20</v>
      </c>
      <c r="K321" s="1">
        <v>1320</v>
      </c>
      <c r="L321" s="1" t="str">
        <f t="shared" si="1"/>
        <v>Yash_Stapler</v>
      </c>
    </row>
    <row r="322" spans="1:12" x14ac:dyDescent="0.3">
      <c r="A322" s="1" t="s">
        <v>32</v>
      </c>
      <c r="B322" s="1" t="s">
        <v>22</v>
      </c>
      <c r="C322" s="1" t="s">
        <v>18</v>
      </c>
      <c r="D322" s="1" t="s">
        <v>19</v>
      </c>
      <c r="E322" s="1">
        <v>8</v>
      </c>
      <c r="F322" s="1">
        <v>5619</v>
      </c>
      <c r="G322" s="1">
        <v>7</v>
      </c>
      <c r="H322" s="2">
        <v>46107</v>
      </c>
      <c r="I322" s="2">
        <v>46109</v>
      </c>
      <c r="J322" s="1" t="s">
        <v>51</v>
      </c>
      <c r="K322" s="1">
        <v>1321</v>
      </c>
      <c r="L322" s="1" t="str">
        <f t="shared" si="1"/>
        <v>Asha_Desk</v>
      </c>
    </row>
    <row r="323" spans="1:12" x14ac:dyDescent="0.3">
      <c r="A323" s="1" t="s">
        <v>27</v>
      </c>
      <c r="B323" s="1" t="s">
        <v>12</v>
      </c>
      <c r="C323" s="1" t="s">
        <v>18</v>
      </c>
      <c r="D323" s="1" t="s">
        <v>23</v>
      </c>
      <c r="E323" s="1">
        <v>14</v>
      </c>
      <c r="F323" s="1">
        <v>9081</v>
      </c>
      <c r="G323" s="1">
        <v>15</v>
      </c>
      <c r="H323" s="2">
        <v>46141</v>
      </c>
      <c r="I323" s="2">
        <v>46146</v>
      </c>
      <c r="J323" s="1" t="s">
        <v>15</v>
      </c>
      <c r="K323" s="1">
        <v>1322</v>
      </c>
      <c r="L323" s="1" t="str">
        <f t="shared" si="1"/>
        <v>Arjun_Table</v>
      </c>
    </row>
    <row r="324" spans="1:12" x14ac:dyDescent="0.3">
      <c r="A324" s="1" t="s">
        <v>57</v>
      </c>
      <c r="B324" s="1" t="s">
        <v>38</v>
      </c>
      <c r="C324" s="1" t="s">
        <v>34</v>
      </c>
      <c r="D324" s="1" t="s">
        <v>61</v>
      </c>
      <c r="E324" s="1">
        <v>2</v>
      </c>
      <c r="F324" s="1">
        <v>32074</v>
      </c>
      <c r="G324" s="1">
        <v>10</v>
      </c>
      <c r="H324" s="2">
        <v>46073</v>
      </c>
      <c r="I324" s="2">
        <v>46078</v>
      </c>
      <c r="J324" s="1" t="s">
        <v>15</v>
      </c>
      <c r="K324" s="1">
        <v>1323</v>
      </c>
      <c r="L324" s="1" t="str">
        <f t="shared" si="1"/>
        <v>Sara_Mouse</v>
      </c>
    </row>
    <row r="325" spans="1:12" x14ac:dyDescent="0.3">
      <c r="A325" s="1" t="s">
        <v>32</v>
      </c>
      <c r="B325" s="1" t="s">
        <v>22</v>
      </c>
      <c r="C325" s="1" t="s">
        <v>18</v>
      </c>
      <c r="D325" s="1" t="s">
        <v>19</v>
      </c>
      <c r="E325" s="1">
        <v>1</v>
      </c>
      <c r="F325" s="1">
        <v>4286</v>
      </c>
      <c r="G325" s="1">
        <v>15</v>
      </c>
      <c r="H325" s="2">
        <v>46053</v>
      </c>
      <c r="I325" s="2">
        <v>46056</v>
      </c>
      <c r="J325" s="1" t="s">
        <v>20</v>
      </c>
      <c r="K325" s="1">
        <v>1324</v>
      </c>
      <c r="L325" s="1" t="str">
        <f t="shared" si="1"/>
        <v>Asha_Desk</v>
      </c>
    </row>
    <row r="326" spans="1:12" x14ac:dyDescent="0.3">
      <c r="A326" s="1" t="s">
        <v>48</v>
      </c>
      <c r="B326" s="1" t="s">
        <v>43</v>
      </c>
      <c r="C326" s="1" t="s">
        <v>34</v>
      </c>
      <c r="D326" s="1" t="s">
        <v>39</v>
      </c>
      <c r="E326" s="1">
        <v>9</v>
      </c>
      <c r="F326" s="1">
        <v>58442</v>
      </c>
      <c r="G326" s="1">
        <v>12</v>
      </c>
      <c r="H326" s="2">
        <v>46076</v>
      </c>
      <c r="I326" s="2">
        <v>46085</v>
      </c>
      <c r="J326" s="1" t="s">
        <v>20</v>
      </c>
      <c r="K326" s="1">
        <v>1325</v>
      </c>
      <c r="L326" s="1" t="str">
        <f t="shared" si="1"/>
        <v>Nitin_Keyboard</v>
      </c>
    </row>
    <row r="327" spans="1:12" x14ac:dyDescent="0.3">
      <c r="A327" s="1" t="s">
        <v>26</v>
      </c>
      <c r="B327" s="1" t="s">
        <v>17</v>
      </c>
      <c r="C327" s="1" t="s">
        <v>18</v>
      </c>
      <c r="D327" s="1" t="s">
        <v>44</v>
      </c>
      <c r="E327" s="1">
        <v>18</v>
      </c>
      <c r="F327" s="1">
        <v>1830</v>
      </c>
      <c r="G327" s="1">
        <v>10</v>
      </c>
      <c r="H327" s="2">
        <v>46165</v>
      </c>
      <c r="I327" s="2">
        <v>46172</v>
      </c>
      <c r="J327" s="1" t="s">
        <v>15</v>
      </c>
      <c r="K327" s="1">
        <v>1326</v>
      </c>
      <c r="L327" s="1" t="str">
        <f t="shared" si="1"/>
        <v>Vikram_Bookshelf</v>
      </c>
    </row>
    <row r="328" spans="1:12" x14ac:dyDescent="0.3">
      <c r="A328" s="1" t="s">
        <v>48</v>
      </c>
      <c r="B328" s="1" t="s">
        <v>12</v>
      </c>
      <c r="C328" s="1" t="s">
        <v>13</v>
      </c>
      <c r="D328" s="1" t="s">
        <v>53</v>
      </c>
      <c r="E328" s="1">
        <v>15</v>
      </c>
      <c r="F328" s="1">
        <v>449</v>
      </c>
      <c r="G328" s="1">
        <v>5</v>
      </c>
      <c r="H328" s="2">
        <v>46152</v>
      </c>
      <c r="I328" s="2">
        <v>46153</v>
      </c>
      <c r="J328" s="1" t="s">
        <v>15</v>
      </c>
      <c r="K328" s="1">
        <v>1327</v>
      </c>
      <c r="L328" s="1" t="str">
        <f t="shared" si="1"/>
        <v>Nitin_Diary</v>
      </c>
    </row>
    <row r="329" spans="1:12" x14ac:dyDescent="0.3">
      <c r="A329" s="1" t="s">
        <v>16</v>
      </c>
      <c r="B329" s="1" t="s">
        <v>38</v>
      </c>
      <c r="C329" s="1" t="s">
        <v>13</v>
      </c>
      <c r="D329" s="1" t="s">
        <v>36</v>
      </c>
      <c r="E329" s="1">
        <v>4</v>
      </c>
      <c r="F329" s="1">
        <v>132</v>
      </c>
      <c r="G329" s="1">
        <v>0</v>
      </c>
      <c r="H329" s="2">
        <v>46109</v>
      </c>
      <c r="I329" s="2">
        <v>46114</v>
      </c>
      <c r="J329" s="1" t="s">
        <v>29</v>
      </c>
      <c r="K329" s="1">
        <v>1328</v>
      </c>
      <c r="L329" s="1" t="str">
        <f t="shared" si="1"/>
        <v>Pooja_Stapler</v>
      </c>
    </row>
    <row r="330" spans="1:12" x14ac:dyDescent="0.3">
      <c r="A330" s="1" t="s">
        <v>30</v>
      </c>
      <c r="B330" s="1" t="s">
        <v>43</v>
      </c>
      <c r="C330" s="1" t="s">
        <v>13</v>
      </c>
      <c r="D330" s="1" t="s">
        <v>53</v>
      </c>
      <c r="E330" s="1">
        <v>18</v>
      </c>
      <c r="F330" s="1">
        <v>227</v>
      </c>
      <c r="G330" s="1">
        <v>5</v>
      </c>
      <c r="H330" s="2">
        <v>46126</v>
      </c>
      <c r="I330" s="2">
        <v>46136</v>
      </c>
      <c r="J330" s="1" t="s">
        <v>29</v>
      </c>
      <c r="K330" s="1">
        <v>1329</v>
      </c>
      <c r="L330" s="1" t="str">
        <f t="shared" si="1"/>
        <v>Neha_Diary</v>
      </c>
    </row>
    <row r="331" spans="1:12" x14ac:dyDescent="0.3">
      <c r="A331" s="1" t="s">
        <v>49</v>
      </c>
      <c r="B331" s="1" t="s">
        <v>17</v>
      </c>
      <c r="C331" s="1" t="s">
        <v>18</v>
      </c>
      <c r="D331" s="1" t="s">
        <v>19</v>
      </c>
      <c r="E331" s="1">
        <v>13</v>
      </c>
      <c r="F331" s="1">
        <v>12071</v>
      </c>
      <c r="G331" s="1">
        <v>0</v>
      </c>
      <c r="H331" s="2">
        <v>46032</v>
      </c>
      <c r="I331" s="2">
        <v>46036</v>
      </c>
      <c r="J331" s="1" t="s">
        <v>51</v>
      </c>
      <c r="K331" s="1">
        <v>1330</v>
      </c>
      <c r="L331" s="1" t="str">
        <f t="shared" si="1"/>
        <v>Ajay_Desk</v>
      </c>
    </row>
    <row r="332" spans="1:12" x14ac:dyDescent="0.3">
      <c r="A332" s="1" t="s">
        <v>21</v>
      </c>
      <c r="B332" s="1" t="s">
        <v>25</v>
      </c>
      <c r="C332" s="1" t="s">
        <v>34</v>
      </c>
      <c r="D332" s="1" t="s">
        <v>61</v>
      </c>
      <c r="E332" s="1">
        <v>2</v>
      </c>
      <c r="F332" s="1">
        <v>43557</v>
      </c>
      <c r="G332" s="1">
        <v>2</v>
      </c>
      <c r="H332" s="2">
        <v>46190</v>
      </c>
      <c r="I332" s="2">
        <v>46200</v>
      </c>
      <c r="J332" s="1" t="s">
        <v>15</v>
      </c>
      <c r="K332" s="1">
        <v>1331</v>
      </c>
      <c r="L332" s="1" t="str">
        <f t="shared" si="1"/>
        <v>Meera_Mouse</v>
      </c>
    </row>
    <row r="333" spans="1:12" x14ac:dyDescent="0.3">
      <c r="A333" s="1" t="s">
        <v>29</v>
      </c>
      <c r="B333" s="1" t="s">
        <v>43</v>
      </c>
      <c r="C333" s="1" t="s">
        <v>13</v>
      </c>
      <c r="D333" s="1" t="s">
        <v>50</v>
      </c>
      <c r="E333" s="1">
        <v>7</v>
      </c>
      <c r="F333" s="1">
        <v>439</v>
      </c>
      <c r="G333" s="1">
        <v>2</v>
      </c>
      <c r="H333" s="2">
        <v>46154</v>
      </c>
      <c r="I333" s="2">
        <v>46157</v>
      </c>
      <c r="J333" s="1" t="s">
        <v>15</v>
      </c>
      <c r="K333" s="1">
        <v>1332</v>
      </c>
      <c r="L333" s="1" t="str">
        <f t="shared" si="1"/>
        <v>Priya_Marker</v>
      </c>
    </row>
    <row r="334" spans="1:12" x14ac:dyDescent="0.3">
      <c r="A334" s="1" t="s">
        <v>29</v>
      </c>
      <c r="B334" s="1" t="s">
        <v>38</v>
      </c>
      <c r="C334" s="1" t="s">
        <v>13</v>
      </c>
      <c r="D334" s="1" t="s">
        <v>53</v>
      </c>
      <c r="E334" s="1">
        <v>20</v>
      </c>
      <c r="F334" s="1">
        <v>416</v>
      </c>
      <c r="G334" s="1">
        <v>12</v>
      </c>
      <c r="H334" s="2">
        <v>46145</v>
      </c>
      <c r="I334" s="2">
        <v>46146</v>
      </c>
      <c r="J334" s="1" t="s">
        <v>51</v>
      </c>
      <c r="K334" s="1">
        <v>1333</v>
      </c>
      <c r="L334" s="1" t="str">
        <f t="shared" si="1"/>
        <v>Priya_Diary</v>
      </c>
    </row>
    <row r="335" spans="1:12" x14ac:dyDescent="0.3">
      <c r="A335" s="1" t="s">
        <v>40</v>
      </c>
      <c r="B335" s="1" t="s">
        <v>12</v>
      </c>
      <c r="C335" s="1" t="s">
        <v>34</v>
      </c>
      <c r="D335" s="1" t="s">
        <v>41</v>
      </c>
      <c r="E335" s="1">
        <v>15</v>
      </c>
      <c r="F335" s="1">
        <v>39853</v>
      </c>
      <c r="G335" s="1">
        <v>7</v>
      </c>
      <c r="H335" s="2">
        <v>46038</v>
      </c>
      <c r="I335" s="2">
        <v>46047</v>
      </c>
      <c r="J335" s="1" t="s">
        <v>51</v>
      </c>
      <c r="K335" s="1">
        <v>1334</v>
      </c>
      <c r="L335" s="1" t="str">
        <f t="shared" si="1"/>
        <v>Deepak_Headset</v>
      </c>
    </row>
    <row r="336" spans="1:12" x14ac:dyDescent="0.3">
      <c r="A336" s="1" t="s">
        <v>47</v>
      </c>
      <c r="B336" s="1" t="s">
        <v>17</v>
      </c>
      <c r="C336" s="1" t="s">
        <v>18</v>
      </c>
      <c r="D336" s="1" t="s">
        <v>19</v>
      </c>
      <c r="E336" s="1">
        <v>9</v>
      </c>
      <c r="F336" s="1">
        <v>1495</v>
      </c>
      <c r="G336" s="1">
        <v>12</v>
      </c>
      <c r="H336" s="2">
        <v>46168</v>
      </c>
      <c r="I336" s="2">
        <v>46173</v>
      </c>
      <c r="J336" s="1" t="s">
        <v>15</v>
      </c>
      <c r="K336" s="1">
        <v>1335</v>
      </c>
      <c r="L336" s="1" t="str">
        <f t="shared" si="1"/>
        <v>Yash_Desk</v>
      </c>
    </row>
    <row r="337" spans="1:12" x14ac:dyDescent="0.3">
      <c r="A337" s="1" t="s">
        <v>16</v>
      </c>
      <c r="B337" s="1" t="s">
        <v>25</v>
      </c>
      <c r="C337" s="1" t="s">
        <v>18</v>
      </c>
      <c r="D337" s="1" t="s">
        <v>56</v>
      </c>
      <c r="E337" s="1">
        <v>10</v>
      </c>
      <c r="F337" s="1">
        <v>5624</v>
      </c>
      <c r="G337" s="1">
        <v>0</v>
      </c>
      <c r="H337" s="2">
        <v>46086</v>
      </c>
      <c r="I337" s="2">
        <v>46092</v>
      </c>
      <c r="J337" s="1" t="s">
        <v>29</v>
      </c>
      <c r="K337" s="1">
        <v>1336</v>
      </c>
      <c r="L337" s="1" t="str">
        <f t="shared" si="1"/>
        <v>Pooja_Cabinet</v>
      </c>
    </row>
    <row r="338" spans="1:12" x14ac:dyDescent="0.3">
      <c r="A338" s="1" t="s">
        <v>16</v>
      </c>
      <c r="B338" s="1" t="s">
        <v>12</v>
      </c>
      <c r="C338" s="1" t="s">
        <v>13</v>
      </c>
      <c r="D338" s="1" t="s">
        <v>53</v>
      </c>
      <c r="E338" s="1">
        <v>14</v>
      </c>
      <c r="F338" s="1">
        <v>373</v>
      </c>
      <c r="G338" s="1">
        <v>10</v>
      </c>
      <c r="H338" s="2">
        <v>46074</v>
      </c>
      <c r="I338" s="2">
        <v>46080</v>
      </c>
      <c r="J338" s="1" t="s">
        <v>29</v>
      </c>
      <c r="K338" s="1">
        <v>1337</v>
      </c>
      <c r="L338" s="1" t="str">
        <f t="shared" si="1"/>
        <v>Pooja_Diary</v>
      </c>
    </row>
    <row r="339" spans="1:12" x14ac:dyDescent="0.3">
      <c r="A339" s="1" t="s">
        <v>59</v>
      </c>
      <c r="B339" s="1" t="s">
        <v>25</v>
      </c>
      <c r="C339" s="1" t="s">
        <v>34</v>
      </c>
      <c r="D339" s="1" t="s">
        <v>60</v>
      </c>
      <c r="E339" s="1">
        <v>10</v>
      </c>
      <c r="F339" s="1">
        <v>16719</v>
      </c>
      <c r="G339" s="1">
        <v>5</v>
      </c>
      <c r="H339" s="2">
        <v>46177</v>
      </c>
      <c r="I339" s="2">
        <v>46179</v>
      </c>
      <c r="J339" s="1" t="s">
        <v>15</v>
      </c>
      <c r="K339" s="1">
        <v>1338</v>
      </c>
      <c r="L339" s="1" t="str">
        <f t="shared" si="1"/>
        <v>Anita_Laptop</v>
      </c>
    </row>
    <row r="340" spans="1:12" x14ac:dyDescent="0.3">
      <c r="A340" s="1" t="s">
        <v>32</v>
      </c>
      <c r="B340" s="1" t="s">
        <v>25</v>
      </c>
      <c r="C340" s="1" t="s">
        <v>13</v>
      </c>
      <c r="D340" s="1" t="s">
        <v>14</v>
      </c>
      <c r="E340" s="1">
        <v>6</v>
      </c>
      <c r="F340" s="1">
        <v>302</v>
      </c>
      <c r="G340" s="1">
        <v>5</v>
      </c>
      <c r="H340" s="2">
        <v>46142</v>
      </c>
      <c r="I340" s="2">
        <v>46148</v>
      </c>
      <c r="J340" s="1" t="s">
        <v>20</v>
      </c>
      <c r="K340" s="1">
        <v>1339</v>
      </c>
      <c r="L340" s="1" t="str">
        <f t="shared" si="1"/>
        <v>Asha_Notebook</v>
      </c>
    </row>
    <row r="341" spans="1:12" x14ac:dyDescent="0.3">
      <c r="A341" s="1" t="s">
        <v>48</v>
      </c>
      <c r="B341" s="1" t="s">
        <v>17</v>
      </c>
      <c r="C341" s="1" t="s">
        <v>18</v>
      </c>
      <c r="D341" s="1" t="s">
        <v>19</v>
      </c>
      <c r="E341" s="1">
        <v>12</v>
      </c>
      <c r="F341" s="1">
        <v>3857</v>
      </c>
      <c r="G341" s="1">
        <v>12</v>
      </c>
      <c r="H341" s="2">
        <v>46196</v>
      </c>
      <c r="I341" s="2">
        <v>46198</v>
      </c>
      <c r="J341" s="1" t="s">
        <v>51</v>
      </c>
      <c r="K341" s="1">
        <v>1340</v>
      </c>
      <c r="L341" s="1" t="str">
        <f t="shared" si="1"/>
        <v>Nitin_Desk</v>
      </c>
    </row>
    <row r="342" spans="1:12" x14ac:dyDescent="0.3">
      <c r="A342" s="1" t="s">
        <v>57</v>
      </c>
      <c r="B342" s="1" t="s">
        <v>38</v>
      </c>
      <c r="C342" s="1" t="s">
        <v>18</v>
      </c>
      <c r="D342" s="1" t="s">
        <v>19</v>
      </c>
      <c r="E342" s="1">
        <v>19</v>
      </c>
      <c r="F342" s="1">
        <v>6488</v>
      </c>
      <c r="G342" s="1">
        <v>15</v>
      </c>
      <c r="H342" s="2">
        <v>46026</v>
      </c>
      <c r="I342" s="2">
        <v>46030</v>
      </c>
      <c r="J342" s="1" t="s">
        <v>20</v>
      </c>
      <c r="K342" s="1">
        <v>1341</v>
      </c>
      <c r="L342" s="1" t="str">
        <f t="shared" si="1"/>
        <v>Sara_Desk</v>
      </c>
    </row>
    <row r="343" spans="1:12" x14ac:dyDescent="0.3">
      <c r="A343" s="1" t="s">
        <v>59</v>
      </c>
      <c r="B343" s="1" t="s">
        <v>31</v>
      </c>
      <c r="C343" s="1" t="s">
        <v>34</v>
      </c>
      <c r="D343" s="1" t="s">
        <v>35</v>
      </c>
      <c r="E343" s="1">
        <v>13</v>
      </c>
      <c r="F343" s="1">
        <v>47881</v>
      </c>
      <c r="G343" s="1">
        <v>15</v>
      </c>
      <c r="H343" s="2">
        <v>46132</v>
      </c>
      <c r="I343" s="2">
        <v>46139</v>
      </c>
      <c r="J343" s="1" t="s">
        <v>29</v>
      </c>
      <c r="K343" s="1">
        <v>1342</v>
      </c>
      <c r="L343" s="1" t="str">
        <f t="shared" si="1"/>
        <v>Anita_Printer</v>
      </c>
    </row>
    <row r="344" spans="1:12" x14ac:dyDescent="0.3">
      <c r="A344" s="1" t="s">
        <v>59</v>
      </c>
      <c r="B344" s="1" t="s">
        <v>31</v>
      </c>
      <c r="C344" s="1" t="s">
        <v>34</v>
      </c>
      <c r="D344" s="1" t="s">
        <v>39</v>
      </c>
      <c r="E344" s="1">
        <v>14</v>
      </c>
      <c r="F344" s="1">
        <v>32719</v>
      </c>
      <c r="G344" s="1">
        <v>15</v>
      </c>
      <c r="H344" s="2">
        <v>46174</v>
      </c>
      <c r="I344" s="2">
        <v>46179</v>
      </c>
      <c r="J344" s="1" t="s">
        <v>15</v>
      </c>
      <c r="K344" s="1">
        <v>1343</v>
      </c>
      <c r="L344" s="1" t="str">
        <f t="shared" si="1"/>
        <v>Anita_Keyboard</v>
      </c>
    </row>
    <row r="345" spans="1:12" x14ac:dyDescent="0.3">
      <c r="A345" s="1" t="s">
        <v>30</v>
      </c>
      <c r="B345" s="1" t="s">
        <v>17</v>
      </c>
      <c r="C345" s="1" t="s">
        <v>13</v>
      </c>
      <c r="D345" s="1" t="s">
        <v>53</v>
      </c>
      <c r="E345" s="1">
        <v>18</v>
      </c>
      <c r="F345" s="1">
        <v>240</v>
      </c>
      <c r="G345" s="1">
        <v>10</v>
      </c>
      <c r="H345" s="2">
        <v>46155</v>
      </c>
      <c r="I345" s="2">
        <v>46156</v>
      </c>
      <c r="J345" s="1" t="s">
        <v>24</v>
      </c>
      <c r="K345" s="1">
        <v>1344</v>
      </c>
      <c r="L345" s="1" t="str">
        <f t="shared" si="1"/>
        <v>Neha_Diary</v>
      </c>
    </row>
    <row r="346" spans="1:12" x14ac:dyDescent="0.3">
      <c r="A346" s="1" t="s">
        <v>32</v>
      </c>
      <c r="B346" s="1" t="s">
        <v>12</v>
      </c>
      <c r="C346" s="1" t="s">
        <v>34</v>
      </c>
      <c r="D346" s="1" t="s">
        <v>45</v>
      </c>
      <c r="E346" s="1">
        <v>12</v>
      </c>
      <c r="F346" s="1">
        <v>50544</v>
      </c>
      <c r="G346" s="1">
        <v>10</v>
      </c>
      <c r="H346" s="2">
        <v>46095</v>
      </c>
      <c r="I346" s="2">
        <v>46097</v>
      </c>
      <c r="J346" s="1" t="s">
        <v>29</v>
      </c>
      <c r="K346" s="1">
        <v>1345</v>
      </c>
      <c r="L346" s="1" t="str">
        <f t="shared" si="1"/>
        <v>Asha_Monitor</v>
      </c>
    </row>
    <row r="347" spans="1:12" x14ac:dyDescent="0.3">
      <c r="A347" s="1" t="s">
        <v>32</v>
      </c>
      <c r="B347" s="1" t="s">
        <v>22</v>
      </c>
      <c r="C347" s="1" t="s">
        <v>18</v>
      </c>
      <c r="D347" s="1" t="s">
        <v>19</v>
      </c>
      <c r="E347" s="1">
        <v>16</v>
      </c>
      <c r="F347" s="1">
        <v>6910</v>
      </c>
      <c r="G347" s="1">
        <v>15</v>
      </c>
      <c r="H347" s="2">
        <v>46140</v>
      </c>
      <c r="I347" s="2">
        <v>46142</v>
      </c>
      <c r="J347" s="1" t="s">
        <v>29</v>
      </c>
      <c r="K347" s="1">
        <v>1346</v>
      </c>
      <c r="L347" s="1" t="str">
        <f t="shared" si="1"/>
        <v>Asha_Desk</v>
      </c>
    </row>
    <row r="348" spans="1:12" x14ac:dyDescent="0.3">
      <c r="A348" s="1" t="s">
        <v>29</v>
      </c>
      <c r="B348" s="1" t="s">
        <v>22</v>
      </c>
      <c r="C348" s="1" t="s">
        <v>34</v>
      </c>
      <c r="D348" s="1" t="s">
        <v>35</v>
      </c>
      <c r="E348" s="1">
        <v>16</v>
      </c>
      <c r="F348" s="1">
        <v>6034</v>
      </c>
      <c r="G348" s="1">
        <v>15</v>
      </c>
      <c r="H348" s="2">
        <v>46037</v>
      </c>
      <c r="I348" s="2">
        <v>46044</v>
      </c>
      <c r="J348" s="1" t="s">
        <v>24</v>
      </c>
      <c r="K348" s="1">
        <v>1347</v>
      </c>
      <c r="L348" s="1" t="str">
        <f t="shared" si="1"/>
        <v>Priya_Printer</v>
      </c>
    </row>
    <row r="349" spans="1:12" x14ac:dyDescent="0.3">
      <c r="A349" s="1" t="s">
        <v>11</v>
      </c>
      <c r="B349" s="1" t="s">
        <v>33</v>
      </c>
      <c r="C349" s="1" t="s">
        <v>13</v>
      </c>
      <c r="D349" s="1" t="s">
        <v>50</v>
      </c>
      <c r="E349" s="1">
        <v>12</v>
      </c>
      <c r="F349" s="1">
        <v>244</v>
      </c>
      <c r="G349" s="1">
        <v>7</v>
      </c>
      <c r="H349" s="2">
        <v>46048</v>
      </c>
      <c r="I349" s="2">
        <v>46053</v>
      </c>
      <c r="J349" s="1" t="s">
        <v>15</v>
      </c>
      <c r="K349" s="1">
        <v>1348</v>
      </c>
      <c r="L349" s="1" t="str">
        <f t="shared" si="1"/>
        <v>Ritesh_Marker</v>
      </c>
    </row>
    <row r="350" spans="1:12" x14ac:dyDescent="0.3">
      <c r="A350" s="1" t="s">
        <v>40</v>
      </c>
      <c r="B350" s="1" t="s">
        <v>33</v>
      </c>
      <c r="C350" s="1" t="s">
        <v>34</v>
      </c>
      <c r="D350" s="1" t="s">
        <v>35</v>
      </c>
      <c r="E350" s="1">
        <v>20</v>
      </c>
      <c r="F350" s="1">
        <v>62721</v>
      </c>
      <c r="G350" s="1">
        <v>7</v>
      </c>
      <c r="H350" s="2">
        <v>46079</v>
      </c>
      <c r="I350" s="2">
        <v>46083</v>
      </c>
      <c r="J350" s="1" t="s">
        <v>20</v>
      </c>
      <c r="K350" s="1">
        <v>1349</v>
      </c>
      <c r="L350" s="1" t="str">
        <f t="shared" si="1"/>
        <v>Deepak_Printer</v>
      </c>
    </row>
    <row r="351" spans="1:12" x14ac:dyDescent="0.3">
      <c r="A351" s="1" t="s">
        <v>26</v>
      </c>
      <c r="B351" s="1" t="s">
        <v>43</v>
      </c>
      <c r="C351" s="1" t="s">
        <v>18</v>
      </c>
      <c r="D351" s="1" t="s">
        <v>28</v>
      </c>
      <c r="E351" s="1">
        <v>16</v>
      </c>
      <c r="F351" s="1">
        <v>11790</v>
      </c>
      <c r="G351" s="1">
        <v>12</v>
      </c>
      <c r="H351" s="2">
        <v>46185</v>
      </c>
      <c r="I351" s="2">
        <v>46190</v>
      </c>
      <c r="J351" s="1" t="s">
        <v>29</v>
      </c>
      <c r="K351" s="1">
        <v>1350</v>
      </c>
      <c r="L351" s="1" t="str">
        <f t="shared" si="1"/>
        <v>Vikram_Chair</v>
      </c>
    </row>
    <row r="352" spans="1:12" x14ac:dyDescent="0.3">
      <c r="A352" s="1" t="s">
        <v>42</v>
      </c>
      <c r="B352" s="1" t="s">
        <v>33</v>
      </c>
      <c r="C352" s="1" t="s">
        <v>34</v>
      </c>
      <c r="D352" s="1" t="s">
        <v>45</v>
      </c>
      <c r="E352" s="1">
        <v>12</v>
      </c>
      <c r="F352" s="1">
        <v>1272</v>
      </c>
      <c r="G352" s="1">
        <v>0</v>
      </c>
      <c r="H352" s="2">
        <v>46026</v>
      </c>
      <c r="I352" s="2">
        <v>46029</v>
      </c>
      <c r="J352" s="1" t="s">
        <v>15</v>
      </c>
      <c r="K352" s="1">
        <v>1351</v>
      </c>
      <c r="L352" s="1" t="str">
        <f t="shared" si="1"/>
        <v>Nisha_Monitor</v>
      </c>
    </row>
    <row r="353" spans="1:12" x14ac:dyDescent="0.3">
      <c r="A353" s="1" t="s">
        <v>54</v>
      </c>
      <c r="B353" s="1" t="s">
        <v>22</v>
      </c>
      <c r="C353" s="1" t="s">
        <v>13</v>
      </c>
      <c r="D353" s="1" t="s">
        <v>14</v>
      </c>
      <c r="E353" s="1">
        <v>12</v>
      </c>
      <c r="F353" s="1">
        <v>203</v>
      </c>
      <c r="G353" s="1">
        <v>5</v>
      </c>
      <c r="H353" s="2">
        <v>46024</v>
      </c>
      <c r="I353" s="2">
        <v>46033</v>
      </c>
      <c r="J353" s="1" t="s">
        <v>15</v>
      </c>
      <c r="K353" s="1">
        <v>1352</v>
      </c>
      <c r="L353" s="1" t="str">
        <f t="shared" si="1"/>
        <v>Manoj_Notebook</v>
      </c>
    </row>
    <row r="354" spans="1:12" x14ac:dyDescent="0.3">
      <c r="A354" s="1" t="s">
        <v>47</v>
      </c>
      <c r="B354" s="1" t="s">
        <v>43</v>
      </c>
      <c r="C354" s="1" t="s">
        <v>13</v>
      </c>
      <c r="D354" s="1" t="s">
        <v>14</v>
      </c>
      <c r="E354" s="1">
        <v>6</v>
      </c>
      <c r="F354" s="1">
        <v>495</v>
      </c>
      <c r="G354" s="1">
        <v>2</v>
      </c>
      <c r="H354" s="2">
        <v>46194</v>
      </c>
      <c r="I354" s="2">
        <v>46200</v>
      </c>
      <c r="J354" s="1" t="s">
        <v>24</v>
      </c>
      <c r="K354" s="1">
        <v>1353</v>
      </c>
      <c r="L354" s="1" t="str">
        <f t="shared" si="1"/>
        <v>Yash_Notebook</v>
      </c>
    </row>
    <row r="355" spans="1:12" x14ac:dyDescent="0.3">
      <c r="A355" s="1" t="s">
        <v>47</v>
      </c>
      <c r="B355" s="1" t="s">
        <v>43</v>
      </c>
      <c r="C355" s="1" t="s">
        <v>34</v>
      </c>
      <c r="D355" s="1" t="s">
        <v>35</v>
      </c>
      <c r="E355" s="1">
        <v>15</v>
      </c>
      <c r="F355" s="1">
        <v>14927</v>
      </c>
      <c r="G355" s="1">
        <v>15</v>
      </c>
      <c r="H355" s="2">
        <v>46118</v>
      </c>
      <c r="I355" s="2">
        <v>46120</v>
      </c>
      <c r="J355" s="1" t="s">
        <v>51</v>
      </c>
      <c r="K355" s="1">
        <v>1354</v>
      </c>
      <c r="L355" s="1" t="str">
        <f t="shared" si="1"/>
        <v>Yash_Printer</v>
      </c>
    </row>
    <row r="356" spans="1:12" x14ac:dyDescent="0.3">
      <c r="A356" s="1" t="s">
        <v>27</v>
      </c>
      <c r="B356" s="1" t="s">
        <v>12</v>
      </c>
      <c r="C356" s="1" t="s">
        <v>34</v>
      </c>
      <c r="D356" s="1" t="s">
        <v>60</v>
      </c>
      <c r="E356" s="1">
        <v>18</v>
      </c>
      <c r="F356" s="1">
        <v>35997</v>
      </c>
      <c r="G356" s="1">
        <v>2</v>
      </c>
      <c r="H356" s="2">
        <v>46024</v>
      </c>
      <c r="I356" s="2">
        <v>46031</v>
      </c>
      <c r="J356" s="1" t="s">
        <v>51</v>
      </c>
      <c r="K356" s="1">
        <v>1355</v>
      </c>
      <c r="L356" s="1" t="str">
        <f t="shared" si="1"/>
        <v>Arjun_Laptop</v>
      </c>
    </row>
    <row r="357" spans="1:12" x14ac:dyDescent="0.3">
      <c r="A357" s="1" t="s">
        <v>26</v>
      </c>
      <c r="B357" s="1" t="s">
        <v>38</v>
      </c>
      <c r="C357" s="1" t="s">
        <v>34</v>
      </c>
      <c r="D357" s="1" t="s">
        <v>60</v>
      </c>
      <c r="E357" s="1">
        <v>16</v>
      </c>
      <c r="F357" s="1">
        <v>53457</v>
      </c>
      <c r="G357" s="1">
        <v>10</v>
      </c>
      <c r="H357" s="2">
        <v>46201</v>
      </c>
      <c r="I357" s="2">
        <v>46204</v>
      </c>
      <c r="J357" s="1" t="s">
        <v>15</v>
      </c>
      <c r="K357" s="1">
        <v>1356</v>
      </c>
      <c r="L357" s="1" t="str">
        <f t="shared" si="1"/>
        <v>Vikram_Laptop</v>
      </c>
    </row>
    <row r="358" spans="1:12" x14ac:dyDescent="0.3">
      <c r="A358" s="1" t="s">
        <v>59</v>
      </c>
      <c r="B358" s="1" t="s">
        <v>25</v>
      </c>
      <c r="C358" s="1" t="s">
        <v>13</v>
      </c>
      <c r="D358" s="1" t="s">
        <v>37</v>
      </c>
      <c r="E358" s="1">
        <v>6</v>
      </c>
      <c r="F358" s="1">
        <v>365</v>
      </c>
      <c r="G358" s="1">
        <v>7</v>
      </c>
      <c r="H358" s="2">
        <v>46133</v>
      </c>
      <c r="I358" s="2">
        <v>46140</v>
      </c>
      <c r="J358" s="1" t="s">
        <v>51</v>
      </c>
      <c r="K358" s="1">
        <v>1357</v>
      </c>
      <c r="L358" s="1" t="str">
        <f t="shared" si="1"/>
        <v>Anita_Pen Pack</v>
      </c>
    </row>
    <row r="359" spans="1:12" x14ac:dyDescent="0.3">
      <c r="A359" s="1" t="s">
        <v>40</v>
      </c>
      <c r="B359" s="1" t="s">
        <v>38</v>
      </c>
      <c r="C359" s="1" t="s">
        <v>18</v>
      </c>
      <c r="D359" s="1" t="s">
        <v>19</v>
      </c>
      <c r="E359" s="1">
        <v>7</v>
      </c>
      <c r="F359" s="1">
        <v>6618</v>
      </c>
      <c r="G359" s="1">
        <v>0</v>
      </c>
      <c r="H359" s="2">
        <v>46127</v>
      </c>
      <c r="I359" s="2">
        <v>46129</v>
      </c>
      <c r="J359" s="1" t="s">
        <v>20</v>
      </c>
      <c r="K359" s="1">
        <v>1358</v>
      </c>
      <c r="L359" s="1" t="str">
        <f t="shared" si="1"/>
        <v>Deepak_Desk</v>
      </c>
    </row>
    <row r="360" spans="1:12" x14ac:dyDescent="0.3">
      <c r="A360" s="1" t="s">
        <v>54</v>
      </c>
      <c r="B360" s="1" t="s">
        <v>12</v>
      </c>
      <c r="C360" s="1" t="s">
        <v>34</v>
      </c>
      <c r="D360" s="1" t="s">
        <v>61</v>
      </c>
      <c r="E360" s="1">
        <v>9</v>
      </c>
      <c r="F360" s="1">
        <v>38179</v>
      </c>
      <c r="G360" s="1">
        <v>0</v>
      </c>
      <c r="H360" s="2">
        <v>46096</v>
      </c>
      <c r="I360" s="2">
        <v>46099</v>
      </c>
      <c r="J360" s="1" t="s">
        <v>15</v>
      </c>
      <c r="K360" s="1">
        <v>1359</v>
      </c>
      <c r="L360" s="1" t="str">
        <f t="shared" si="1"/>
        <v>Manoj_Mouse</v>
      </c>
    </row>
    <row r="361" spans="1:12" x14ac:dyDescent="0.3">
      <c r="A361" s="1" t="s">
        <v>11</v>
      </c>
      <c r="B361" s="1" t="s">
        <v>43</v>
      </c>
      <c r="C361" s="1" t="s">
        <v>18</v>
      </c>
      <c r="D361" s="1" t="s">
        <v>23</v>
      </c>
      <c r="E361" s="1">
        <v>19</v>
      </c>
      <c r="F361" s="1">
        <v>6681</v>
      </c>
      <c r="G361" s="1">
        <v>2</v>
      </c>
      <c r="H361" s="2">
        <v>46146</v>
      </c>
      <c r="I361" s="2">
        <v>46150</v>
      </c>
      <c r="J361" s="1" t="s">
        <v>15</v>
      </c>
      <c r="K361" s="1">
        <v>1360</v>
      </c>
      <c r="L361" s="1" t="str">
        <f t="shared" si="1"/>
        <v>Ritesh_Table</v>
      </c>
    </row>
    <row r="362" spans="1:12" x14ac:dyDescent="0.3">
      <c r="A362" s="1" t="s">
        <v>42</v>
      </c>
      <c r="B362" s="1" t="s">
        <v>17</v>
      </c>
      <c r="C362" s="1" t="s">
        <v>18</v>
      </c>
      <c r="D362" s="1" t="s">
        <v>23</v>
      </c>
      <c r="E362" s="1">
        <v>2</v>
      </c>
      <c r="F362" s="1">
        <v>1822</v>
      </c>
      <c r="G362" s="1">
        <v>5</v>
      </c>
      <c r="H362" s="2">
        <v>46141</v>
      </c>
      <c r="I362" s="2">
        <v>46145</v>
      </c>
      <c r="J362" s="1" t="s">
        <v>20</v>
      </c>
      <c r="K362" s="1">
        <v>1361</v>
      </c>
      <c r="L362" s="1" t="str">
        <f t="shared" si="1"/>
        <v>Nisha_Table</v>
      </c>
    </row>
    <row r="363" spans="1:12" x14ac:dyDescent="0.3">
      <c r="A363" s="1" t="s">
        <v>16</v>
      </c>
      <c r="B363" s="1" t="s">
        <v>12</v>
      </c>
      <c r="C363" s="1" t="s">
        <v>18</v>
      </c>
      <c r="D363" s="1" t="s">
        <v>28</v>
      </c>
      <c r="E363" s="1">
        <v>1</v>
      </c>
      <c r="F363" s="1">
        <v>10474</v>
      </c>
      <c r="G363" s="1">
        <v>0</v>
      </c>
      <c r="H363" s="2">
        <v>46094</v>
      </c>
      <c r="I363" s="2">
        <v>46096</v>
      </c>
      <c r="J363" s="1" t="s">
        <v>29</v>
      </c>
      <c r="K363" s="1">
        <v>1362</v>
      </c>
      <c r="L363" s="1" t="str">
        <f t="shared" si="1"/>
        <v>Pooja_Chair</v>
      </c>
    </row>
    <row r="364" spans="1:12" x14ac:dyDescent="0.3">
      <c r="A364" s="1" t="s">
        <v>27</v>
      </c>
      <c r="B364" s="1" t="s">
        <v>25</v>
      </c>
      <c r="C364" s="1" t="s">
        <v>34</v>
      </c>
      <c r="D364" s="1" t="s">
        <v>35</v>
      </c>
      <c r="E364" s="1">
        <v>7</v>
      </c>
      <c r="F364" s="1">
        <v>45381</v>
      </c>
      <c r="G364" s="1">
        <v>0</v>
      </c>
      <c r="H364" s="2">
        <v>46122</v>
      </c>
      <c r="I364" s="2">
        <v>46128</v>
      </c>
      <c r="J364" s="1" t="s">
        <v>15</v>
      </c>
      <c r="K364" s="1">
        <v>1363</v>
      </c>
      <c r="L364" s="1" t="str">
        <f t="shared" si="1"/>
        <v>Arjun_Printer</v>
      </c>
    </row>
    <row r="365" spans="1:12" x14ac:dyDescent="0.3">
      <c r="A365" s="1" t="s">
        <v>30</v>
      </c>
      <c r="B365" s="1" t="s">
        <v>22</v>
      </c>
      <c r="C365" s="1" t="s">
        <v>18</v>
      </c>
      <c r="D365" s="1" t="s">
        <v>56</v>
      </c>
      <c r="E365" s="1">
        <v>16</v>
      </c>
      <c r="F365" s="1">
        <v>1744</v>
      </c>
      <c r="G365" s="1">
        <v>15</v>
      </c>
      <c r="H365" s="2">
        <v>46031</v>
      </c>
      <c r="I365" s="2">
        <v>46033</v>
      </c>
      <c r="J365" s="1" t="s">
        <v>51</v>
      </c>
      <c r="K365" s="1">
        <v>1364</v>
      </c>
      <c r="L365" s="1" t="str">
        <f t="shared" si="1"/>
        <v>Neha_Cabinet</v>
      </c>
    </row>
    <row r="366" spans="1:12" x14ac:dyDescent="0.3">
      <c r="A366" s="1" t="s">
        <v>46</v>
      </c>
      <c r="B366" s="1" t="s">
        <v>33</v>
      </c>
      <c r="C366" s="1" t="s">
        <v>13</v>
      </c>
      <c r="D366" s="1" t="s">
        <v>50</v>
      </c>
      <c r="E366" s="1">
        <v>17</v>
      </c>
      <c r="F366" s="1">
        <v>119</v>
      </c>
      <c r="G366" s="1">
        <v>7</v>
      </c>
      <c r="H366" s="2">
        <v>46070</v>
      </c>
      <c r="I366" s="2">
        <v>46072</v>
      </c>
      <c r="J366" s="1" t="s">
        <v>20</v>
      </c>
      <c r="K366" s="1">
        <v>1365</v>
      </c>
      <c r="L366" s="1" t="str">
        <f t="shared" si="1"/>
        <v>Kiran_Marker</v>
      </c>
    </row>
    <row r="367" spans="1:12" x14ac:dyDescent="0.3">
      <c r="A367" s="1" t="s">
        <v>26</v>
      </c>
      <c r="B367" s="1" t="s">
        <v>17</v>
      </c>
      <c r="C367" s="1" t="s">
        <v>34</v>
      </c>
      <c r="D367" s="1" t="s">
        <v>61</v>
      </c>
      <c r="E367" s="1">
        <v>20</v>
      </c>
      <c r="F367" s="1">
        <v>44312</v>
      </c>
      <c r="G367" s="1">
        <v>10</v>
      </c>
      <c r="H367" s="2">
        <v>46047</v>
      </c>
      <c r="I367" s="2">
        <v>46054</v>
      </c>
      <c r="J367" s="1" t="s">
        <v>29</v>
      </c>
      <c r="K367" s="1">
        <v>1366</v>
      </c>
      <c r="L367" s="1" t="str">
        <f t="shared" si="1"/>
        <v>Vikram_Mouse</v>
      </c>
    </row>
    <row r="368" spans="1:12" x14ac:dyDescent="0.3">
      <c r="A368" s="1" t="s">
        <v>54</v>
      </c>
      <c r="B368" s="1" t="s">
        <v>25</v>
      </c>
      <c r="C368" s="1" t="s">
        <v>13</v>
      </c>
      <c r="D368" s="1" t="s">
        <v>53</v>
      </c>
      <c r="E368" s="1">
        <v>1</v>
      </c>
      <c r="F368" s="1">
        <v>371</v>
      </c>
      <c r="G368" s="1">
        <v>5</v>
      </c>
      <c r="H368" s="2">
        <v>46158</v>
      </c>
      <c r="I368" s="2">
        <v>46168</v>
      </c>
      <c r="J368" s="1" t="s">
        <v>29</v>
      </c>
      <c r="K368" s="1">
        <v>1367</v>
      </c>
      <c r="L368" s="1" t="str">
        <f t="shared" si="1"/>
        <v>Manoj_Diary</v>
      </c>
    </row>
    <row r="369" spans="1:12" x14ac:dyDescent="0.3">
      <c r="A369" s="1" t="s">
        <v>55</v>
      </c>
      <c r="B369" s="1" t="s">
        <v>38</v>
      </c>
      <c r="C369" s="1" t="s">
        <v>13</v>
      </c>
      <c r="D369" s="1" t="s">
        <v>36</v>
      </c>
      <c r="E369" s="1">
        <v>9</v>
      </c>
      <c r="F369" s="1">
        <v>115</v>
      </c>
      <c r="G369" s="1">
        <v>0</v>
      </c>
      <c r="H369" s="2">
        <v>46036</v>
      </c>
      <c r="I369" s="2">
        <v>46045</v>
      </c>
      <c r="J369" s="1" t="s">
        <v>24</v>
      </c>
      <c r="K369" s="1">
        <v>1368</v>
      </c>
      <c r="L369" s="1" t="str">
        <f t="shared" si="1"/>
        <v>Sneha_Stapler</v>
      </c>
    </row>
    <row r="370" spans="1:12" x14ac:dyDescent="0.3">
      <c r="A370" s="1" t="s">
        <v>57</v>
      </c>
      <c r="B370" s="1" t="s">
        <v>25</v>
      </c>
      <c r="C370" s="1" t="s">
        <v>18</v>
      </c>
      <c r="D370" s="1" t="s">
        <v>19</v>
      </c>
      <c r="E370" s="1">
        <v>19</v>
      </c>
      <c r="F370" s="1">
        <v>5840</v>
      </c>
      <c r="G370" s="1">
        <v>5</v>
      </c>
      <c r="H370" s="2">
        <v>46062</v>
      </c>
      <c r="I370" s="2">
        <v>46067</v>
      </c>
      <c r="J370" s="1" t="s">
        <v>15</v>
      </c>
      <c r="K370" s="1">
        <v>1369</v>
      </c>
      <c r="L370" s="1" t="str">
        <f t="shared" si="1"/>
        <v>Sara_Desk</v>
      </c>
    </row>
    <row r="371" spans="1:12" x14ac:dyDescent="0.3">
      <c r="A371" s="1" t="s">
        <v>59</v>
      </c>
      <c r="B371" s="1" t="s">
        <v>38</v>
      </c>
      <c r="C371" s="1" t="s">
        <v>13</v>
      </c>
      <c r="D371" s="1" t="s">
        <v>53</v>
      </c>
      <c r="E371" s="1">
        <v>13</v>
      </c>
      <c r="F371" s="1">
        <v>337</v>
      </c>
      <c r="G371" s="1">
        <v>7</v>
      </c>
      <c r="H371" s="2">
        <v>46184</v>
      </c>
      <c r="I371" s="2">
        <v>46188</v>
      </c>
      <c r="J371" s="1" t="s">
        <v>15</v>
      </c>
      <c r="K371" s="1">
        <v>1370</v>
      </c>
      <c r="L371" s="1" t="str">
        <f t="shared" si="1"/>
        <v>Anita_Diary</v>
      </c>
    </row>
    <row r="372" spans="1:12" x14ac:dyDescent="0.3">
      <c r="A372" s="1" t="s">
        <v>48</v>
      </c>
      <c r="B372" s="1" t="s">
        <v>38</v>
      </c>
      <c r="C372" s="1" t="s">
        <v>18</v>
      </c>
      <c r="D372" s="1" t="s">
        <v>19</v>
      </c>
      <c r="E372" s="1">
        <v>19</v>
      </c>
      <c r="F372" s="1">
        <v>1087</v>
      </c>
      <c r="G372" s="1">
        <v>15</v>
      </c>
      <c r="H372" s="2">
        <v>46072</v>
      </c>
      <c r="I372" s="2">
        <v>46082</v>
      </c>
      <c r="J372" s="1" t="s">
        <v>20</v>
      </c>
      <c r="K372" s="1">
        <v>1371</v>
      </c>
      <c r="L372" s="1" t="str">
        <f t="shared" si="1"/>
        <v>Nitin_Desk</v>
      </c>
    </row>
    <row r="373" spans="1:12" x14ac:dyDescent="0.3">
      <c r="A373" s="1" t="s">
        <v>48</v>
      </c>
      <c r="B373" s="1" t="s">
        <v>17</v>
      </c>
      <c r="C373" s="1" t="s">
        <v>34</v>
      </c>
      <c r="D373" s="1" t="s">
        <v>39</v>
      </c>
      <c r="E373" s="1">
        <v>9</v>
      </c>
      <c r="F373" s="1">
        <v>9551</v>
      </c>
      <c r="G373" s="1">
        <v>10</v>
      </c>
      <c r="H373" s="2">
        <v>46161</v>
      </c>
      <c r="I373" s="2">
        <v>46168</v>
      </c>
      <c r="J373" s="1" t="s">
        <v>15</v>
      </c>
      <c r="K373" s="1">
        <v>1372</v>
      </c>
      <c r="L373" s="1" t="str">
        <f t="shared" si="1"/>
        <v>Nitin_Keyboard</v>
      </c>
    </row>
    <row r="374" spans="1:12" x14ac:dyDescent="0.3">
      <c r="A374" s="1" t="s">
        <v>54</v>
      </c>
      <c r="B374" s="1" t="s">
        <v>25</v>
      </c>
      <c r="C374" s="1" t="s">
        <v>34</v>
      </c>
      <c r="D374" s="1" t="s">
        <v>60</v>
      </c>
      <c r="E374" s="1">
        <v>11</v>
      </c>
      <c r="F374" s="1">
        <v>47930</v>
      </c>
      <c r="G374" s="1">
        <v>12</v>
      </c>
      <c r="H374" s="2">
        <v>46191</v>
      </c>
      <c r="I374" s="2">
        <v>46201</v>
      </c>
      <c r="J374" s="1" t="s">
        <v>20</v>
      </c>
      <c r="K374" s="1">
        <v>1373</v>
      </c>
      <c r="L374" s="1" t="str">
        <f t="shared" si="1"/>
        <v>Manoj_Laptop</v>
      </c>
    </row>
    <row r="375" spans="1:12" x14ac:dyDescent="0.3">
      <c r="A375" s="1" t="s">
        <v>57</v>
      </c>
      <c r="B375" s="1" t="s">
        <v>33</v>
      </c>
      <c r="C375" s="1" t="s">
        <v>34</v>
      </c>
      <c r="D375" s="1" t="s">
        <v>35</v>
      </c>
      <c r="E375" s="1">
        <v>12</v>
      </c>
      <c r="F375" s="1">
        <v>66052</v>
      </c>
      <c r="G375" s="1">
        <v>2</v>
      </c>
      <c r="H375" s="2">
        <v>46063</v>
      </c>
      <c r="I375" s="2">
        <v>46066</v>
      </c>
      <c r="J375" s="1" t="s">
        <v>51</v>
      </c>
      <c r="K375" s="1">
        <v>1374</v>
      </c>
      <c r="L375" s="1" t="str">
        <f t="shared" si="1"/>
        <v>Sara_Printer</v>
      </c>
    </row>
    <row r="376" spans="1:12" x14ac:dyDescent="0.3">
      <c r="A376" s="1" t="s">
        <v>46</v>
      </c>
      <c r="B376" s="1" t="s">
        <v>43</v>
      </c>
      <c r="C376" s="1" t="s">
        <v>34</v>
      </c>
      <c r="D376" s="1" t="s">
        <v>45</v>
      </c>
      <c r="E376" s="1">
        <v>20</v>
      </c>
      <c r="F376" s="1">
        <v>56766</v>
      </c>
      <c r="G376" s="1">
        <v>0</v>
      </c>
      <c r="H376" s="2">
        <v>46052</v>
      </c>
      <c r="I376" s="2">
        <v>46061</v>
      </c>
      <c r="J376" s="1" t="s">
        <v>24</v>
      </c>
      <c r="K376" s="1">
        <v>1375</v>
      </c>
      <c r="L376" s="1" t="str">
        <f t="shared" si="1"/>
        <v>Kiran_Monitor</v>
      </c>
    </row>
    <row r="377" spans="1:12" x14ac:dyDescent="0.3">
      <c r="A377" s="1" t="s">
        <v>52</v>
      </c>
      <c r="B377" s="1" t="s">
        <v>31</v>
      </c>
      <c r="C377" s="1" t="s">
        <v>13</v>
      </c>
      <c r="D377" s="1" t="s">
        <v>50</v>
      </c>
      <c r="E377" s="1">
        <v>20</v>
      </c>
      <c r="F377" s="1">
        <v>429</v>
      </c>
      <c r="G377" s="1">
        <v>5</v>
      </c>
      <c r="H377" s="2">
        <v>46178</v>
      </c>
      <c r="I377" s="2">
        <v>46184</v>
      </c>
      <c r="J377" s="1" t="s">
        <v>20</v>
      </c>
      <c r="K377" s="1">
        <v>1376</v>
      </c>
      <c r="L377" s="1" t="str">
        <f t="shared" si="1"/>
        <v>Komal_Marker</v>
      </c>
    </row>
    <row r="378" spans="1:12" x14ac:dyDescent="0.3">
      <c r="A378" s="1" t="s">
        <v>32</v>
      </c>
      <c r="B378" s="1" t="s">
        <v>38</v>
      </c>
      <c r="C378" s="1" t="s">
        <v>18</v>
      </c>
      <c r="D378" s="1" t="s">
        <v>19</v>
      </c>
      <c r="E378" s="1">
        <v>3</v>
      </c>
      <c r="F378" s="1">
        <v>5480</v>
      </c>
      <c r="G378" s="1">
        <v>12</v>
      </c>
      <c r="H378" s="2">
        <v>46105</v>
      </c>
      <c r="I378" s="2">
        <v>46111</v>
      </c>
      <c r="J378" s="1" t="s">
        <v>24</v>
      </c>
      <c r="K378" s="1">
        <v>1377</v>
      </c>
      <c r="L378" s="1" t="str">
        <f t="shared" si="1"/>
        <v>Asha_Desk</v>
      </c>
    </row>
    <row r="379" spans="1:12" x14ac:dyDescent="0.3">
      <c r="A379" s="1" t="s">
        <v>55</v>
      </c>
      <c r="B379" s="1" t="s">
        <v>22</v>
      </c>
      <c r="C379" s="1" t="s">
        <v>34</v>
      </c>
      <c r="D379" s="1" t="s">
        <v>45</v>
      </c>
      <c r="E379" s="1">
        <v>15</v>
      </c>
      <c r="F379" s="1">
        <v>22693</v>
      </c>
      <c r="G379" s="1">
        <v>12</v>
      </c>
      <c r="H379" s="2">
        <v>46074</v>
      </c>
      <c r="I379" s="2">
        <v>46080</v>
      </c>
      <c r="J379" s="1" t="s">
        <v>51</v>
      </c>
      <c r="K379" s="1">
        <v>1378</v>
      </c>
      <c r="L379" s="1" t="str">
        <f t="shared" si="1"/>
        <v>Sneha_Monitor</v>
      </c>
    </row>
    <row r="380" spans="1:12" x14ac:dyDescent="0.3">
      <c r="A380" s="1" t="s">
        <v>47</v>
      </c>
      <c r="B380" s="1" t="s">
        <v>17</v>
      </c>
      <c r="C380" s="1" t="s">
        <v>13</v>
      </c>
      <c r="D380" s="1" t="s">
        <v>14</v>
      </c>
      <c r="E380" s="1">
        <v>11</v>
      </c>
      <c r="F380" s="1">
        <v>136</v>
      </c>
      <c r="G380" s="1">
        <v>15</v>
      </c>
      <c r="H380" s="2">
        <v>46106</v>
      </c>
      <c r="I380" s="2">
        <v>46107</v>
      </c>
      <c r="J380" s="1" t="s">
        <v>20</v>
      </c>
      <c r="K380" s="1">
        <v>1379</v>
      </c>
      <c r="L380" s="1" t="str">
        <f t="shared" si="1"/>
        <v>Yash_Notebook</v>
      </c>
    </row>
    <row r="381" spans="1:12" x14ac:dyDescent="0.3">
      <c r="A381" s="1" t="s">
        <v>52</v>
      </c>
      <c r="B381" s="1" t="s">
        <v>43</v>
      </c>
      <c r="C381" s="1" t="s">
        <v>13</v>
      </c>
      <c r="D381" s="1" t="s">
        <v>53</v>
      </c>
      <c r="E381" s="1">
        <v>3</v>
      </c>
      <c r="F381" s="1">
        <v>412</v>
      </c>
      <c r="G381" s="1">
        <v>7</v>
      </c>
      <c r="H381" s="2">
        <v>46128</v>
      </c>
      <c r="I381" s="2">
        <v>46138</v>
      </c>
      <c r="J381" s="1" t="s">
        <v>24</v>
      </c>
      <c r="K381" s="1">
        <v>1380</v>
      </c>
      <c r="L381" s="1" t="str">
        <f t="shared" si="1"/>
        <v>Komal_Diary</v>
      </c>
    </row>
    <row r="382" spans="1:12" x14ac:dyDescent="0.3">
      <c r="A382" s="1" t="s">
        <v>55</v>
      </c>
      <c r="B382" s="1" t="s">
        <v>33</v>
      </c>
      <c r="C382" s="1" t="s">
        <v>18</v>
      </c>
      <c r="D382" s="1" t="s">
        <v>28</v>
      </c>
      <c r="E382" s="1">
        <v>5</v>
      </c>
      <c r="F382" s="1">
        <v>7484</v>
      </c>
      <c r="G382" s="1">
        <v>2</v>
      </c>
      <c r="H382" s="2">
        <v>46089</v>
      </c>
      <c r="I382" s="2">
        <v>46093</v>
      </c>
      <c r="J382" s="1" t="s">
        <v>20</v>
      </c>
      <c r="K382" s="1">
        <v>1381</v>
      </c>
      <c r="L382" s="1" t="str">
        <f t="shared" si="1"/>
        <v>Sneha_Chair</v>
      </c>
    </row>
    <row r="383" spans="1:12" x14ac:dyDescent="0.3">
      <c r="A383" s="1" t="s">
        <v>49</v>
      </c>
      <c r="B383" s="1" t="s">
        <v>33</v>
      </c>
      <c r="C383" s="1" t="s">
        <v>34</v>
      </c>
      <c r="D383" s="1" t="s">
        <v>60</v>
      </c>
      <c r="E383" s="1">
        <v>11</v>
      </c>
      <c r="F383" s="1">
        <v>36198</v>
      </c>
      <c r="G383" s="1">
        <v>0</v>
      </c>
      <c r="H383" s="2">
        <v>46130</v>
      </c>
      <c r="I383" s="2">
        <v>46134</v>
      </c>
      <c r="J383" s="1" t="s">
        <v>15</v>
      </c>
      <c r="K383" s="1">
        <v>1382</v>
      </c>
      <c r="L383" s="1" t="str">
        <f t="shared" si="1"/>
        <v>Ajay_Laptop</v>
      </c>
    </row>
    <row r="384" spans="1:12" x14ac:dyDescent="0.3">
      <c r="A384" s="1" t="s">
        <v>32</v>
      </c>
      <c r="B384" s="1" t="s">
        <v>12</v>
      </c>
      <c r="C384" s="1" t="s">
        <v>13</v>
      </c>
      <c r="D384" s="1" t="s">
        <v>53</v>
      </c>
      <c r="E384" s="1">
        <v>14</v>
      </c>
      <c r="F384" s="1">
        <v>334</v>
      </c>
      <c r="G384" s="1">
        <v>10</v>
      </c>
      <c r="H384" s="2">
        <v>46196</v>
      </c>
      <c r="I384" s="2">
        <v>46203</v>
      </c>
      <c r="J384" s="1" t="s">
        <v>15</v>
      </c>
      <c r="K384" s="1">
        <v>1383</v>
      </c>
      <c r="L384" s="1" t="str">
        <f t="shared" si="1"/>
        <v>Asha_Diary</v>
      </c>
    </row>
    <row r="385" spans="1:12" x14ac:dyDescent="0.3">
      <c r="A385" s="1" t="s">
        <v>59</v>
      </c>
      <c r="B385" s="1" t="s">
        <v>12</v>
      </c>
      <c r="C385" s="1" t="s">
        <v>34</v>
      </c>
      <c r="D385" s="1" t="s">
        <v>39</v>
      </c>
      <c r="E385" s="1">
        <v>15</v>
      </c>
      <c r="F385" s="1">
        <v>38116</v>
      </c>
      <c r="G385" s="1">
        <v>0</v>
      </c>
      <c r="H385" s="2">
        <v>46074</v>
      </c>
      <c r="I385" s="2">
        <v>46078</v>
      </c>
      <c r="J385" s="1" t="s">
        <v>29</v>
      </c>
      <c r="K385" s="1">
        <v>1384</v>
      </c>
      <c r="L385" s="1" t="str">
        <f t="shared" si="1"/>
        <v>Anita_Keyboard</v>
      </c>
    </row>
    <row r="386" spans="1:12" x14ac:dyDescent="0.3">
      <c r="A386" s="1" t="s">
        <v>26</v>
      </c>
      <c r="B386" s="1" t="s">
        <v>33</v>
      </c>
      <c r="C386" s="1" t="s">
        <v>34</v>
      </c>
      <c r="D386" s="1" t="s">
        <v>39</v>
      </c>
      <c r="E386" s="1">
        <v>12</v>
      </c>
      <c r="F386" s="1">
        <v>61360</v>
      </c>
      <c r="G386" s="1">
        <v>10</v>
      </c>
      <c r="H386" s="2">
        <v>46048</v>
      </c>
      <c r="I386" s="2">
        <v>46053</v>
      </c>
      <c r="J386" s="1" t="s">
        <v>51</v>
      </c>
      <c r="K386" s="1">
        <v>1385</v>
      </c>
      <c r="L386" s="1" t="str">
        <f t="shared" si="1"/>
        <v>Vikram_Keyboard</v>
      </c>
    </row>
    <row r="387" spans="1:12" x14ac:dyDescent="0.3">
      <c r="A387" s="1" t="s">
        <v>27</v>
      </c>
      <c r="B387" s="1" t="s">
        <v>31</v>
      </c>
      <c r="C387" s="1" t="s">
        <v>18</v>
      </c>
      <c r="D387" s="1" t="s">
        <v>28</v>
      </c>
      <c r="E387" s="1">
        <v>9</v>
      </c>
      <c r="F387" s="1">
        <v>7509</v>
      </c>
      <c r="G387" s="1">
        <v>5</v>
      </c>
      <c r="H387" s="2">
        <v>46162</v>
      </c>
      <c r="I387" s="2">
        <v>46171</v>
      </c>
      <c r="J387" s="1" t="s">
        <v>51</v>
      </c>
      <c r="K387" s="1">
        <v>1386</v>
      </c>
      <c r="L387" s="1" t="str">
        <f t="shared" si="1"/>
        <v>Arjun_Chair</v>
      </c>
    </row>
    <row r="388" spans="1:12" x14ac:dyDescent="0.3">
      <c r="A388" s="1" t="s">
        <v>54</v>
      </c>
      <c r="B388" s="1" t="s">
        <v>33</v>
      </c>
      <c r="C388" s="1" t="s">
        <v>34</v>
      </c>
      <c r="D388" s="1" t="s">
        <v>35</v>
      </c>
      <c r="E388" s="1">
        <v>11</v>
      </c>
      <c r="F388" s="1">
        <v>56515</v>
      </c>
      <c r="G388" s="1">
        <v>5</v>
      </c>
      <c r="H388" s="2">
        <v>46102</v>
      </c>
      <c r="I388" s="2">
        <v>46112</v>
      </c>
      <c r="J388" s="1" t="s">
        <v>24</v>
      </c>
      <c r="K388" s="1">
        <v>1387</v>
      </c>
      <c r="L388" s="1" t="str">
        <f t="shared" si="1"/>
        <v>Manoj_Printer</v>
      </c>
    </row>
    <row r="389" spans="1:12" x14ac:dyDescent="0.3">
      <c r="A389" s="1" t="s">
        <v>55</v>
      </c>
      <c r="B389" s="1" t="s">
        <v>31</v>
      </c>
      <c r="C389" s="1" t="s">
        <v>18</v>
      </c>
      <c r="D389" s="1" t="s">
        <v>28</v>
      </c>
      <c r="E389" s="1">
        <v>12</v>
      </c>
      <c r="F389" s="1">
        <v>11662</v>
      </c>
      <c r="G389" s="1">
        <v>12</v>
      </c>
      <c r="H389" s="2">
        <v>46094</v>
      </c>
      <c r="I389" s="2">
        <v>46096</v>
      </c>
      <c r="J389" s="1" t="s">
        <v>20</v>
      </c>
      <c r="K389" s="1">
        <v>1388</v>
      </c>
      <c r="L389" s="1" t="str">
        <f t="shared" si="1"/>
        <v>Sneha_Chair</v>
      </c>
    </row>
    <row r="390" spans="1:12" x14ac:dyDescent="0.3">
      <c r="A390" s="1" t="s">
        <v>32</v>
      </c>
      <c r="B390" s="1" t="s">
        <v>12</v>
      </c>
      <c r="C390" s="1" t="s">
        <v>34</v>
      </c>
      <c r="D390" s="1" t="s">
        <v>41</v>
      </c>
      <c r="E390" s="1">
        <v>3</v>
      </c>
      <c r="F390" s="1">
        <v>56380</v>
      </c>
      <c r="G390" s="1">
        <v>5</v>
      </c>
      <c r="H390" s="2">
        <v>46044</v>
      </c>
      <c r="I390" s="2">
        <v>46048</v>
      </c>
      <c r="J390" s="1" t="s">
        <v>51</v>
      </c>
      <c r="K390" s="1">
        <v>1389</v>
      </c>
      <c r="L390" s="1" t="str">
        <f t="shared" si="1"/>
        <v>Asha_Headset</v>
      </c>
    </row>
    <row r="391" spans="1:12" x14ac:dyDescent="0.3">
      <c r="A391" s="1" t="s">
        <v>58</v>
      </c>
      <c r="B391" s="1" t="s">
        <v>43</v>
      </c>
      <c r="C391" s="1" t="s">
        <v>18</v>
      </c>
      <c r="D391" s="1" t="s">
        <v>19</v>
      </c>
      <c r="E391" s="1">
        <v>9</v>
      </c>
      <c r="F391" s="1">
        <v>7670</v>
      </c>
      <c r="G391" s="1">
        <v>0</v>
      </c>
      <c r="H391" s="2">
        <v>46076</v>
      </c>
      <c r="I391" s="2">
        <v>46081</v>
      </c>
      <c r="J391" s="1" t="s">
        <v>51</v>
      </c>
      <c r="K391" s="1">
        <v>1390</v>
      </c>
      <c r="L391" s="1" t="str">
        <f t="shared" si="1"/>
        <v>Rohan_Desk</v>
      </c>
    </row>
    <row r="392" spans="1:12" x14ac:dyDescent="0.3">
      <c r="A392" s="1" t="s">
        <v>30</v>
      </c>
      <c r="B392" s="1" t="s">
        <v>31</v>
      </c>
      <c r="C392" s="1" t="s">
        <v>34</v>
      </c>
      <c r="D392" s="1" t="s">
        <v>35</v>
      </c>
      <c r="E392" s="1">
        <v>5</v>
      </c>
      <c r="F392" s="1">
        <v>65270</v>
      </c>
      <c r="G392" s="1">
        <v>5</v>
      </c>
      <c r="H392" s="2">
        <v>46100</v>
      </c>
      <c r="I392" s="2">
        <v>46103</v>
      </c>
      <c r="J392" s="1" t="s">
        <v>24</v>
      </c>
      <c r="K392" s="1">
        <v>1391</v>
      </c>
      <c r="L392" s="1" t="str">
        <f t="shared" si="1"/>
        <v>Neha_Printer</v>
      </c>
    </row>
    <row r="393" spans="1:12" x14ac:dyDescent="0.3">
      <c r="A393" s="1" t="s">
        <v>29</v>
      </c>
      <c r="B393" s="1" t="s">
        <v>43</v>
      </c>
      <c r="C393" s="1" t="s">
        <v>34</v>
      </c>
      <c r="D393" s="1" t="s">
        <v>35</v>
      </c>
      <c r="E393" s="1">
        <v>13</v>
      </c>
      <c r="F393" s="1">
        <v>23903</v>
      </c>
      <c r="G393" s="1">
        <v>5</v>
      </c>
      <c r="H393" s="2">
        <v>46124</v>
      </c>
      <c r="I393" s="2">
        <v>46125</v>
      </c>
      <c r="J393" s="1" t="s">
        <v>29</v>
      </c>
      <c r="K393" s="1">
        <v>1392</v>
      </c>
      <c r="L393" s="1" t="str">
        <f t="shared" si="1"/>
        <v>Priya_Printer</v>
      </c>
    </row>
    <row r="394" spans="1:12" x14ac:dyDescent="0.3">
      <c r="A394" s="1" t="s">
        <v>30</v>
      </c>
      <c r="B394" s="1" t="s">
        <v>25</v>
      </c>
      <c r="C394" s="1" t="s">
        <v>34</v>
      </c>
      <c r="D394" s="1" t="s">
        <v>45</v>
      </c>
      <c r="E394" s="1">
        <v>17</v>
      </c>
      <c r="F394" s="1">
        <v>30351</v>
      </c>
      <c r="G394" s="1">
        <v>15</v>
      </c>
      <c r="H394" s="2">
        <v>46047</v>
      </c>
      <c r="I394" s="2">
        <v>46051</v>
      </c>
      <c r="J394" s="1" t="s">
        <v>51</v>
      </c>
      <c r="K394" s="1">
        <v>1393</v>
      </c>
      <c r="L394" s="1" t="str">
        <f t="shared" si="1"/>
        <v>Neha_Monitor</v>
      </c>
    </row>
    <row r="395" spans="1:12" x14ac:dyDescent="0.3">
      <c r="A395" s="1" t="s">
        <v>54</v>
      </c>
      <c r="B395" s="1" t="s">
        <v>12</v>
      </c>
      <c r="C395" s="1" t="s">
        <v>13</v>
      </c>
      <c r="D395" s="1" t="s">
        <v>14</v>
      </c>
      <c r="E395" s="1">
        <v>10</v>
      </c>
      <c r="F395" s="1">
        <v>138</v>
      </c>
      <c r="G395" s="1">
        <v>2</v>
      </c>
      <c r="H395" s="2">
        <v>46056</v>
      </c>
      <c r="I395" s="2">
        <v>46057</v>
      </c>
      <c r="J395" s="1" t="s">
        <v>15</v>
      </c>
      <c r="K395" s="1">
        <v>1394</v>
      </c>
      <c r="L395" s="1" t="str">
        <f t="shared" si="1"/>
        <v>Manoj_Notebook</v>
      </c>
    </row>
    <row r="396" spans="1:12" x14ac:dyDescent="0.3">
      <c r="A396" s="1" t="s">
        <v>54</v>
      </c>
      <c r="B396" s="1" t="s">
        <v>33</v>
      </c>
      <c r="C396" s="1" t="s">
        <v>18</v>
      </c>
      <c r="D396" s="1" t="s">
        <v>44</v>
      </c>
      <c r="E396" s="1">
        <v>18</v>
      </c>
      <c r="F396" s="1">
        <v>10402</v>
      </c>
      <c r="G396" s="1">
        <v>15</v>
      </c>
      <c r="H396" s="2">
        <v>46062</v>
      </c>
      <c r="I396" s="2">
        <v>46067</v>
      </c>
      <c r="J396" s="1" t="s">
        <v>29</v>
      </c>
      <c r="K396" s="1">
        <v>1395</v>
      </c>
      <c r="L396" s="1" t="str">
        <f t="shared" si="1"/>
        <v>Manoj_Bookshelf</v>
      </c>
    </row>
    <row r="397" spans="1:12" x14ac:dyDescent="0.3">
      <c r="A397" s="1" t="s">
        <v>21</v>
      </c>
      <c r="B397" s="1" t="s">
        <v>38</v>
      </c>
      <c r="C397" s="1" t="s">
        <v>13</v>
      </c>
      <c r="D397" s="1" t="s">
        <v>53</v>
      </c>
      <c r="E397" s="1">
        <v>8</v>
      </c>
      <c r="F397" s="1">
        <v>54</v>
      </c>
      <c r="G397" s="1">
        <v>15</v>
      </c>
      <c r="H397" s="2">
        <v>46031</v>
      </c>
      <c r="I397" s="2">
        <v>46035</v>
      </c>
      <c r="J397" s="1" t="s">
        <v>15</v>
      </c>
      <c r="K397" s="1">
        <v>1396</v>
      </c>
      <c r="L397" s="1" t="str">
        <f t="shared" si="1"/>
        <v>Meera_Diary</v>
      </c>
    </row>
    <row r="398" spans="1:12" x14ac:dyDescent="0.3">
      <c r="A398" s="1" t="s">
        <v>21</v>
      </c>
      <c r="B398" s="1" t="s">
        <v>33</v>
      </c>
      <c r="C398" s="1" t="s">
        <v>18</v>
      </c>
      <c r="D398" s="1" t="s">
        <v>23</v>
      </c>
      <c r="E398" s="1">
        <v>1</v>
      </c>
      <c r="F398" s="1">
        <v>8948</v>
      </c>
      <c r="G398" s="1">
        <v>5</v>
      </c>
      <c r="H398" s="2">
        <v>46194</v>
      </c>
      <c r="I398" s="2">
        <v>46201</v>
      </c>
      <c r="J398" s="1" t="s">
        <v>51</v>
      </c>
      <c r="K398" s="1">
        <v>1397</v>
      </c>
      <c r="L398" s="1" t="str">
        <f t="shared" si="1"/>
        <v>Meera_Table</v>
      </c>
    </row>
    <row r="399" spans="1:12" x14ac:dyDescent="0.3">
      <c r="A399" s="1" t="s">
        <v>58</v>
      </c>
      <c r="B399" s="1" t="s">
        <v>43</v>
      </c>
      <c r="C399" s="1" t="s">
        <v>34</v>
      </c>
      <c r="D399" s="1" t="s">
        <v>39</v>
      </c>
      <c r="E399" s="1">
        <v>12</v>
      </c>
      <c r="F399" s="1">
        <v>10668</v>
      </c>
      <c r="G399" s="1">
        <v>0</v>
      </c>
      <c r="H399" s="2">
        <v>46170</v>
      </c>
      <c r="I399" s="2">
        <v>46176</v>
      </c>
      <c r="J399" s="1" t="s">
        <v>15</v>
      </c>
      <c r="K399" s="1">
        <v>1398</v>
      </c>
      <c r="L399" s="1" t="str">
        <f t="shared" si="1"/>
        <v>Rohan_Keyboard</v>
      </c>
    </row>
    <row r="400" spans="1:12" x14ac:dyDescent="0.3">
      <c r="A400" s="1" t="s">
        <v>48</v>
      </c>
      <c r="B400" s="1" t="s">
        <v>31</v>
      </c>
      <c r="C400" s="1" t="s">
        <v>13</v>
      </c>
      <c r="D400" s="1" t="s">
        <v>14</v>
      </c>
      <c r="E400" s="1">
        <v>15</v>
      </c>
      <c r="F400" s="1">
        <v>87</v>
      </c>
      <c r="G400" s="1">
        <v>15</v>
      </c>
      <c r="H400" s="2">
        <v>46089</v>
      </c>
      <c r="I400" s="2">
        <v>46093</v>
      </c>
      <c r="J400" s="1" t="s">
        <v>20</v>
      </c>
      <c r="K400" s="1">
        <v>1399</v>
      </c>
      <c r="L400" s="1" t="str">
        <f t="shared" si="1"/>
        <v>Nitin_Notebook</v>
      </c>
    </row>
    <row r="401" spans="1:12" x14ac:dyDescent="0.3">
      <c r="A401" s="1" t="s">
        <v>40</v>
      </c>
      <c r="B401" s="1" t="s">
        <v>22</v>
      </c>
      <c r="C401" s="1" t="s">
        <v>34</v>
      </c>
      <c r="D401" s="1" t="s">
        <v>35</v>
      </c>
      <c r="E401" s="1">
        <v>13</v>
      </c>
      <c r="F401" s="1">
        <v>52411</v>
      </c>
      <c r="G401" s="1">
        <v>15</v>
      </c>
      <c r="H401" s="2">
        <v>46090</v>
      </c>
      <c r="I401" s="2">
        <v>46092</v>
      </c>
      <c r="J401" s="1" t="s">
        <v>20</v>
      </c>
      <c r="K401" s="1">
        <v>1400</v>
      </c>
      <c r="L401" s="1" t="str">
        <f t="shared" si="1"/>
        <v>Deepak_Printer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N401"/>
  <sheetViews>
    <sheetView workbookViewId="0"/>
  </sheetViews>
  <sheetFormatPr defaultColWidth="14.44140625" defaultRowHeight="15" customHeight="1" x14ac:dyDescent="0.3"/>
  <cols>
    <col min="1" max="1" width="9.5546875" customWidth="1"/>
  </cols>
  <sheetData>
    <row r="1" spans="1:14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0</v>
      </c>
      <c r="L1" s="1" t="s">
        <v>73</v>
      </c>
      <c r="M1" s="1" t="s">
        <v>74</v>
      </c>
      <c r="N1" s="1" t="s">
        <v>75</v>
      </c>
    </row>
    <row r="2" spans="1:14" x14ac:dyDescent="0.3">
      <c r="A2" s="1" t="s">
        <v>11</v>
      </c>
      <c r="B2" s="1" t="s">
        <v>12</v>
      </c>
      <c r="C2" s="1" t="s">
        <v>13</v>
      </c>
      <c r="D2" s="1" t="s">
        <v>14</v>
      </c>
      <c r="E2" s="1">
        <v>3</v>
      </c>
      <c r="F2" s="1">
        <v>222</v>
      </c>
      <c r="G2" s="1">
        <v>15</v>
      </c>
      <c r="H2" s="2">
        <v>46081</v>
      </c>
      <c r="I2" s="2">
        <v>46083</v>
      </c>
      <c r="J2" s="1" t="s">
        <v>15</v>
      </c>
      <c r="K2" s="1">
        <v>1001</v>
      </c>
      <c r="L2" s="1" t="str">
        <f t="shared" ref="L2:L256" si="0">LEFT(A2,3)&amp;K2</f>
        <v>Rit1001</v>
      </c>
      <c r="M2" s="1" t="str">
        <f t="shared" ref="M2:M256" si="1">LEFT(D2,3)&amp;RIGHT(D2,2)</f>
        <v>Notok</v>
      </c>
      <c r="N2" s="1" t="str">
        <f t="shared" ref="N2:N256" si="2">MID(D2,2,4)</f>
        <v>oteb</v>
      </c>
    </row>
    <row r="3" spans="1:14" x14ac:dyDescent="0.3">
      <c r="A3" s="1" t="s">
        <v>16</v>
      </c>
      <c r="B3" s="1" t="s">
        <v>17</v>
      </c>
      <c r="C3" s="1" t="s">
        <v>18</v>
      </c>
      <c r="D3" s="1" t="s">
        <v>19</v>
      </c>
      <c r="E3" s="1">
        <v>7</v>
      </c>
      <c r="F3" s="1">
        <v>8448</v>
      </c>
      <c r="G3" s="1">
        <v>12</v>
      </c>
      <c r="H3" s="2">
        <v>46174</v>
      </c>
      <c r="I3" s="2">
        <v>46179</v>
      </c>
      <c r="J3" s="1" t="s">
        <v>20</v>
      </c>
      <c r="K3" s="1">
        <v>1002</v>
      </c>
      <c r="L3" s="1" t="str">
        <f t="shared" si="0"/>
        <v>Poo1002</v>
      </c>
      <c r="M3" s="1" t="str">
        <f t="shared" si="1"/>
        <v>Dessk</v>
      </c>
      <c r="N3" s="1" t="str">
        <f t="shared" si="2"/>
        <v>esk</v>
      </c>
    </row>
    <row r="4" spans="1:14" x14ac:dyDescent="0.3">
      <c r="A4" s="1" t="s">
        <v>21</v>
      </c>
      <c r="B4" s="1" t="s">
        <v>22</v>
      </c>
      <c r="C4" s="1" t="s">
        <v>18</v>
      </c>
      <c r="D4" s="1" t="s">
        <v>23</v>
      </c>
      <c r="E4" s="1">
        <v>20</v>
      </c>
      <c r="F4" s="1">
        <v>2123</v>
      </c>
      <c r="G4" s="1">
        <v>15</v>
      </c>
      <c r="H4" s="2">
        <v>46183</v>
      </c>
      <c r="I4" s="2">
        <v>46192</v>
      </c>
      <c r="J4" s="1" t="s">
        <v>24</v>
      </c>
      <c r="K4" s="1">
        <v>1003</v>
      </c>
      <c r="L4" s="1" t="str">
        <f t="shared" si="0"/>
        <v>Mee1003</v>
      </c>
      <c r="M4" s="1" t="str">
        <f t="shared" si="1"/>
        <v>Table</v>
      </c>
      <c r="N4" s="1" t="str">
        <f t="shared" si="2"/>
        <v>able</v>
      </c>
    </row>
    <row r="5" spans="1:14" x14ac:dyDescent="0.3">
      <c r="A5" s="1" t="s">
        <v>16</v>
      </c>
      <c r="B5" s="1" t="s">
        <v>25</v>
      </c>
      <c r="C5" s="1" t="s">
        <v>18</v>
      </c>
      <c r="D5" s="1" t="s">
        <v>23</v>
      </c>
      <c r="E5" s="1">
        <v>16</v>
      </c>
      <c r="F5" s="1">
        <v>11739</v>
      </c>
      <c r="G5" s="1">
        <v>12</v>
      </c>
      <c r="H5" s="2">
        <v>46034</v>
      </c>
      <c r="I5" s="2">
        <v>46040</v>
      </c>
      <c r="J5" s="1" t="s">
        <v>20</v>
      </c>
      <c r="K5" s="1">
        <v>1004</v>
      </c>
      <c r="L5" s="1" t="str">
        <f t="shared" si="0"/>
        <v>Poo1004</v>
      </c>
      <c r="M5" s="1" t="str">
        <f t="shared" si="1"/>
        <v>Table</v>
      </c>
      <c r="N5" s="1" t="str">
        <f t="shared" si="2"/>
        <v>able</v>
      </c>
    </row>
    <row r="6" spans="1:14" x14ac:dyDescent="0.3">
      <c r="A6" s="1" t="s">
        <v>26</v>
      </c>
      <c r="B6" s="1" t="s">
        <v>17</v>
      </c>
      <c r="C6" s="1" t="s">
        <v>13</v>
      </c>
      <c r="D6" s="1" t="s">
        <v>14</v>
      </c>
      <c r="E6" s="1">
        <v>18</v>
      </c>
      <c r="F6" s="1">
        <v>70</v>
      </c>
      <c r="G6" s="1">
        <v>0</v>
      </c>
      <c r="H6" s="2">
        <v>46171</v>
      </c>
      <c r="I6" s="2">
        <v>46179</v>
      </c>
      <c r="J6" s="1" t="s">
        <v>24</v>
      </c>
      <c r="K6" s="1">
        <v>1005</v>
      </c>
      <c r="L6" s="1" t="str">
        <f t="shared" si="0"/>
        <v>Vik1005</v>
      </c>
      <c r="M6" s="1" t="str">
        <f t="shared" si="1"/>
        <v>Notok</v>
      </c>
      <c r="N6" s="1" t="str">
        <f t="shared" si="2"/>
        <v>oteb</v>
      </c>
    </row>
    <row r="7" spans="1:14" x14ac:dyDescent="0.3">
      <c r="A7" s="1" t="s">
        <v>27</v>
      </c>
      <c r="B7" s="1" t="s">
        <v>25</v>
      </c>
      <c r="C7" s="1" t="s">
        <v>18</v>
      </c>
      <c r="D7" s="1" t="s">
        <v>28</v>
      </c>
      <c r="E7" s="1">
        <v>3</v>
      </c>
      <c r="F7" s="1">
        <v>2714</v>
      </c>
      <c r="G7" s="1">
        <v>5</v>
      </c>
      <c r="H7" s="2">
        <v>46055</v>
      </c>
      <c r="I7" s="2">
        <v>46062</v>
      </c>
      <c r="J7" s="1" t="s">
        <v>29</v>
      </c>
      <c r="K7" s="1">
        <v>1006</v>
      </c>
      <c r="L7" s="1" t="str">
        <f t="shared" si="0"/>
        <v>Arj1006</v>
      </c>
      <c r="M7" s="1" t="str">
        <f t="shared" si="1"/>
        <v>Chair</v>
      </c>
      <c r="N7" s="1" t="str">
        <f t="shared" si="2"/>
        <v>hair</v>
      </c>
    </row>
    <row r="8" spans="1:14" x14ac:dyDescent="0.3">
      <c r="A8" s="1" t="s">
        <v>21</v>
      </c>
      <c r="B8" s="1" t="s">
        <v>22</v>
      </c>
      <c r="C8" s="1" t="s">
        <v>13</v>
      </c>
      <c r="D8" s="1" t="s">
        <v>14</v>
      </c>
      <c r="E8" s="1">
        <v>19</v>
      </c>
      <c r="F8" s="1">
        <v>149</v>
      </c>
      <c r="G8" s="1">
        <v>7</v>
      </c>
      <c r="H8" s="2">
        <v>46162</v>
      </c>
      <c r="I8" s="2">
        <v>46168</v>
      </c>
      <c r="J8" s="1" t="s">
        <v>24</v>
      </c>
      <c r="K8" s="1">
        <v>1007</v>
      </c>
      <c r="L8" s="1" t="str">
        <f t="shared" si="0"/>
        <v>Mee1007</v>
      </c>
      <c r="M8" s="1" t="str">
        <f t="shared" si="1"/>
        <v>Notok</v>
      </c>
      <c r="N8" s="1" t="str">
        <f t="shared" si="2"/>
        <v>oteb</v>
      </c>
    </row>
    <row r="9" spans="1:14" x14ac:dyDescent="0.3">
      <c r="A9" s="1" t="s">
        <v>30</v>
      </c>
      <c r="B9" s="1" t="s">
        <v>31</v>
      </c>
      <c r="C9" s="1" t="s">
        <v>18</v>
      </c>
      <c r="D9" s="1" t="s">
        <v>28</v>
      </c>
      <c r="E9" s="1">
        <v>1</v>
      </c>
      <c r="F9" s="1">
        <v>1134</v>
      </c>
      <c r="G9" s="1">
        <v>0</v>
      </c>
      <c r="H9" s="2">
        <v>46033</v>
      </c>
      <c r="I9" s="2">
        <v>46041</v>
      </c>
      <c r="J9" s="1" t="s">
        <v>24</v>
      </c>
      <c r="K9" s="1">
        <v>1008</v>
      </c>
      <c r="L9" s="1" t="str">
        <f t="shared" si="0"/>
        <v>Neh1008</v>
      </c>
      <c r="M9" s="1" t="str">
        <f t="shared" si="1"/>
        <v>Chair</v>
      </c>
      <c r="N9" s="1" t="str">
        <f t="shared" si="2"/>
        <v>hair</v>
      </c>
    </row>
    <row r="10" spans="1:14" x14ac:dyDescent="0.3">
      <c r="A10" s="1" t="s">
        <v>32</v>
      </c>
      <c r="B10" s="1" t="s">
        <v>33</v>
      </c>
      <c r="C10" s="1" t="s">
        <v>34</v>
      </c>
      <c r="D10" s="1" t="s">
        <v>35</v>
      </c>
      <c r="E10" s="1">
        <v>10</v>
      </c>
      <c r="F10" s="1">
        <v>40671</v>
      </c>
      <c r="G10" s="1">
        <v>12</v>
      </c>
      <c r="H10" s="2">
        <v>46183</v>
      </c>
      <c r="I10" s="2">
        <v>46193</v>
      </c>
      <c r="J10" s="1" t="s">
        <v>24</v>
      </c>
      <c r="K10" s="1">
        <v>1009</v>
      </c>
      <c r="L10" s="1" t="str">
        <f t="shared" si="0"/>
        <v>Ash1009</v>
      </c>
      <c r="M10" s="1" t="str">
        <f t="shared" si="1"/>
        <v>Prier</v>
      </c>
      <c r="N10" s="1" t="str">
        <f t="shared" si="2"/>
        <v>rint</v>
      </c>
    </row>
    <row r="11" spans="1:14" x14ac:dyDescent="0.3">
      <c r="A11" s="1" t="s">
        <v>11</v>
      </c>
      <c r="B11" s="1" t="s">
        <v>17</v>
      </c>
      <c r="C11" s="1" t="s">
        <v>13</v>
      </c>
      <c r="D11" s="1" t="s">
        <v>36</v>
      </c>
      <c r="E11" s="1">
        <v>14</v>
      </c>
      <c r="F11" s="1">
        <v>470</v>
      </c>
      <c r="G11" s="1">
        <v>5</v>
      </c>
      <c r="H11" s="2">
        <v>46062</v>
      </c>
      <c r="I11" s="2">
        <v>46068</v>
      </c>
      <c r="J11" s="1" t="s">
        <v>15</v>
      </c>
      <c r="K11" s="1">
        <v>1010</v>
      </c>
      <c r="L11" s="1" t="str">
        <f t="shared" si="0"/>
        <v>Rit1010</v>
      </c>
      <c r="M11" s="1" t="str">
        <f t="shared" si="1"/>
        <v>Staer</v>
      </c>
      <c r="N11" s="1" t="str">
        <f t="shared" si="2"/>
        <v>tapl</v>
      </c>
    </row>
    <row r="12" spans="1:14" x14ac:dyDescent="0.3">
      <c r="A12" s="1" t="s">
        <v>11</v>
      </c>
      <c r="B12" s="1" t="s">
        <v>17</v>
      </c>
      <c r="C12" s="1" t="s">
        <v>13</v>
      </c>
      <c r="D12" s="1" t="s">
        <v>37</v>
      </c>
      <c r="E12" s="1">
        <v>14</v>
      </c>
      <c r="F12" s="1">
        <v>88</v>
      </c>
      <c r="G12" s="1">
        <v>12</v>
      </c>
      <c r="H12" s="2">
        <v>46161</v>
      </c>
      <c r="I12" s="2">
        <v>46163</v>
      </c>
      <c r="J12" s="1" t="s">
        <v>15</v>
      </c>
      <c r="K12" s="1">
        <v>1011</v>
      </c>
      <c r="L12" s="1" t="str">
        <f t="shared" si="0"/>
        <v>Rit1011</v>
      </c>
      <c r="M12" s="1" t="str">
        <f t="shared" si="1"/>
        <v>Penck</v>
      </c>
      <c r="N12" s="1" t="str">
        <f t="shared" si="2"/>
        <v>en P</v>
      </c>
    </row>
    <row r="13" spans="1:14" x14ac:dyDescent="0.3">
      <c r="A13" s="1" t="s">
        <v>26</v>
      </c>
      <c r="B13" s="1" t="s">
        <v>38</v>
      </c>
      <c r="C13" s="1" t="s">
        <v>34</v>
      </c>
      <c r="D13" s="1" t="s">
        <v>39</v>
      </c>
      <c r="E13" s="1">
        <v>3</v>
      </c>
      <c r="F13" s="1">
        <v>64615</v>
      </c>
      <c r="G13" s="1">
        <v>10</v>
      </c>
      <c r="H13" s="2">
        <v>46086</v>
      </c>
      <c r="I13" s="2">
        <v>46095</v>
      </c>
      <c r="J13" s="1" t="s">
        <v>29</v>
      </c>
      <c r="K13" s="1">
        <v>1012</v>
      </c>
      <c r="L13" s="1" t="str">
        <f t="shared" si="0"/>
        <v>Vik1012</v>
      </c>
      <c r="M13" s="1" t="str">
        <f t="shared" si="1"/>
        <v>Keyrd</v>
      </c>
      <c r="N13" s="1" t="str">
        <f t="shared" si="2"/>
        <v>eybo</v>
      </c>
    </row>
    <row r="14" spans="1:14" x14ac:dyDescent="0.3">
      <c r="A14" s="1" t="s">
        <v>16</v>
      </c>
      <c r="B14" s="1" t="s">
        <v>31</v>
      </c>
      <c r="C14" s="1" t="s">
        <v>13</v>
      </c>
      <c r="D14" s="1" t="s">
        <v>36</v>
      </c>
      <c r="E14" s="1">
        <v>17</v>
      </c>
      <c r="F14" s="1">
        <v>459</v>
      </c>
      <c r="G14" s="1">
        <v>12</v>
      </c>
      <c r="H14" s="2">
        <v>46095</v>
      </c>
      <c r="I14" s="2">
        <v>46105</v>
      </c>
      <c r="J14" s="1" t="s">
        <v>29</v>
      </c>
      <c r="K14" s="1">
        <v>1013</v>
      </c>
      <c r="L14" s="1" t="str">
        <f t="shared" si="0"/>
        <v>Poo1013</v>
      </c>
      <c r="M14" s="1" t="str">
        <f t="shared" si="1"/>
        <v>Staer</v>
      </c>
      <c r="N14" s="1" t="str">
        <f t="shared" si="2"/>
        <v>tapl</v>
      </c>
    </row>
    <row r="15" spans="1:14" x14ac:dyDescent="0.3">
      <c r="A15" s="1" t="s">
        <v>40</v>
      </c>
      <c r="B15" s="1" t="s">
        <v>17</v>
      </c>
      <c r="C15" s="1" t="s">
        <v>34</v>
      </c>
      <c r="D15" s="1" t="s">
        <v>41</v>
      </c>
      <c r="E15" s="1">
        <v>19</v>
      </c>
      <c r="F15" s="1">
        <v>53683</v>
      </c>
      <c r="G15" s="1">
        <v>12</v>
      </c>
      <c r="H15" s="2">
        <v>46129</v>
      </c>
      <c r="I15" s="2">
        <v>46134</v>
      </c>
      <c r="J15" s="1" t="s">
        <v>29</v>
      </c>
      <c r="K15" s="1">
        <v>1014</v>
      </c>
      <c r="L15" s="1" t="str">
        <f t="shared" si="0"/>
        <v>Dee1014</v>
      </c>
      <c r="M15" s="1" t="str">
        <f t="shared" si="1"/>
        <v>Heaet</v>
      </c>
      <c r="N15" s="1" t="str">
        <f t="shared" si="2"/>
        <v>eads</v>
      </c>
    </row>
    <row r="16" spans="1:14" x14ac:dyDescent="0.3">
      <c r="A16" s="1" t="s">
        <v>42</v>
      </c>
      <c r="B16" s="1" t="s">
        <v>43</v>
      </c>
      <c r="C16" s="1" t="s">
        <v>18</v>
      </c>
      <c r="D16" s="1" t="s">
        <v>44</v>
      </c>
      <c r="E16" s="1">
        <v>11</v>
      </c>
      <c r="F16" s="1">
        <v>14511</v>
      </c>
      <c r="G16" s="1">
        <v>2</v>
      </c>
      <c r="H16" s="2">
        <v>46175</v>
      </c>
      <c r="I16" s="2">
        <v>46185</v>
      </c>
      <c r="J16" s="1" t="s">
        <v>20</v>
      </c>
      <c r="K16" s="1">
        <v>1015</v>
      </c>
      <c r="L16" s="1" t="str">
        <f t="shared" si="0"/>
        <v>Nis1015</v>
      </c>
      <c r="M16" s="1" t="str">
        <f t="shared" si="1"/>
        <v>Boolf</v>
      </c>
      <c r="N16" s="1" t="str">
        <f t="shared" si="2"/>
        <v>ooks</v>
      </c>
    </row>
    <row r="17" spans="1:14" x14ac:dyDescent="0.3">
      <c r="A17" s="1" t="s">
        <v>32</v>
      </c>
      <c r="B17" s="1" t="s">
        <v>33</v>
      </c>
      <c r="C17" s="1" t="s">
        <v>34</v>
      </c>
      <c r="D17" s="1" t="s">
        <v>45</v>
      </c>
      <c r="E17" s="1">
        <v>16</v>
      </c>
      <c r="F17" s="1">
        <v>30234</v>
      </c>
      <c r="G17" s="1">
        <v>15</v>
      </c>
      <c r="H17" s="2">
        <v>46137</v>
      </c>
      <c r="I17" s="2">
        <v>46140</v>
      </c>
      <c r="J17" s="1" t="s">
        <v>24</v>
      </c>
      <c r="K17" s="1">
        <v>1016</v>
      </c>
      <c r="L17" s="1" t="str">
        <f t="shared" si="0"/>
        <v>Ash1016</v>
      </c>
      <c r="M17" s="1" t="str">
        <f t="shared" si="1"/>
        <v>Monor</v>
      </c>
      <c r="N17" s="1" t="str">
        <f t="shared" si="2"/>
        <v>onit</v>
      </c>
    </row>
    <row r="18" spans="1:14" x14ac:dyDescent="0.3">
      <c r="A18" s="1" t="s">
        <v>46</v>
      </c>
      <c r="B18" s="1" t="s">
        <v>38</v>
      </c>
      <c r="C18" s="1" t="s">
        <v>13</v>
      </c>
      <c r="D18" s="1" t="s">
        <v>36</v>
      </c>
      <c r="E18" s="1">
        <v>8</v>
      </c>
      <c r="F18" s="1">
        <v>179</v>
      </c>
      <c r="G18" s="1">
        <v>15</v>
      </c>
      <c r="H18" s="2">
        <v>46082</v>
      </c>
      <c r="I18" s="2">
        <v>46084</v>
      </c>
      <c r="J18" s="1" t="s">
        <v>15</v>
      </c>
      <c r="K18" s="1">
        <v>1017</v>
      </c>
      <c r="L18" s="1" t="str">
        <f t="shared" si="0"/>
        <v>Kir1017</v>
      </c>
      <c r="M18" s="1" t="str">
        <f t="shared" si="1"/>
        <v>Staer</v>
      </c>
      <c r="N18" s="1" t="str">
        <f t="shared" si="2"/>
        <v>tapl</v>
      </c>
    </row>
    <row r="19" spans="1:14" x14ac:dyDescent="0.3">
      <c r="A19" s="1" t="s">
        <v>47</v>
      </c>
      <c r="B19" s="1" t="s">
        <v>25</v>
      </c>
      <c r="C19" s="1" t="s">
        <v>13</v>
      </c>
      <c r="D19" s="1" t="s">
        <v>14</v>
      </c>
      <c r="E19" s="1">
        <v>20</v>
      </c>
      <c r="F19" s="1">
        <v>301</v>
      </c>
      <c r="G19" s="1">
        <v>0</v>
      </c>
      <c r="H19" s="2">
        <v>46089</v>
      </c>
      <c r="I19" s="2">
        <v>46094</v>
      </c>
      <c r="J19" s="1" t="s">
        <v>29</v>
      </c>
      <c r="K19" s="1">
        <v>1018</v>
      </c>
      <c r="L19" s="1" t="str">
        <f t="shared" si="0"/>
        <v>Yas1018</v>
      </c>
      <c r="M19" s="1" t="str">
        <f t="shared" si="1"/>
        <v>Notok</v>
      </c>
      <c r="N19" s="1" t="str">
        <f t="shared" si="2"/>
        <v>oteb</v>
      </c>
    </row>
    <row r="20" spans="1:14" x14ac:dyDescent="0.3">
      <c r="A20" s="1" t="s">
        <v>11</v>
      </c>
      <c r="B20" s="1" t="s">
        <v>43</v>
      </c>
      <c r="C20" s="1" t="s">
        <v>34</v>
      </c>
      <c r="D20" s="1" t="s">
        <v>41</v>
      </c>
      <c r="E20" s="1">
        <v>18</v>
      </c>
      <c r="F20" s="1">
        <v>45652</v>
      </c>
      <c r="G20" s="1">
        <v>10</v>
      </c>
      <c r="H20" s="2">
        <v>46023</v>
      </c>
      <c r="I20" s="2">
        <v>46030</v>
      </c>
      <c r="J20" s="1" t="s">
        <v>20</v>
      </c>
      <c r="K20" s="1">
        <v>1019</v>
      </c>
      <c r="L20" s="1" t="str">
        <f t="shared" si="0"/>
        <v>Rit1019</v>
      </c>
      <c r="M20" s="1" t="str">
        <f t="shared" si="1"/>
        <v>Heaet</v>
      </c>
      <c r="N20" s="1" t="str">
        <f t="shared" si="2"/>
        <v>eads</v>
      </c>
    </row>
    <row r="21" spans="1:14" x14ac:dyDescent="0.3">
      <c r="A21" s="1" t="s">
        <v>46</v>
      </c>
      <c r="B21" s="1" t="s">
        <v>12</v>
      </c>
      <c r="C21" s="1" t="s">
        <v>18</v>
      </c>
      <c r="D21" s="1" t="s">
        <v>19</v>
      </c>
      <c r="E21" s="1">
        <v>5</v>
      </c>
      <c r="F21" s="1">
        <v>4582</v>
      </c>
      <c r="G21" s="1">
        <v>5</v>
      </c>
      <c r="H21" s="2">
        <v>46078</v>
      </c>
      <c r="I21" s="2">
        <v>46083</v>
      </c>
      <c r="J21" s="1" t="s">
        <v>15</v>
      </c>
      <c r="K21" s="1">
        <v>1020</v>
      </c>
      <c r="L21" s="1" t="str">
        <f t="shared" si="0"/>
        <v>Kir1020</v>
      </c>
      <c r="M21" s="1" t="str">
        <f t="shared" si="1"/>
        <v>Dessk</v>
      </c>
      <c r="N21" s="1" t="str">
        <f t="shared" si="2"/>
        <v>esk</v>
      </c>
    </row>
    <row r="22" spans="1:14" x14ac:dyDescent="0.3">
      <c r="A22" s="1" t="s">
        <v>48</v>
      </c>
      <c r="B22" s="1" t="s">
        <v>43</v>
      </c>
      <c r="C22" s="1" t="s">
        <v>13</v>
      </c>
      <c r="D22" s="1" t="s">
        <v>14</v>
      </c>
      <c r="E22" s="1">
        <v>3</v>
      </c>
      <c r="F22" s="1">
        <v>484</v>
      </c>
      <c r="G22" s="1">
        <v>2</v>
      </c>
      <c r="H22" s="2">
        <v>46144</v>
      </c>
      <c r="I22" s="2">
        <v>46148</v>
      </c>
      <c r="J22" s="1" t="s">
        <v>24</v>
      </c>
      <c r="K22" s="1">
        <v>1021</v>
      </c>
      <c r="L22" s="1" t="str">
        <f t="shared" si="0"/>
        <v>Nit1021</v>
      </c>
      <c r="M22" s="1" t="str">
        <f t="shared" si="1"/>
        <v>Notok</v>
      </c>
      <c r="N22" s="1" t="str">
        <f t="shared" si="2"/>
        <v>oteb</v>
      </c>
    </row>
    <row r="23" spans="1:14" x14ac:dyDescent="0.3">
      <c r="A23" s="1" t="s">
        <v>26</v>
      </c>
      <c r="B23" s="1" t="s">
        <v>17</v>
      </c>
      <c r="C23" s="1" t="s">
        <v>34</v>
      </c>
      <c r="D23" s="1" t="s">
        <v>45</v>
      </c>
      <c r="E23" s="1">
        <v>15</v>
      </c>
      <c r="F23" s="1">
        <v>11596</v>
      </c>
      <c r="G23" s="1">
        <v>0</v>
      </c>
      <c r="H23" s="2">
        <v>46117</v>
      </c>
      <c r="I23" s="2">
        <v>46121</v>
      </c>
      <c r="J23" s="1" t="s">
        <v>29</v>
      </c>
      <c r="K23" s="1">
        <v>1022</v>
      </c>
      <c r="L23" s="1" t="str">
        <f t="shared" si="0"/>
        <v>Vik1022</v>
      </c>
      <c r="M23" s="1" t="str">
        <f t="shared" si="1"/>
        <v>Monor</v>
      </c>
      <c r="N23" s="1" t="str">
        <f t="shared" si="2"/>
        <v>onit</v>
      </c>
    </row>
    <row r="24" spans="1:14" x14ac:dyDescent="0.3">
      <c r="A24" s="1" t="s">
        <v>40</v>
      </c>
      <c r="B24" s="1" t="s">
        <v>12</v>
      </c>
      <c r="C24" s="1" t="s">
        <v>18</v>
      </c>
      <c r="D24" s="1" t="s">
        <v>44</v>
      </c>
      <c r="E24" s="1">
        <v>15</v>
      </c>
      <c r="F24" s="1">
        <v>3506</v>
      </c>
      <c r="G24" s="1">
        <v>2</v>
      </c>
      <c r="H24" s="2">
        <v>46193</v>
      </c>
      <c r="I24" s="2">
        <v>46194</v>
      </c>
      <c r="J24" s="1" t="s">
        <v>29</v>
      </c>
      <c r="K24" s="1">
        <v>1023</v>
      </c>
      <c r="L24" s="1" t="str">
        <f t="shared" si="0"/>
        <v>Dee1023</v>
      </c>
      <c r="M24" s="1" t="str">
        <f t="shared" si="1"/>
        <v>Boolf</v>
      </c>
      <c r="N24" s="1" t="str">
        <f t="shared" si="2"/>
        <v>ooks</v>
      </c>
    </row>
    <row r="25" spans="1:14" x14ac:dyDescent="0.3">
      <c r="A25" s="1" t="s">
        <v>32</v>
      </c>
      <c r="B25" s="1" t="s">
        <v>38</v>
      </c>
      <c r="C25" s="1" t="s">
        <v>34</v>
      </c>
      <c r="D25" s="1" t="s">
        <v>41</v>
      </c>
      <c r="E25" s="1">
        <v>12</v>
      </c>
      <c r="F25" s="1">
        <v>1682</v>
      </c>
      <c r="G25" s="1">
        <v>5</v>
      </c>
      <c r="H25" s="2">
        <v>46161</v>
      </c>
      <c r="I25" s="2">
        <v>46165</v>
      </c>
      <c r="J25" s="1" t="s">
        <v>15</v>
      </c>
      <c r="K25" s="1">
        <v>1024</v>
      </c>
      <c r="L25" s="1" t="str">
        <f t="shared" si="0"/>
        <v>Ash1024</v>
      </c>
      <c r="M25" s="1" t="str">
        <f t="shared" si="1"/>
        <v>Heaet</v>
      </c>
      <c r="N25" s="1" t="str">
        <f t="shared" si="2"/>
        <v>eads</v>
      </c>
    </row>
    <row r="26" spans="1:14" x14ac:dyDescent="0.3">
      <c r="A26" s="1" t="s">
        <v>21</v>
      </c>
      <c r="B26" s="1" t="s">
        <v>12</v>
      </c>
      <c r="C26" s="1" t="s">
        <v>18</v>
      </c>
      <c r="D26" s="1" t="s">
        <v>19</v>
      </c>
      <c r="E26" s="1">
        <v>18</v>
      </c>
      <c r="F26" s="1">
        <v>7924</v>
      </c>
      <c r="G26" s="1">
        <v>0</v>
      </c>
      <c r="H26" s="2">
        <v>46175</v>
      </c>
      <c r="I26" s="2">
        <v>46181</v>
      </c>
      <c r="J26" s="1" t="s">
        <v>15</v>
      </c>
      <c r="K26" s="1">
        <v>1025</v>
      </c>
      <c r="L26" s="1" t="str">
        <f t="shared" si="0"/>
        <v>Mee1025</v>
      </c>
      <c r="M26" s="1" t="str">
        <f t="shared" si="1"/>
        <v>Dessk</v>
      </c>
      <c r="N26" s="1" t="str">
        <f t="shared" si="2"/>
        <v>esk</v>
      </c>
    </row>
    <row r="27" spans="1:14" x14ac:dyDescent="0.3">
      <c r="A27" s="1" t="s">
        <v>49</v>
      </c>
      <c r="B27" s="1" t="s">
        <v>31</v>
      </c>
      <c r="C27" s="1" t="s">
        <v>13</v>
      </c>
      <c r="D27" s="1" t="s">
        <v>50</v>
      </c>
      <c r="E27" s="1">
        <v>17</v>
      </c>
      <c r="F27" s="1">
        <v>323</v>
      </c>
      <c r="G27" s="1">
        <v>10</v>
      </c>
      <c r="H27" s="2">
        <v>46039</v>
      </c>
      <c r="I27" s="2">
        <v>46040</v>
      </c>
      <c r="J27" s="1" t="s">
        <v>29</v>
      </c>
      <c r="K27" s="1">
        <v>1026</v>
      </c>
      <c r="L27" s="1" t="str">
        <f t="shared" si="0"/>
        <v>Aja1026</v>
      </c>
      <c r="M27" s="1" t="str">
        <f t="shared" si="1"/>
        <v>Marer</v>
      </c>
      <c r="N27" s="1" t="str">
        <f t="shared" si="2"/>
        <v>arke</v>
      </c>
    </row>
    <row r="28" spans="1:14" x14ac:dyDescent="0.3">
      <c r="A28" s="1" t="s">
        <v>29</v>
      </c>
      <c r="B28" s="1" t="s">
        <v>43</v>
      </c>
      <c r="C28" s="1" t="s">
        <v>13</v>
      </c>
      <c r="D28" s="1" t="s">
        <v>50</v>
      </c>
      <c r="E28" s="1">
        <v>4</v>
      </c>
      <c r="F28" s="1">
        <v>264</v>
      </c>
      <c r="G28" s="1">
        <v>0</v>
      </c>
      <c r="H28" s="2">
        <v>46155</v>
      </c>
      <c r="I28" s="2">
        <v>46161</v>
      </c>
      <c r="J28" s="1" t="s">
        <v>51</v>
      </c>
      <c r="K28" s="1">
        <v>1027</v>
      </c>
      <c r="L28" s="1" t="str">
        <f t="shared" si="0"/>
        <v>Pri1027</v>
      </c>
      <c r="M28" s="1" t="str">
        <f t="shared" si="1"/>
        <v>Marer</v>
      </c>
      <c r="N28" s="1" t="str">
        <f t="shared" si="2"/>
        <v>arke</v>
      </c>
    </row>
    <row r="29" spans="1:14" x14ac:dyDescent="0.3">
      <c r="A29" s="1" t="s">
        <v>47</v>
      </c>
      <c r="B29" s="1" t="s">
        <v>22</v>
      </c>
      <c r="C29" s="1" t="s">
        <v>13</v>
      </c>
      <c r="D29" s="1" t="s">
        <v>36</v>
      </c>
      <c r="E29" s="1">
        <v>13</v>
      </c>
      <c r="F29" s="1">
        <v>433</v>
      </c>
      <c r="G29" s="1">
        <v>2</v>
      </c>
      <c r="H29" s="2">
        <v>46116</v>
      </c>
      <c r="I29" s="2">
        <v>46121</v>
      </c>
      <c r="J29" s="1" t="s">
        <v>24</v>
      </c>
      <c r="K29" s="1">
        <v>1028</v>
      </c>
      <c r="L29" s="1" t="str">
        <f t="shared" si="0"/>
        <v>Yas1028</v>
      </c>
      <c r="M29" s="1" t="str">
        <f t="shared" si="1"/>
        <v>Staer</v>
      </c>
      <c r="N29" s="1" t="str">
        <f t="shared" si="2"/>
        <v>tapl</v>
      </c>
    </row>
    <row r="30" spans="1:14" x14ac:dyDescent="0.3">
      <c r="A30" s="1" t="s">
        <v>30</v>
      </c>
      <c r="B30" s="1" t="s">
        <v>25</v>
      </c>
      <c r="C30" s="1" t="s">
        <v>13</v>
      </c>
      <c r="D30" s="1" t="s">
        <v>36</v>
      </c>
      <c r="E30" s="1">
        <v>18</v>
      </c>
      <c r="F30" s="1">
        <v>443</v>
      </c>
      <c r="G30" s="1">
        <v>5</v>
      </c>
      <c r="H30" s="2">
        <v>46046</v>
      </c>
      <c r="I30" s="2">
        <v>46054</v>
      </c>
      <c r="J30" s="1" t="s">
        <v>24</v>
      </c>
      <c r="K30" s="1">
        <v>1029</v>
      </c>
      <c r="L30" s="1" t="str">
        <f t="shared" si="0"/>
        <v>Neh1029</v>
      </c>
      <c r="M30" s="1" t="str">
        <f t="shared" si="1"/>
        <v>Staer</v>
      </c>
      <c r="N30" s="1" t="str">
        <f t="shared" si="2"/>
        <v>tapl</v>
      </c>
    </row>
    <row r="31" spans="1:14" x14ac:dyDescent="0.3">
      <c r="A31" s="1" t="s">
        <v>52</v>
      </c>
      <c r="B31" s="1" t="s">
        <v>12</v>
      </c>
      <c r="C31" s="1" t="s">
        <v>13</v>
      </c>
      <c r="D31" s="1" t="s">
        <v>53</v>
      </c>
      <c r="E31" s="1">
        <v>13</v>
      </c>
      <c r="F31" s="1">
        <v>336</v>
      </c>
      <c r="G31" s="1">
        <v>10</v>
      </c>
      <c r="H31" s="2">
        <v>46098</v>
      </c>
      <c r="I31" s="2">
        <v>46108</v>
      </c>
      <c r="J31" s="1" t="s">
        <v>15</v>
      </c>
      <c r="K31" s="1">
        <v>1030</v>
      </c>
      <c r="L31" s="1" t="str">
        <f t="shared" si="0"/>
        <v>Kom1030</v>
      </c>
      <c r="M31" s="1" t="str">
        <f t="shared" si="1"/>
        <v>Diary</v>
      </c>
      <c r="N31" s="1" t="str">
        <f t="shared" si="2"/>
        <v>iary</v>
      </c>
    </row>
    <row r="32" spans="1:14" x14ac:dyDescent="0.3">
      <c r="A32" s="1" t="s">
        <v>54</v>
      </c>
      <c r="B32" s="1" t="s">
        <v>31</v>
      </c>
      <c r="C32" s="1" t="s">
        <v>13</v>
      </c>
      <c r="D32" s="1" t="s">
        <v>53</v>
      </c>
      <c r="E32" s="1">
        <v>2</v>
      </c>
      <c r="F32" s="1">
        <v>184</v>
      </c>
      <c r="G32" s="1">
        <v>5</v>
      </c>
      <c r="H32" s="2">
        <v>46089</v>
      </c>
      <c r="I32" s="2">
        <v>46093</v>
      </c>
      <c r="J32" s="1" t="s">
        <v>20</v>
      </c>
      <c r="K32" s="1">
        <v>1031</v>
      </c>
      <c r="L32" s="1" t="str">
        <f t="shared" si="0"/>
        <v>Man1031</v>
      </c>
      <c r="M32" s="1" t="str">
        <f t="shared" si="1"/>
        <v>Diary</v>
      </c>
      <c r="N32" s="1" t="str">
        <f t="shared" si="2"/>
        <v>iary</v>
      </c>
    </row>
    <row r="33" spans="1:14" x14ac:dyDescent="0.3">
      <c r="A33" s="1" t="s">
        <v>54</v>
      </c>
      <c r="B33" s="1" t="s">
        <v>43</v>
      </c>
      <c r="C33" s="1" t="s">
        <v>34</v>
      </c>
      <c r="D33" s="1" t="s">
        <v>39</v>
      </c>
      <c r="E33" s="1">
        <v>20</v>
      </c>
      <c r="F33" s="1">
        <v>11305</v>
      </c>
      <c r="G33" s="1">
        <v>2</v>
      </c>
      <c r="H33" s="2">
        <v>46163</v>
      </c>
      <c r="I33" s="2">
        <v>46165</v>
      </c>
      <c r="J33" s="1" t="s">
        <v>29</v>
      </c>
      <c r="K33" s="1">
        <v>1032</v>
      </c>
      <c r="L33" s="1" t="str">
        <f t="shared" si="0"/>
        <v>Man1032</v>
      </c>
      <c r="M33" s="1" t="str">
        <f t="shared" si="1"/>
        <v>Keyrd</v>
      </c>
      <c r="N33" s="1" t="str">
        <f t="shared" si="2"/>
        <v>eybo</v>
      </c>
    </row>
    <row r="34" spans="1:14" x14ac:dyDescent="0.3">
      <c r="A34" s="1" t="s">
        <v>11</v>
      </c>
      <c r="B34" s="1" t="s">
        <v>43</v>
      </c>
      <c r="C34" s="1" t="s">
        <v>18</v>
      </c>
      <c r="D34" s="1" t="s">
        <v>19</v>
      </c>
      <c r="E34" s="1">
        <v>9</v>
      </c>
      <c r="F34" s="1">
        <v>4895</v>
      </c>
      <c r="G34" s="1">
        <v>2</v>
      </c>
      <c r="H34" s="2">
        <v>46082</v>
      </c>
      <c r="I34" s="2">
        <v>46084</v>
      </c>
      <c r="J34" s="1" t="s">
        <v>29</v>
      </c>
      <c r="K34" s="1">
        <v>1033</v>
      </c>
      <c r="L34" s="1" t="str">
        <f t="shared" si="0"/>
        <v>Rit1033</v>
      </c>
      <c r="M34" s="1" t="str">
        <f t="shared" si="1"/>
        <v>Dessk</v>
      </c>
      <c r="N34" s="1" t="str">
        <f t="shared" si="2"/>
        <v>esk</v>
      </c>
    </row>
    <row r="35" spans="1:14" x14ac:dyDescent="0.3">
      <c r="A35" s="1" t="s">
        <v>55</v>
      </c>
      <c r="B35" s="1" t="s">
        <v>33</v>
      </c>
      <c r="C35" s="1" t="s">
        <v>18</v>
      </c>
      <c r="D35" s="1" t="s">
        <v>28</v>
      </c>
      <c r="E35" s="1">
        <v>17</v>
      </c>
      <c r="F35" s="1">
        <v>5104</v>
      </c>
      <c r="G35" s="1">
        <v>12</v>
      </c>
      <c r="H35" s="2">
        <v>46052</v>
      </c>
      <c r="I35" s="2">
        <v>46061</v>
      </c>
      <c r="J35" s="1" t="s">
        <v>51</v>
      </c>
      <c r="K35" s="1">
        <v>1034</v>
      </c>
      <c r="L35" s="1" t="str">
        <f t="shared" si="0"/>
        <v>Sne1034</v>
      </c>
      <c r="M35" s="1" t="str">
        <f t="shared" si="1"/>
        <v>Chair</v>
      </c>
      <c r="N35" s="1" t="str">
        <f t="shared" si="2"/>
        <v>hair</v>
      </c>
    </row>
    <row r="36" spans="1:14" x14ac:dyDescent="0.3">
      <c r="A36" s="1" t="s">
        <v>49</v>
      </c>
      <c r="B36" s="1" t="s">
        <v>43</v>
      </c>
      <c r="C36" s="1" t="s">
        <v>18</v>
      </c>
      <c r="D36" s="1" t="s">
        <v>56</v>
      </c>
      <c r="E36" s="1">
        <v>3</v>
      </c>
      <c r="F36" s="1">
        <v>9149</v>
      </c>
      <c r="G36" s="1">
        <v>0</v>
      </c>
      <c r="H36" s="2">
        <v>46031</v>
      </c>
      <c r="I36" s="2">
        <v>46034</v>
      </c>
      <c r="J36" s="1" t="s">
        <v>24</v>
      </c>
      <c r="K36" s="1">
        <v>1035</v>
      </c>
      <c r="L36" s="1" t="str">
        <f t="shared" si="0"/>
        <v>Aja1035</v>
      </c>
      <c r="M36" s="1" t="str">
        <f t="shared" si="1"/>
        <v>Cabet</v>
      </c>
      <c r="N36" s="1" t="str">
        <f t="shared" si="2"/>
        <v>abin</v>
      </c>
    </row>
    <row r="37" spans="1:14" x14ac:dyDescent="0.3">
      <c r="A37" s="1" t="s">
        <v>11</v>
      </c>
      <c r="B37" s="1" t="s">
        <v>25</v>
      </c>
      <c r="C37" s="1" t="s">
        <v>13</v>
      </c>
      <c r="D37" s="1" t="s">
        <v>36</v>
      </c>
      <c r="E37" s="1">
        <v>20</v>
      </c>
      <c r="F37" s="1">
        <v>161</v>
      </c>
      <c r="G37" s="1">
        <v>7</v>
      </c>
      <c r="H37" s="2">
        <v>46071</v>
      </c>
      <c r="I37" s="2">
        <v>46077</v>
      </c>
      <c r="J37" s="1" t="s">
        <v>24</v>
      </c>
      <c r="K37" s="1">
        <v>1036</v>
      </c>
      <c r="L37" s="1" t="str">
        <f t="shared" si="0"/>
        <v>Rit1036</v>
      </c>
      <c r="M37" s="1" t="str">
        <f t="shared" si="1"/>
        <v>Staer</v>
      </c>
      <c r="N37" s="1" t="str">
        <f t="shared" si="2"/>
        <v>tapl</v>
      </c>
    </row>
    <row r="38" spans="1:14" x14ac:dyDescent="0.3">
      <c r="A38" s="1" t="s">
        <v>46</v>
      </c>
      <c r="B38" s="1" t="s">
        <v>43</v>
      </c>
      <c r="C38" s="1" t="s">
        <v>18</v>
      </c>
      <c r="D38" s="1" t="s">
        <v>56</v>
      </c>
      <c r="E38" s="1">
        <v>6</v>
      </c>
      <c r="F38" s="1">
        <v>14385</v>
      </c>
      <c r="G38" s="1">
        <v>12</v>
      </c>
      <c r="H38" s="2">
        <v>46033</v>
      </c>
      <c r="I38" s="2">
        <v>46043</v>
      </c>
      <c r="J38" s="1" t="s">
        <v>24</v>
      </c>
      <c r="K38" s="1">
        <v>1037</v>
      </c>
      <c r="L38" s="1" t="str">
        <f t="shared" si="0"/>
        <v>Kir1037</v>
      </c>
      <c r="M38" s="1" t="str">
        <f t="shared" si="1"/>
        <v>Cabet</v>
      </c>
      <c r="N38" s="1" t="str">
        <f t="shared" si="2"/>
        <v>abin</v>
      </c>
    </row>
    <row r="39" spans="1:14" x14ac:dyDescent="0.3">
      <c r="A39" s="1" t="s">
        <v>55</v>
      </c>
      <c r="B39" s="1" t="s">
        <v>17</v>
      </c>
      <c r="C39" s="1" t="s">
        <v>13</v>
      </c>
      <c r="D39" s="1" t="s">
        <v>36</v>
      </c>
      <c r="E39" s="1">
        <v>17</v>
      </c>
      <c r="F39" s="1">
        <v>223</v>
      </c>
      <c r="G39" s="1">
        <v>7</v>
      </c>
      <c r="H39" s="2">
        <v>46030</v>
      </c>
      <c r="I39" s="2">
        <v>46031</v>
      </c>
      <c r="J39" s="1" t="s">
        <v>51</v>
      </c>
      <c r="K39" s="1">
        <v>1038</v>
      </c>
      <c r="L39" s="1" t="str">
        <f t="shared" si="0"/>
        <v>Sne1038</v>
      </c>
      <c r="M39" s="1" t="str">
        <f t="shared" si="1"/>
        <v>Staer</v>
      </c>
      <c r="N39" s="1" t="str">
        <f t="shared" si="2"/>
        <v>tapl</v>
      </c>
    </row>
    <row r="40" spans="1:14" x14ac:dyDescent="0.3">
      <c r="A40" s="1" t="s">
        <v>48</v>
      </c>
      <c r="B40" s="1" t="s">
        <v>38</v>
      </c>
      <c r="C40" s="1" t="s">
        <v>34</v>
      </c>
      <c r="D40" s="1" t="s">
        <v>45</v>
      </c>
      <c r="E40" s="1">
        <v>5</v>
      </c>
      <c r="F40" s="1">
        <v>60236</v>
      </c>
      <c r="G40" s="1">
        <v>10</v>
      </c>
      <c r="H40" s="2">
        <v>46107</v>
      </c>
      <c r="I40" s="2">
        <v>46110</v>
      </c>
      <c r="J40" s="1" t="s">
        <v>20</v>
      </c>
      <c r="K40" s="1">
        <v>1039</v>
      </c>
      <c r="L40" s="1" t="str">
        <f t="shared" si="0"/>
        <v>Nit1039</v>
      </c>
      <c r="M40" s="1" t="str">
        <f t="shared" si="1"/>
        <v>Monor</v>
      </c>
      <c r="N40" s="1" t="str">
        <f t="shared" si="2"/>
        <v>onit</v>
      </c>
    </row>
    <row r="41" spans="1:14" x14ac:dyDescent="0.3">
      <c r="A41" s="1" t="s">
        <v>49</v>
      </c>
      <c r="B41" s="1" t="s">
        <v>38</v>
      </c>
      <c r="C41" s="1" t="s">
        <v>18</v>
      </c>
      <c r="D41" s="1" t="s">
        <v>28</v>
      </c>
      <c r="E41" s="1">
        <v>10</v>
      </c>
      <c r="F41" s="1">
        <v>7531</v>
      </c>
      <c r="G41" s="1">
        <v>2</v>
      </c>
      <c r="H41" s="2">
        <v>46171</v>
      </c>
      <c r="I41" s="2">
        <v>46178</v>
      </c>
      <c r="J41" s="1" t="s">
        <v>24</v>
      </c>
      <c r="K41" s="1">
        <v>1040</v>
      </c>
      <c r="L41" s="1" t="str">
        <f t="shared" si="0"/>
        <v>Aja1040</v>
      </c>
      <c r="M41" s="1" t="str">
        <f t="shared" si="1"/>
        <v>Chair</v>
      </c>
      <c r="N41" s="1" t="str">
        <f t="shared" si="2"/>
        <v>hair</v>
      </c>
    </row>
    <row r="42" spans="1:14" x14ac:dyDescent="0.3">
      <c r="A42" s="1" t="s">
        <v>54</v>
      </c>
      <c r="B42" s="1" t="s">
        <v>38</v>
      </c>
      <c r="C42" s="1" t="s">
        <v>13</v>
      </c>
      <c r="D42" s="1" t="s">
        <v>50</v>
      </c>
      <c r="E42" s="1">
        <v>9</v>
      </c>
      <c r="F42" s="1">
        <v>71</v>
      </c>
      <c r="G42" s="1">
        <v>7</v>
      </c>
      <c r="H42" s="2">
        <v>46185</v>
      </c>
      <c r="I42" s="2">
        <v>46188</v>
      </c>
      <c r="J42" s="1" t="s">
        <v>15</v>
      </c>
      <c r="K42" s="1">
        <v>1041</v>
      </c>
      <c r="L42" s="1" t="str">
        <f t="shared" si="0"/>
        <v>Man1041</v>
      </c>
      <c r="M42" s="1" t="str">
        <f t="shared" si="1"/>
        <v>Marer</v>
      </c>
      <c r="N42" s="1" t="str">
        <f t="shared" si="2"/>
        <v>arke</v>
      </c>
    </row>
    <row r="43" spans="1:14" x14ac:dyDescent="0.3">
      <c r="A43" s="1" t="s">
        <v>46</v>
      </c>
      <c r="B43" s="1" t="s">
        <v>33</v>
      </c>
      <c r="C43" s="1" t="s">
        <v>13</v>
      </c>
      <c r="D43" s="1" t="s">
        <v>53</v>
      </c>
      <c r="E43" s="1">
        <v>16</v>
      </c>
      <c r="F43" s="1">
        <v>232</v>
      </c>
      <c r="G43" s="1">
        <v>0</v>
      </c>
      <c r="H43" s="2">
        <v>46081</v>
      </c>
      <c r="I43" s="2">
        <v>46088</v>
      </c>
      <c r="J43" s="1" t="s">
        <v>29</v>
      </c>
      <c r="K43" s="1">
        <v>1042</v>
      </c>
      <c r="L43" s="1" t="str">
        <f t="shared" si="0"/>
        <v>Kir1042</v>
      </c>
      <c r="M43" s="1" t="str">
        <f t="shared" si="1"/>
        <v>Diary</v>
      </c>
      <c r="N43" s="1" t="str">
        <f t="shared" si="2"/>
        <v>iary</v>
      </c>
    </row>
    <row r="44" spans="1:14" x14ac:dyDescent="0.3">
      <c r="A44" s="1" t="s">
        <v>49</v>
      </c>
      <c r="B44" s="1" t="s">
        <v>38</v>
      </c>
      <c r="C44" s="1" t="s">
        <v>34</v>
      </c>
      <c r="D44" s="1" t="s">
        <v>35</v>
      </c>
      <c r="E44" s="1">
        <v>20</v>
      </c>
      <c r="F44" s="1">
        <v>46093</v>
      </c>
      <c r="G44" s="1">
        <v>5</v>
      </c>
      <c r="H44" s="2">
        <v>46091</v>
      </c>
      <c r="I44" s="2">
        <v>46098</v>
      </c>
      <c r="J44" s="1" t="s">
        <v>29</v>
      </c>
      <c r="K44" s="1">
        <v>1043</v>
      </c>
      <c r="L44" s="1" t="str">
        <f t="shared" si="0"/>
        <v>Aja1043</v>
      </c>
      <c r="M44" s="1" t="str">
        <f t="shared" si="1"/>
        <v>Prier</v>
      </c>
      <c r="N44" s="1" t="str">
        <f t="shared" si="2"/>
        <v>rint</v>
      </c>
    </row>
    <row r="45" spans="1:14" x14ac:dyDescent="0.3">
      <c r="A45" s="1" t="s">
        <v>48</v>
      </c>
      <c r="B45" s="1" t="s">
        <v>38</v>
      </c>
      <c r="C45" s="1" t="s">
        <v>18</v>
      </c>
      <c r="D45" s="1" t="s">
        <v>19</v>
      </c>
      <c r="E45" s="1">
        <v>4</v>
      </c>
      <c r="F45" s="1">
        <v>14731</v>
      </c>
      <c r="G45" s="1">
        <v>2</v>
      </c>
      <c r="H45" s="2">
        <v>46173</v>
      </c>
      <c r="I45" s="2">
        <v>46176</v>
      </c>
      <c r="J45" s="1" t="s">
        <v>20</v>
      </c>
      <c r="K45" s="1">
        <v>1044</v>
      </c>
      <c r="L45" s="1" t="str">
        <f t="shared" si="0"/>
        <v>Nit1044</v>
      </c>
      <c r="M45" s="1" t="str">
        <f t="shared" si="1"/>
        <v>Dessk</v>
      </c>
      <c r="N45" s="1" t="str">
        <f t="shared" si="2"/>
        <v>esk</v>
      </c>
    </row>
    <row r="46" spans="1:14" x14ac:dyDescent="0.3">
      <c r="A46" s="1" t="s">
        <v>32</v>
      </c>
      <c r="B46" s="1" t="s">
        <v>38</v>
      </c>
      <c r="C46" s="1" t="s">
        <v>34</v>
      </c>
      <c r="D46" s="1" t="s">
        <v>35</v>
      </c>
      <c r="E46" s="1">
        <v>3</v>
      </c>
      <c r="F46" s="1">
        <v>62762</v>
      </c>
      <c r="G46" s="1">
        <v>7</v>
      </c>
      <c r="H46" s="2">
        <v>46038</v>
      </c>
      <c r="I46" s="2">
        <v>46039</v>
      </c>
      <c r="J46" s="1" t="s">
        <v>29</v>
      </c>
      <c r="K46" s="1">
        <v>1045</v>
      </c>
      <c r="L46" s="1" t="str">
        <f t="shared" si="0"/>
        <v>Ash1045</v>
      </c>
      <c r="M46" s="1" t="str">
        <f t="shared" si="1"/>
        <v>Prier</v>
      </c>
      <c r="N46" s="1" t="str">
        <f t="shared" si="2"/>
        <v>rint</v>
      </c>
    </row>
    <row r="47" spans="1:14" x14ac:dyDescent="0.3">
      <c r="A47" s="1" t="s">
        <v>57</v>
      </c>
      <c r="B47" s="1" t="s">
        <v>38</v>
      </c>
      <c r="C47" s="1" t="s">
        <v>34</v>
      </c>
      <c r="D47" s="1" t="s">
        <v>45</v>
      </c>
      <c r="E47" s="1">
        <v>3</v>
      </c>
      <c r="F47" s="1">
        <v>19443</v>
      </c>
      <c r="G47" s="1">
        <v>10</v>
      </c>
      <c r="H47" s="2">
        <v>46153</v>
      </c>
      <c r="I47" s="2">
        <v>46158</v>
      </c>
      <c r="J47" s="1" t="s">
        <v>29</v>
      </c>
      <c r="K47" s="1">
        <v>1046</v>
      </c>
      <c r="L47" s="1" t="str">
        <f t="shared" si="0"/>
        <v>Sar1046</v>
      </c>
      <c r="M47" s="1" t="str">
        <f t="shared" si="1"/>
        <v>Monor</v>
      </c>
      <c r="N47" s="1" t="str">
        <f t="shared" si="2"/>
        <v>onit</v>
      </c>
    </row>
    <row r="48" spans="1:14" x14ac:dyDescent="0.3">
      <c r="A48" s="1" t="s">
        <v>58</v>
      </c>
      <c r="B48" s="1" t="s">
        <v>38</v>
      </c>
      <c r="C48" s="1" t="s">
        <v>18</v>
      </c>
      <c r="D48" s="1" t="s">
        <v>56</v>
      </c>
      <c r="E48" s="1">
        <v>11</v>
      </c>
      <c r="F48" s="1">
        <v>9976</v>
      </c>
      <c r="G48" s="1">
        <v>12</v>
      </c>
      <c r="H48" s="2">
        <v>46200</v>
      </c>
      <c r="I48" s="2">
        <v>46209</v>
      </c>
      <c r="J48" s="1" t="s">
        <v>15</v>
      </c>
      <c r="K48" s="1">
        <v>1047</v>
      </c>
      <c r="L48" s="1" t="str">
        <f t="shared" si="0"/>
        <v>Roh1047</v>
      </c>
      <c r="M48" s="1" t="str">
        <f t="shared" si="1"/>
        <v>Cabet</v>
      </c>
      <c r="N48" s="1" t="str">
        <f t="shared" si="2"/>
        <v>abin</v>
      </c>
    </row>
    <row r="49" spans="1:14" x14ac:dyDescent="0.3">
      <c r="A49" s="1" t="s">
        <v>59</v>
      </c>
      <c r="B49" s="1" t="s">
        <v>25</v>
      </c>
      <c r="C49" s="1" t="s">
        <v>34</v>
      </c>
      <c r="D49" s="1" t="s">
        <v>60</v>
      </c>
      <c r="E49" s="1">
        <v>14</v>
      </c>
      <c r="F49" s="1">
        <v>11762</v>
      </c>
      <c r="G49" s="1">
        <v>7</v>
      </c>
      <c r="H49" s="2">
        <v>46180</v>
      </c>
      <c r="I49" s="2">
        <v>46186</v>
      </c>
      <c r="J49" s="1" t="s">
        <v>24</v>
      </c>
      <c r="K49" s="1">
        <v>1048</v>
      </c>
      <c r="L49" s="1" t="str">
        <f t="shared" si="0"/>
        <v>Ani1048</v>
      </c>
      <c r="M49" s="1" t="str">
        <f t="shared" si="1"/>
        <v>Lapop</v>
      </c>
      <c r="N49" s="1" t="str">
        <f t="shared" si="2"/>
        <v>apto</v>
      </c>
    </row>
    <row r="50" spans="1:14" x14ac:dyDescent="0.3">
      <c r="A50" s="1" t="s">
        <v>52</v>
      </c>
      <c r="B50" s="1" t="s">
        <v>25</v>
      </c>
      <c r="C50" s="1" t="s">
        <v>34</v>
      </c>
      <c r="D50" s="1" t="s">
        <v>45</v>
      </c>
      <c r="E50" s="1">
        <v>2</v>
      </c>
      <c r="F50" s="1">
        <v>40789</v>
      </c>
      <c r="G50" s="1">
        <v>0</v>
      </c>
      <c r="H50" s="2">
        <v>46102</v>
      </c>
      <c r="I50" s="2">
        <v>46108</v>
      </c>
      <c r="J50" s="1" t="s">
        <v>24</v>
      </c>
      <c r="K50" s="1">
        <v>1049</v>
      </c>
      <c r="L50" s="1" t="str">
        <f t="shared" si="0"/>
        <v>Kom1049</v>
      </c>
      <c r="M50" s="1" t="str">
        <f t="shared" si="1"/>
        <v>Monor</v>
      </c>
      <c r="N50" s="1" t="str">
        <f t="shared" si="2"/>
        <v>onit</v>
      </c>
    </row>
    <row r="51" spans="1:14" x14ac:dyDescent="0.3">
      <c r="A51" s="1" t="s">
        <v>32</v>
      </c>
      <c r="B51" s="1" t="s">
        <v>25</v>
      </c>
      <c r="C51" s="1" t="s">
        <v>13</v>
      </c>
      <c r="D51" s="1" t="s">
        <v>53</v>
      </c>
      <c r="E51" s="1">
        <v>12</v>
      </c>
      <c r="F51" s="1">
        <v>360</v>
      </c>
      <c r="G51" s="1">
        <v>5</v>
      </c>
      <c r="H51" s="2">
        <v>46127</v>
      </c>
      <c r="I51" s="2">
        <v>46137</v>
      </c>
      <c r="J51" s="1" t="s">
        <v>29</v>
      </c>
      <c r="K51" s="1">
        <v>1050</v>
      </c>
      <c r="L51" s="1" t="str">
        <f t="shared" si="0"/>
        <v>Ash1050</v>
      </c>
      <c r="M51" s="1" t="str">
        <f t="shared" si="1"/>
        <v>Diary</v>
      </c>
      <c r="N51" s="1" t="str">
        <f t="shared" si="2"/>
        <v>iary</v>
      </c>
    </row>
    <row r="52" spans="1:14" x14ac:dyDescent="0.3">
      <c r="A52" s="1" t="s">
        <v>58</v>
      </c>
      <c r="B52" s="1" t="s">
        <v>17</v>
      </c>
      <c r="C52" s="1" t="s">
        <v>13</v>
      </c>
      <c r="D52" s="1" t="s">
        <v>36</v>
      </c>
      <c r="E52" s="1">
        <v>12</v>
      </c>
      <c r="F52" s="1">
        <v>47</v>
      </c>
      <c r="G52" s="1">
        <v>2</v>
      </c>
      <c r="H52" s="2">
        <v>46037</v>
      </c>
      <c r="I52" s="2">
        <v>46045</v>
      </c>
      <c r="J52" s="1" t="s">
        <v>15</v>
      </c>
      <c r="K52" s="1">
        <v>1051</v>
      </c>
      <c r="L52" s="1" t="str">
        <f t="shared" si="0"/>
        <v>Roh1051</v>
      </c>
      <c r="M52" s="1" t="str">
        <f t="shared" si="1"/>
        <v>Staer</v>
      </c>
      <c r="N52" s="1" t="str">
        <f t="shared" si="2"/>
        <v>tapl</v>
      </c>
    </row>
    <row r="53" spans="1:14" x14ac:dyDescent="0.3">
      <c r="A53" s="1" t="s">
        <v>55</v>
      </c>
      <c r="B53" s="1" t="s">
        <v>12</v>
      </c>
      <c r="C53" s="1" t="s">
        <v>13</v>
      </c>
      <c r="D53" s="1" t="s">
        <v>14</v>
      </c>
      <c r="E53" s="1">
        <v>17</v>
      </c>
      <c r="F53" s="1">
        <v>172</v>
      </c>
      <c r="G53" s="1">
        <v>10</v>
      </c>
      <c r="H53" s="2">
        <v>46159</v>
      </c>
      <c r="I53" s="2">
        <v>46165</v>
      </c>
      <c r="J53" s="1" t="s">
        <v>20</v>
      </c>
      <c r="K53" s="1">
        <v>1052</v>
      </c>
      <c r="L53" s="1" t="str">
        <f t="shared" si="0"/>
        <v>Sne1052</v>
      </c>
      <c r="M53" s="1" t="str">
        <f t="shared" si="1"/>
        <v>Notok</v>
      </c>
      <c r="N53" s="1" t="str">
        <f t="shared" si="2"/>
        <v>oteb</v>
      </c>
    </row>
    <row r="54" spans="1:14" x14ac:dyDescent="0.3">
      <c r="A54" s="1" t="s">
        <v>16</v>
      </c>
      <c r="B54" s="1" t="s">
        <v>33</v>
      </c>
      <c r="C54" s="1" t="s">
        <v>18</v>
      </c>
      <c r="D54" s="1" t="s">
        <v>28</v>
      </c>
      <c r="E54" s="1">
        <v>1</v>
      </c>
      <c r="F54" s="1">
        <v>9749</v>
      </c>
      <c r="G54" s="1">
        <v>15</v>
      </c>
      <c r="H54" s="2">
        <v>46064</v>
      </c>
      <c r="I54" s="2">
        <v>46070</v>
      </c>
      <c r="J54" s="1" t="s">
        <v>24</v>
      </c>
      <c r="K54" s="1">
        <v>1053</v>
      </c>
      <c r="L54" s="1" t="str">
        <f t="shared" si="0"/>
        <v>Poo1053</v>
      </c>
      <c r="M54" s="1" t="str">
        <f t="shared" si="1"/>
        <v>Chair</v>
      </c>
      <c r="N54" s="1" t="str">
        <f t="shared" si="2"/>
        <v>hair</v>
      </c>
    </row>
    <row r="55" spans="1:14" x14ac:dyDescent="0.3">
      <c r="A55" s="1" t="s">
        <v>26</v>
      </c>
      <c r="B55" s="1" t="s">
        <v>25</v>
      </c>
      <c r="C55" s="1" t="s">
        <v>18</v>
      </c>
      <c r="D55" s="1" t="s">
        <v>23</v>
      </c>
      <c r="E55" s="1">
        <v>8</v>
      </c>
      <c r="F55" s="1">
        <v>9798</v>
      </c>
      <c r="G55" s="1">
        <v>12</v>
      </c>
      <c r="H55" s="2">
        <v>46200</v>
      </c>
      <c r="I55" s="2">
        <v>46201</v>
      </c>
      <c r="J55" s="1" t="s">
        <v>51</v>
      </c>
      <c r="K55" s="1">
        <v>1054</v>
      </c>
      <c r="L55" s="1" t="str">
        <f t="shared" si="0"/>
        <v>Vik1054</v>
      </c>
      <c r="M55" s="1" t="str">
        <f t="shared" si="1"/>
        <v>Table</v>
      </c>
      <c r="N55" s="1" t="str">
        <f t="shared" si="2"/>
        <v>able</v>
      </c>
    </row>
    <row r="56" spans="1:14" x14ac:dyDescent="0.3">
      <c r="A56" s="1" t="s">
        <v>48</v>
      </c>
      <c r="B56" s="1" t="s">
        <v>12</v>
      </c>
      <c r="C56" s="1" t="s">
        <v>13</v>
      </c>
      <c r="D56" s="1" t="s">
        <v>37</v>
      </c>
      <c r="E56" s="1">
        <v>18</v>
      </c>
      <c r="F56" s="1">
        <v>185</v>
      </c>
      <c r="G56" s="1">
        <v>15</v>
      </c>
      <c r="H56" s="2">
        <v>46077</v>
      </c>
      <c r="I56" s="2">
        <v>46078</v>
      </c>
      <c r="J56" s="1" t="s">
        <v>15</v>
      </c>
      <c r="K56" s="1">
        <v>1055</v>
      </c>
      <c r="L56" s="1" t="str">
        <f t="shared" si="0"/>
        <v>Nit1055</v>
      </c>
      <c r="M56" s="1" t="str">
        <f t="shared" si="1"/>
        <v>Penck</v>
      </c>
      <c r="N56" s="1" t="str">
        <f t="shared" si="2"/>
        <v>en P</v>
      </c>
    </row>
    <row r="57" spans="1:14" x14ac:dyDescent="0.3">
      <c r="A57" s="1" t="s">
        <v>11</v>
      </c>
      <c r="B57" s="1" t="s">
        <v>22</v>
      </c>
      <c r="C57" s="1" t="s">
        <v>18</v>
      </c>
      <c r="D57" s="1" t="s">
        <v>19</v>
      </c>
      <c r="E57" s="1">
        <v>3</v>
      </c>
      <c r="F57" s="1">
        <v>9771</v>
      </c>
      <c r="G57" s="1">
        <v>5</v>
      </c>
      <c r="H57" s="2">
        <v>46133</v>
      </c>
      <c r="I57" s="2">
        <v>46139</v>
      </c>
      <c r="J57" s="1" t="s">
        <v>24</v>
      </c>
      <c r="K57" s="1">
        <v>1056</v>
      </c>
      <c r="L57" s="1" t="str">
        <f t="shared" si="0"/>
        <v>Rit1056</v>
      </c>
      <c r="M57" s="1" t="str">
        <f t="shared" si="1"/>
        <v>Dessk</v>
      </c>
      <c r="N57" s="1" t="str">
        <f t="shared" si="2"/>
        <v>esk</v>
      </c>
    </row>
    <row r="58" spans="1:14" x14ac:dyDescent="0.3">
      <c r="A58" s="1" t="s">
        <v>59</v>
      </c>
      <c r="B58" s="1" t="s">
        <v>22</v>
      </c>
      <c r="C58" s="1" t="s">
        <v>18</v>
      </c>
      <c r="D58" s="1" t="s">
        <v>28</v>
      </c>
      <c r="E58" s="1">
        <v>2</v>
      </c>
      <c r="F58" s="1">
        <v>9531</v>
      </c>
      <c r="G58" s="1">
        <v>15</v>
      </c>
      <c r="H58" s="2">
        <v>46067</v>
      </c>
      <c r="I58" s="2">
        <v>46076</v>
      </c>
      <c r="J58" s="1" t="s">
        <v>51</v>
      </c>
      <c r="K58" s="1">
        <v>1057</v>
      </c>
      <c r="L58" s="1" t="str">
        <f t="shared" si="0"/>
        <v>Ani1057</v>
      </c>
      <c r="M58" s="1" t="str">
        <f t="shared" si="1"/>
        <v>Chair</v>
      </c>
      <c r="N58" s="1" t="str">
        <f t="shared" si="2"/>
        <v>hair</v>
      </c>
    </row>
    <row r="59" spans="1:14" x14ac:dyDescent="0.3">
      <c r="A59" s="1" t="s">
        <v>52</v>
      </c>
      <c r="B59" s="1" t="s">
        <v>38</v>
      </c>
      <c r="C59" s="1" t="s">
        <v>18</v>
      </c>
      <c r="D59" s="1" t="s">
        <v>28</v>
      </c>
      <c r="E59" s="1">
        <v>10</v>
      </c>
      <c r="F59" s="1">
        <v>5532</v>
      </c>
      <c r="G59" s="1">
        <v>7</v>
      </c>
      <c r="H59" s="2">
        <v>46074</v>
      </c>
      <c r="I59" s="2">
        <v>46084</v>
      </c>
      <c r="J59" s="1" t="s">
        <v>24</v>
      </c>
      <c r="K59" s="1">
        <v>1058</v>
      </c>
      <c r="L59" s="1" t="str">
        <f t="shared" si="0"/>
        <v>Kom1058</v>
      </c>
      <c r="M59" s="1" t="str">
        <f t="shared" si="1"/>
        <v>Chair</v>
      </c>
      <c r="N59" s="1" t="str">
        <f t="shared" si="2"/>
        <v>hair</v>
      </c>
    </row>
    <row r="60" spans="1:14" x14ac:dyDescent="0.3">
      <c r="A60" s="1" t="s">
        <v>54</v>
      </c>
      <c r="B60" s="1" t="s">
        <v>25</v>
      </c>
      <c r="C60" s="1" t="s">
        <v>13</v>
      </c>
      <c r="D60" s="1" t="s">
        <v>50</v>
      </c>
      <c r="E60" s="1">
        <v>20</v>
      </c>
      <c r="F60" s="1">
        <v>112</v>
      </c>
      <c r="G60" s="1">
        <v>10</v>
      </c>
      <c r="H60" s="2">
        <v>46113</v>
      </c>
      <c r="I60" s="2">
        <v>46122</v>
      </c>
      <c r="J60" s="1" t="s">
        <v>51</v>
      </c>
      <c r="K60" s="1">
        <v>1059</v>
      </c>
      <c r="L60" s="1" t="str">
        <f t="shared" si="0"/>
        <v>Man1059</v>
      </c>
      <c r="M60" s="1" t="str">
        <f t="shared" si="1"/>
        <v>Marer</v>
      </c>
      <c r="N60" s="1" t="str">
        <f t="shared" si="2"/>
        <v>arke</v>
      </c>
    </row>
    <row r="61" spans="1:14" x14ac:dyDescent="0.3">
      <c r="A61" s="1" t="s">
        <v>49</v>
      </c>
      <c r="B61" s="1" t="s">
        <v>12</v>
      </c>
      <c r="C61" s="1" t="s">
        <v>18</v>
      </c>
      <c r="D61" s="1" t="s">
        <v>44</v>
      </c>
      <c r="E61" s="1">
        <v>9</v>
      </c>
      <c r="F61" s="1">
        <v>9727</v>
      </c>
      <c r="G61" s="1">
        <v>2</v>
      </c>
      <c r="H61" s="2">
        <v>46024</v>
      </c>
      <c r="I61" s="2">
        <v>46030</v>
      </c>
      <c r="J61" s="1" t="s">
        <v>20</v>
      </c>
      <c r="K61" s="1">
        <v>1060</v>
      </c>
      <c r="L61" s="1" t="str">
        <f t="shared" si="0"/>
        <v>Aja1060</v>
      </c>
      <c r="M61" s="1" t="str">
        <f t="shared" si="1"/>
        <v>Boolf</v>
      </c>
      <c r="N61" s="1" t="str">
        <f t="shared" si="2"/>
        <v>ooks</v>
      </c>
    </row>
    <row r="62" spans="1:14" x14ac:dyDescent="0.3">
      <c r="A62" s="1" t="s">
        <v>57</v>
      </c>
      <c r="B62" s="1" t="s">
        <v>12</v>
      </c>
      <c r="C62" s="1" t="s">
        <v>34</v>
      </c>
      <c r="D62" s="1" t="s">
        <v>41</v>
      </c>
      <c r="E62" s="1">
        <v>16</v>
      </c>
      <c r="F62" s="1">
        <v>59084</v>
      </c>
      <c r="G62" s="1">
        <v>0</v>
      </c>
      <c r="H62" s="2">
        <v>46060</v>
      </c>
      <c r="I62" s="2">
        <v>46069</v>
      </c>
      <c r="J62" s="1" t="s">
        <v>20</v>
      </c>
      <c r="K62" s="1">
        <v>1061</v>
      </c>
      <c r="L62" s="1" t="str">
        <f t="shared" si="0"/>
        <v>Sar1061</v>
      </c>
      <c r="M62" s="1" t="str">
        <f t="shared" si="1"/>
        <v>Heaet</v>
      </c>
      <c r="N62" s="1" t="str">
        <f t="shared" si="2"/>
        <v>eads</v>
      </c>
    </row>
    <row r="63" spans="1:14" x14ac:dyDescent="0.3">
      <c r="A63" s="1" t="s">
        <v>40</v>
      </c>
      <c r="B63" s="1" t="s">
        <v>43</v>
      </c>
      <c r="C63" s="1" t="s">
        <v>18</v>
      </c>
      <c r="D63" s="1" t="s">
        <v>23</v>
      </c>
      <c r="E63" s="1">
        <v>8</v>
      </c>
      <c r="F63" s="1">
        <v>8360</v>
      </c>
      <c r="G63" s="1">
        <v>2</v>
      </c>
      <c r="H63" s="2">
        <v>46190</v>
      </c>
      <c r="I63" s="2">
        <v>46200</v>
      </c>
      <c r="J63" s="1" t="s">
        <v>51</v>
      </c>
      <c r="K63" s="1">
        <v>1062</v>
      </c>
      <c r="L63" s="1" t="str">
        <f t="shared" si="0"/>
        <v>Dee1062</v>
      </c>
      <c r="M63" s="1" t="str">
        <f t="shared" si="1"/>
        <v>Table</v>
      </c>
      <c r="N63" s="1" t="str">
        <f t="shared" si="2"/>
        <v>able</v>
      </c>
    </row>
    <row r="64" spans="1:14" x14ac:dyDescent="0.3">
      <c r="A64" s="1" t="s">
        <v>54</v>
      </c>
      <c r="B64" s="1" t="s">
        <v>22</v>
      </c>
      <c r="C64" s="1" t="s">
        <v>34</v>
      </c>
      <c r="D64" s="1" t="s">
        <v>45</v>
      </c>
      <c r="E64" s="1">
        <v>7</v>
      </c>
      <c r="F64" s="1">
        <v>66744</v>
      </c>
      <c r="G64" s="1">
        <v>7</v>
      </c>
      <c r="H64" s="2">
        <v>46148</v>
      </c>
      <c r="I64" s="2">
        <v>46155</v>
      </c>
      <c r="J64" s="1" t="s">
        <v>15</v>
      </c>
      <c r="K64" s="1">
        <v>1063</v>
      </c>
      <c r="L64" s="1" t="str">
        <f t="shared" si="0"/>
        <v>Man1063</v>
      </c>
      <c r="M64" s="1" t="str">
        <f t="shared" si="1"/>
        <v>Monor</v>
      </c>
      <c r="N64" s="1" t="str">
        <f t="shared" si="2"/>
        <v>onit</v>
      </c>
    </row>
    <row r="65" spans="1:14" x14ac:dyDescent="0.3">
      <c r="A65" s="1" t="s">
        <v>26</v>
      </c>
      <c r="B65" s="1" t="s">
        <v>17</v>
      </c>
      <c r="C65" s="1" t="s">
        <v>13</v>
      </c>
      <c r="D65" s="1" t="s">
        <v>50</v>
      </c>
      <c r="E65" s="1">
        <v>20</v>
      </c>
      <c r="F65" s="1">
        <v>191</v>
      </c>
      <c r="G65" s="1">
        <v>7</v>
      </c>
      <c r="H65" s="2">
        <v>46185</v>
      </c>
      <c r="I65" s="2">
        <v>46195</v>
      </c>
      <c r="J65" s="1" t="s">
        <v>29</v>
      </c>
      <c r="K65" s="1">
        <v>1064</v>
      </c>
      <c r="L65" s="1" t="str">
        <f t="shared" si="0"/>
        <v>Vik1064</v>
      </c>
      <c r="M65" s="1" t="str">
        <f t="shared" si="1"/>
        <v>Marer</v>
      </c>
      <c r="N65" s="1" t="str">
        <f t="shared" si="2"/>
        <v>arke</v>
      </c>
    </row>
    <row r="66" spans="1:14" x14ac:dyDescent="0.3">
      <c r="A66" s="1" t="s">
        <v>42</v>
      </c>
      <c r="B66" s="1" t="s">
        <v>43</v>
      </c>
      <c r="C66" s="1" t="s">
        <v>18</v>
      </c>
      <c r="D66" s="1" t="s">
        <v>44</v>
      </c>
      <c r="E66" s="1">
        <v>1</v>
      </c>
      <c r="F66" s="1">
        <v>7730</v>
      </c>
      <c r="G66" s="1">
        <v>5</v>
      </c>
      <c r="H66" s="2">
        <v>46192</v>
      </c>
      <c r="I66" s="2">
        <v>46195</v>
      </c>
      <c r="J66" s="1" t="s">
        <v>51</v>
      </c>
      <c r="K66" s="1">
        <v>1065</v>
      </c>
      <c r="L66" s="1" t="str">
        <f t="shared" si="0"/>
        <v>Nis1065</v>
      </c>
      <c r="M66" s="1" t="str">
        <f t="shared" si="1"/>
        <v>Boolf</v>
      </c>
      <c r="N66" s="1" t="str">
        <f t="shared" si="2"/>
        <v>ooks</v>
      </c>
    </row>
    <row r="67" spans="1:14" x14ac:dyDescent="0.3">
      <c r="A67" s="1" t="s">
        <v>47</v>
      </c>
      <c r="B67" s="1" t="s">
        <v>25</v>
      </c>
      <c r="C67" s="1" t="s">
        <v>18</v>
      </c>
      <c r="D67" s="1" t="s">
        <v>44</v>
      </c>
      <c r="E67" s="1">
        <v>15</v>
      </c>
      <c r="F67" s="1">
        <v>11987</v>
      </c>
      <c r="G67" s="1">
        <v>5</v>
      </c>
      <c r="H67" s="2">
        <v>46082</v>
      </c>
      <c r="I67" s="2">
        <v>46083</v>
      </c>
      <c r="J67" s="1" t="s">
        <v>15</v>
      </c>
      <c r="K67" s="1">
        <v>1066</v>
      </c>
      <c r="L67" s="1" t="str">
        <f t="shared" si="0"/>
        <v>Yas1066</v>
      </c>
      <c r="M67" s="1" t="str">
        <f t="shared" si="1"/>
        <v>Boolf</v>
      </c>
      <c r="N67" s="1" t="str">
        <f t="shared" si="2"/>
        <v>ooks</v>
      </c>
    </row>
    <row r="68" spans="1:14" x14ac:dyDescent="0.3">
      <c r="A68" s="1" t="s">
        <v>32</v>
      </c>
      <c r="B68" s="1" t="s">
        <v>43</v>
      </c>
      <c r="C68" s="1" t="s">
        <v>18</v>
      </c>
      <c r="D68" s="1" t="s">
        <v>56</v>
      </c>
      <c r="E68" s="1">
        <v>14</v>
      </c>
      <c r="F68" s="1">
        <v>10869</v>
      </c>
      <c r="G68" s="1">
        <v>0</v>
      </c>
      <c r="H68" s="2">
        <v>46058</v>
      </c>
      <c r="I68" s="2">
        <v>46062</v>
      </c>
      <c r="J68" s="1" t="s">
        <v>29</v>
      </c>
      <c r="K68" s="1">
        <v>1067</v>
      </c>
      <c r="L68" s="1" t="str">
        <f t="shared" si="0"/>
        <v>Ash1067</v>
      </c>
      <c r="M68" s="1" t="str">
        <f t="shared" si="1"/>
        <v>Cabet</v>
      </c>
      <c r="N68" s="1" t="str">
        <f t="shared" si="2"/>
        <v>abin</v>
      </c>
    </row>
    <row r="69" spans="1:14" x14ac:dyDescent="0.3">
      <c r="A69" s="1" t="s">
        <v>52</v>
      </c>
      <c r="B69" s="1" t="s">
        <v>43</v>
      </c>
      <c r="C69" s="1" t="s">
        <v>34</v>
      </c>
      <c r="D69" s="1" t="s">
        <v>60</v>
      </c>
      <c r="E69" s="1">
        <v>15</v>
      </c>
      <c r="F69" s="1">
        <v>14534</v>
      </c>
      <c r="G69" s="1">
        <v>5</v>
      </c>
      <c r="H69" s="2">
        <v>46196</v>
      </c>
      <c r="I69" s="2">
        <v>46199</v>
      </c>
      <c r="J69" s="1" t="s">
        <v>29</v>
      </c>
      <c r="K69" s="1">
        <v>1068</v>
      </c>
      <c r="L69" s="1" t="str">
        <f t="shared" si="0"/>
        <v>Kom1068</v>
      </c>
      <c r="M69" s="1" t="str">
        <f t="shared" si="1"/>
        <v>Lapop</v>
      </c>
      <c r="N69" s="1" t="str">
        <f t="shared" si="2"/>
        <v>apto</v>
      </c>
    </row>
    <row r="70" spans="1:14" x14ac:dyDescent="0.3">
      <c r="A70" s="1" t="s">
        <v>52</v>
      </c>
      <c r="B70" s="1" t="s">
        <v>31</v>
      </c>
      <c r="C70" s="1" t="s">
        <v>18</v>
      </c>
      <c r="D70" s="1" t="s">
        <v>28</v>
      </c>
      <c r="E70" s="1">
        <v>9</v>
      </c>
      <c r="F70" s="1">
        <v>4415</v>
      </c>
      <c r="G70" s="1">
        <v>5</v>
      </c>
      <c r="H70" s="2">
        <v>46039</v>
      </c>
      <c r="I70" s="2">
        <v>46046</v>
      </c>
      <c r="J70" s="1" t="s">
        <v>15</v>
      </c>
      <c r="K70" s="1">
        <v>1069</v>
      </c>
      <c r="L70" s="1" t="str">
        <f t="shared" si="0"/>
        <v>Kom1069</v>
      </c>
      <c r="M70" s="1" t="str">
        <f t="shared" si="1"/>
        <v>Chair</v>
      </c>
      <c r="N70" s="1" t="str">
        <f t="shared" si="2"/>
        <v>hair</v>
      </c>
    </row>
    <row r="71" spans="1:14" x14ac:dyDescent="0.3">
      <c r="A71" s="1" t="s">
        <v>52</v>
      </c>
      <c r="B71" s="1" t="s">
        <v>43</v>
      </c>
      <c r="C71" s="1" t="s">
        <v>13</v>
      </c>
      <c r="D71" s="1" t="s">
        <v>36</v>
      </c>
      <c r="E71" s="1">
        <v>10</v>
      </c>
      <c r="F71" s="1">
        <v>233</v>
      </c>
      <c r="G71" s="1">
        <v>7</v>
      </c>
      <c r="H71" s="2">
        <v>46076</v>
      </c>
      <c r="I71" s="2">
        <v>46077</v>
      </c>
      <c r="J71" s="1" t="s">
        <v>29</v>
      </c>
      <c r="K71" s="1">
        <v>1070</v>
      </c>
      <c r="L71" s="1" t="str">
        <f t="shared" si="0"/>
        <v>Kom1070</v>
      </c>
      <c r="M71" s="1" t="str">
        <f t="shared" si="1"/>
        <v>Staer</v>
      </c>
      <c r="N71" s="1" t="str">
        <f t="shared" si="2"/>
        <v>tapl</v>
      </c>
    </row>
    <row r="72" spans="1:14" x14ac:dyDescent="0.3">
      <c r="A72" s="1" t="s">
        <v>59</v>
      </c>
      <c r="B72" s="1" t="s">
        <v>22</v>
      </c>
      <c r="C72" s="1" t="s">
        <v>34</v>
      </c>
      <c r="D72" s="1" t="s">
        <v>61</v>
      </c>
      <c r="E72" s="1">
        <v>18</v>
      </c>
      <c r="F72" s="1">
        <v>32197</v>
      </c>
      <c r="G72" s="1">
        <v>5</v>
      </c>
      <c r="H72" s="2">
        <v>46129</v>
      </c>
      <c r="I72" s="2">
        <v>46137</v>
      </c>
      <c r="J72" s="1" t="s">
        <v>20</v>
      </c>
      <c r="K72" s="1">
        <v>1071</v>
      </c>
      <c r="L72" s="1" t="str">
        <f t="shared" si="0"/>
        <v>Ani1071</v>
      </c>
      <c r="M72" s="1" t="str">
        <f t="shared" si="1"/>
        <v>Mouse</v>
      </c>
      <c r="N72" s="1" t="str">
        <f t="shared" si="2"/>
        <v>ouse</v>
      </c>
    </row>
    <row r="73" spans="1:14" x14ac:dyDescent="0.3">
      <c r="A73" s="1" t="s">
        <v>16</v>
      </c>
      <c r="B73" s="1" t="s">
        <v>25</v>
      </c>
      <c r="C73" s="1" t="s">
        <v>34</v>
      </c>
      <c r="D73" s="1" t="s">
        <v>61</v>
      </c>
      <c r="E73" s="1">
        <v>20</v>
      </c>
      <c r="F73" s="1">
        <v>58779</v>
      </c>
      <c r="G73" s="1">
        <v>0</v>
      </c>
      <c r="H73" s="2">
        <v>46035</v>
      </c>
      <c r="I73" s="2">
        <v>46036</v>
      </c>
      <c r="J73" s="1" t="s">
        <v>24</v>
      </c>
      <c r="K73" s="1">
        <v>1072</v>
      </c>
      <c r="L73" s="1" t="str">
        <f t="shared" si="0"/>
        <v>Poo1072</v>
      </c>
      <c r="M73" s="1" t="str">
        <f t="shared" si="1"/>
        <v>Mouse</v>
      </c>
      <c r="N73" s="1" t="str">
        <f t="shared" si="2"/>
        <v>ouse</v>
      </c>
    </row>
    <row r="74" spans="1:14" x14ac:dyDescent="0.3">
      <c r="A74" s="1" t="s">
        <v>58</v>
      </c>
      <c r="B74" s="1" t="s">
        <v>17</v>
      </c>
      <c r="C74" s="1" t="s">
        <v>18</v>
      </c>
      <c r="D74" s="1" t="s">
        <v>56</v>
      </c>
      <c r="E74" s="1">
        <v>4</v>
      </c>
      <c r="F74" s="1">
        <v>2453</v>
      </c>
      <c r="G74" s="1">
        <v>7</v>
      </c>
      <c r="H74" s="2">
        <v>46126</v>
      </c>
      <c r="I74" s="2">
        <v>46129</v>
      </c>
      <c r="J74" s="1" t="s">
        <v>51</v>
      </c>
      <c r="K74" s="1">
        <v>1073</v>
      </c>
      <c r="L74" s="1" t="str">
        <f t="shared" si="0"/>
        <v>Roh1073</v>
      </c>
      <c r="M74" s="1" t="str">
        <f t="shared" si="1"/>
        <v>Cabet</v>
      </c>
      <c r="N74" s="1" t="str">
        <f t="shared" si="2"/>
        <v>abin</v>
      </c>
    </row>
    <row r="75" spans="1:14" x14ac:dyDescent="0.3">
      <c r="A75" s="1" t="s">
        <v>26</v>
      </c>
      <c r="B75" s="1" t="s">
        <v>31</v>
      </c>
      <c r="C75" s="1" t="s">
        <v>13</v>
      </c>
      <c r="D75" s="1" t="s">
        <v>50</v>
      </c>
      <c r="E75" s="1">
        <v>11</v>
      </c>
      <c r="F75" s="1">
        <v>390</v>
      </c>
      <c r="G75" s="1">
        <v>15</v>
      </c>
      <c r="H75" s="2">
        <v>46114</v>
      </c>
      <c r="I75" s="2">
        <v>46123</v>
      </c>
      <c r="J75" s="1" t="s">
        <v>29</v>
      </c>
      <c r="K75" s="1">
        <v>1074</v>
      </c>
      <c r="L75" s="1" t="str">
        <f t="shared" si="0"/>
        <v>Vik1074</v>
      </c>
      <c r="M75" s="1" t="str">
        <f t="shared" si="1"/>
        <v>Marer</v>
      </c>
      <c r="N75" s="1" t="str">
        <f t="shared" si="2"/>
        <v>arke</v>
      </c>
    </row>
    <row r="76" spans="1:14" x14ac:dyDescent="0.3">
      <c r="A76" s="1" t="s">
        <v>42</v>
      </c>
      <c r="B76" s="1" t="s">
        <v>43</v>
      </c>
      <c r="C76" s="1" t="s">
        <v>34</v>
      </c>
      <c r="D76" s="1" t="s">
        <v>61</v>
      </c>
      <c r="E76" s="1">
        <v>4</v>
      </c>
      <c r="F76" s="1">
        <v>64773</v>
      </c>
      <c r="G76" s="1">
        <v>10</v>
      </c>
      <c r="H76" s="2">
        <v>46185</v>
      </c>
      <c r="I76" s="2">
        <v>46186</v>
      </c>
      <c r="J76" s="1" t="s">
        <v>51</v>
      </c>
      <c r="K76" s="1">
        <v>1075</v>
      </c>
      <c r="L76" s="1" t="str">
        <f t="shared" si="0"/>
        <v>Nis1075</v>
      </c>
      <c r="M76" s="1" t="str">
        <f t="shared" si="1"/>
        <v>Mouse</v>
      </c>
      <c r="N76" s="1" t="str">
        <f t="shared" si="2"/>
        <v>ouse</v>
      </c>
    </row>
    <row r="77" spans="1:14" x14ac:dyDescent="0.3">
      <c r="A77" s="1" t="s">
        <v>29</v>
      </c>
      <c r="B77" s="1" t="s">
        <v>17</v>
      </c>
      <c r="C77" s="1" t="s">
        <v>34</v>
      </c>
      <c r="D77" s="1" t="s">
        <v>35</v>
      </c>
      <c r="E77" s="1">
        <v>19</v>
      </c>
      <c r="F77" s="1">
        <v>26714</v>
      </c>
      <c r="G77" s="1">
        <v>5</v>
      </c>
      <c r="H77" s="2">
        <v>46045</v>
      </c>
      <c r="I77" s="2">
        <v>46055</v>
      </c>
      <c r="J77" s="1" t="s">
        <v>29</v>
      </c>
      <c r="K77" s="1">
        <v>1076</v>
      </c>
      <c r="L77" s="1" t="str">
        <f t="shared" si="0"/>
        <v>Pri1076</v>
      </c>
      <c r="M77" s="1" t="str">
        <f t="shared" si="1"/>
        <v>Prier</v>
      </c>
      <c r="N77" s="1" t="str">
        <f t="shared" si="2"/>
        <v>rint</v>
      </c>
    </row>
    <row r="78" spans="1:14" x14ac:dyDescent="0.3">
      <c r="A78" s="1" t="s">
        <v>55</v>
      </c>
      <c r="B78" s="1" t="s">
        <v>25</v>
      </c>
      <c r="C78" s="1" t="s">
        <v>13</v>
      </c>
      <c r="D78" s="1" t="s">
        <v>14</v>
      </c>
      <c r="E78" s="1">
        <v>1</v>
      </c>
      <c r="F78" s="1">
        <v>123</v>
      </c>
      <c r="G78" s="1">
        <v>10</v>
      </c>
      <c r="H78" s="2">
        <v>46113</v>
      </c>
      <c r="I78" s="2">
        <v>46121</v>
      </c>
      <c r="J78" s="1" t="s">
        <v>51</v>
      </c>
      <c r="K78" s="1">
        <v>1077</v>
      </c>
      <c r="L78" s="1" t="str">
        <f t="shared" si="0"/>
        <v>Sne1077</v>
      </c>
      <c r="M78" s="1" t="str">
        <f t="shared" si="1"/>
        <v>Notok</v>
      </c>
      <c r="N78" s="1" t="str">
        <f t="shared" si="2"/>
        <v>oteb</v>
      </c>
    </row>
    <row r="79" spans="1:14" x14ac:dyDescent="0.3">
      <c r="A79" s="1" t="s">
        <v>52</v>
      </c>
      <c r="B79" s="1" t="s">
        <v>17</v>
      </c>
      <c r="C79" s="1" t="s">
        <v>34</v>
      </c>
      <c r="D79" s="1" t="s">
        <v>39</v>
      </c>
      <c r="E79" s="1">
        <v>11</v>
      </c>
      <c r="F79" s="1">
        <v>24278</v>
      </c>
      <c r="G79" s="1">
        <v>12</v>
      </c>
      <c r="H79" s="2">
        <v>46084</v>
      </c>
      <c r="I79" s="2">
        <v>46090</v>
      </c>
      <c r="J79" s="1" t="s">
        <v>29</v>
      </c>
      <c r="K79" s="1">
        <v>1078</v>
      </c>
      <c r="L79" s="1" t="str">
        <f t="shared" si="0"/>
        <v>Kom1078</v>
      </c>
      <c r="M79" s="1" t="str">
        <f t="shared" si="1"/>
        <v>Keyrd</v>
      </c>
      <c r="N79" s="1" t="str">
        <f t="shared" si="2"/>
        <v>eybo</v>
      </c>
    </row>
    <row r="80" spans="1:14" x14ac:dyDescent="0.3">
      <c r="A80" s="1" t="s">
        <v>26</v>
      </c>
      <c r="B80" s="1" t="s">
        <v>38</v>
      </c>
      <c r="C80" s="1" t="s">
        <v>34</v>
      </c>
      <c r="D80" s="1" t="s">
        <v>41</v>
      </c>
      <c r="E80" s="1">
        <v>19</v>
      </c>
      <c r="F80" s="1">
        <v>48956</v>
      </c>
      <c r="G80" s="1">
        <v>12</v>
      </c>
      <c r="H80" s="2">
        <v>46170</v>
      </c>
      <c r="I80" s="2">
        <v>46177</v>
      </c>
      <c r="J80" s="1" t="s">
        <v>51</v>
      </c>
      <c r="K80" s="1">
        <v>1079</v>
      </c>
      <c r="L80" s="1" t="str">
        <f t="shared" si="0"/>
        <v>Vik1079</v>
      </c>
      <c r="M80" s="1" t="str">
        <f t="shared" si="1"/>
        <v>Heaet</v>
      </c>
      <c r="N80" s="1" t="str">
        <f t="shared" si="2"/>
        <v>eads</v>
      </c>
    </row>
    <row r="81" spans="1:14" x14ac:dyDescent="0.3">
      <c r="A81" s="1" t="s">
        <v>21</v>
      </c>
      <c r="B81" s="1" t="s">
        <v>22</v>
      </c>
      <c r="C81" s="1" t="s">
        <v>34</v>
      </c>
      <c r="D81" s="1" t="s">
        <v>41</v>
      </c>
      <c r="E81" s="1">
        <v>12</v>
      </c>
      <c r="F81" s="1">
        <v>54161</v>
      </c>
      <c r="G81" s="1">
        <v>15</v>
      </c>
      <c r="H81" s="2">
        <v>46133</v>
      </c>
      <c r="I81" s="2">
        <v>46143</v>
      </c>
      <c r="J81" s="1" t="s">
        <v>24</v>
      </c>
      <c r="K81" s="1">
        <v>1080</v>
      </c>
      <c r="L81" s="1" t="str">
        <f t="shared" si="0"/>
        <v>Mee1080</v>
      </c>
      <c r="M81" s="1" t="str">
        <f t="shared" si="1"/>
        <v>Heaet</v>
      </c>
      <c r="N81" s="1" t="str">
        <f t="shared" si="2"/>
        <v>eads</v>
      </c>
    </row>
    <row r="82" spans="1:14" x14ac:dyDescent="0.3">
      <c r="A82" s="1" t="s">
        <v>47</v>
      </c>
      <c r="B82" s="1" t="s">
        <v>12</v>
      </c>
      <c r="C82" s="1" t="s">
        <v>34</v>
      </c>
      <c r="D82" s="1" t="s">
        <v>35</v>
      </c>
      <c r="E82" s="1">
        <v>15</v>
      </c>
      <c r="F82" s="1">
        <v>59912</v>
      </c>
      <c r="G82" s="1">
        <v>7</v>
      </c>
      <c r="H82" s="2">
        <v>46058</v>
      </c>
      <c r="I82" s="2">
        <v>46060</v>
      </c>
      <c r="J82" s="1" t="s">
        <v>51</v>
      </c>
      <c r="K82" s="1">
        <v>1081</v>
      </c>
      <c r="L82" s="1" t="str">
        <f t="shared" si="0"/>
        <v>Yas1081</v>
      </c>
      <c r="M82" s="1" t="str">
        <f t="shared" si="1"/>
        <v>Prier</v>
      </c>
      <c r="N82" s="1" t="str">
        <f t="shared" si="2"/>
        <v>rint</v>
      </c>
    </row>
    <row r="83" spans="1:14" x14ac:dyDescent="0.3">
      <c r="A83" s="1" t="s">
        <v>21</v>
      </c>
      <c r="B83" s="1" t="s">
        <v>12</v>
      </c>
      <c r="C83" s="1" t="s">
        <v>13</v>
      </c>
      <c r="D83" s="1" t="s">
        <v>14</v>
      </c>
      <c r="E83" s="1">
        <v>7</v>
      </c>
      <c r="F83" s="1">
        <v>133</v>
      </c>
      <c r="G83" s="1">
        <v>10</v>
      </c>
      <c r="H83" s="2">
        <v>46075</v>
      </c>
      <c r="I83" s="2">
        <v>46085</v>
      </c>
      <c r="J83" s="1" t="s">
        <v>51</v>
      </c>
      <c r="K83" s="1">
        <v>1082</v>
      </c>
      <c r="L83" s="1" t="str">
        <f t="shared" si="0"/>
        <v>Mee1082</v>
      </c>
      <c r="M83" s="1" t="str">
        <f t="shared" si="1"/>
        <v>Notok</v>
      </c>
      <c r="N83" s="1" t="str">
        <f t="shared" si="2"/>
        <v>oteb</v>
      </c>
    </row>
    <row r="84" spans="1:14" x14ac:dyDescent="0.3">
      <c r="A84" s="1" t="s">
        <v>55</v>
      </c>
      <c r="B84" s="1" t="s">
        <v>33</v>
      </c>
      <c r="C84" s="1" t="s">
        <v>13</v>
      </c>
      <c r="D84" s="1" t="s">
        <v>53</v>
      </c>
      <c r="E84" s="1">
        <v>4</v>
      </c>
      <c r="F84" s="1">
        <v>397</v>
      </c>
      <c r="G84" s="1">
        <v>7</v>
      </c>
      <c r="H84" s="2">
        <v>46185</v>
      </c>
      <c r="I84" s="2">
        <v>46193</v>
      </c>
      <c r="J84" s="1" t="s">
        <v>15</v>
      </c>
      <c r="K84" s="1">
        <v>1083</v>
      </c>
      <c r="L84" s="1" t="str">
        <f t="shared" si="0"/>
        <v>Sne1083</v>
      </c>
      <c r="M84" s="1" t="str">
        <f t="shared" si="1"/>
        <v>Diary</v>
      </c>
      <c r="N84" s="1" t="str">
        <f t="shared" si="2"/>
        <v>iary</v>
      </c>
    </row>
    <row r="85" spans="1:14" x14ac:dyDescent="0.3">
      <c r="A85" s="1" t="s">
        <v>49</v>
      </c>
      <c r="B85" s="1" t="s">
        <v>31</v>
      </c>
      <c r="C85" s="1" t="s">
        <v>18</v>
      </c>
      <c r="D85" s="1" t="s">
        <v>28</v>
      </c>
      <c r="E85" s="1">
        <v>4</v>
      </c>
      <c r="F85" s="1">
        <v>6901</v>
      </c>
      <c r="G85" s="1">
        <v>10</v>
      </c>
      <c r="H85" s="2">
        <v>46047</v>
      </c>
      <c r="I85" s="2">
        <v>46057</v>
      </c>
      <c r="J85" s="1" t="s">
        <v>20</v>
      </c>
      <c r="K85" s="1">
        <v>1084</v>
      </c>
      <c r="L85" s="1" t="str">
        <f t="shared" si="0"/>
        <v>Aja1084</v>
      </c>
      <c r="M85" s="1" t="str">
        <f t="shared" si="1"/>
        <v>Chair</v>
      </c>
      <c r="N85" s="1" t="str">
        <f t="shared" si="2"/>
        <v>hair</v>
      </c>
    </row>
    <row r="86" spans="1:14" x14ac:dyDescent="0.3">
      <c r="A86" s="1" t="s">
        <v>32</v>
      </c>
      <c r="B86" s="1" t="s">
        <v>38</v>
      </c>
      <c r="C86" s="1" t="s">
        <v>34</v>
      </c>
      <c r="D86" s="1" t="s">
        <v>60</v>
      </c>
      <c r="E86" s="1">
        <v>19</v>
      </c>
      <c r="F86" s="1">
        <v>45307</v>
      </c>
      <c r="G86" s="1">
        <v>12</v>
      </c>
      <c r="H86" s="2">
        <v>46146</v>
      </c>
      <c r="I86" s="2">
        <v>46150</v>
      </c>
      <c r="J86" s="1" t="s">
        <v>24</v>
      </c>
      <c r="K86" s="1">
        <v>1085</v>
      </c>
      <c r="L86" s="1" t="str">
        <f t="shared" si="0"/>
        <v>Ash1085</v>
      </c>
      <c r="M86" s="1" t="str">
        <f t="shared" si="1"/>
        <v>Lapop</v>
      </c>
      <c r="N86" s="1" t="str">
        <f t="shared" si="2"/>
        <v>apto</v>
      </c>
    </row>
    <row r="87" spans="1:14" x14ac:dyDescent="0.3">
      <c r="A87" s="1" t="s">
        <v>32</v>
      </c>
      <c r="B87" s="1" t="s">
        <v>12</v>
      </c>
      <c r="C87" s="1" t="s">
        <v>13</v>
      </c>
      <c r="D87" s="1" t="s">
        <v>53</v>
      </c>
      <c r="E87" s="1">
        <v>15</v>
      </c>
      <c r="F87" s="1">
        <v>40</v>
      </c>
      <c r="G87" s="1">
        <v>10</v>
      </c>
      <c r="H87" s="2">
        <v>46045</v>
      </c>
      <c r="I87" s="2">
        <v>46049</v>
      </c>
      <c r="J87" s="1" t="s">
        <v>24</v>
      </c>
      <c r="K87" s="1">
        <v>1086</v>
      </c>
      <c r="L87" s="1" t="str">
        <f t="shared" si="0"/>
        <v>Ash1086</v>
      </c>
      <c r="M87" s="1" t="str">
        <f t="shared" si="1"/>
        <v>Diary</v>
      </c>
      <c r="N87" s="1" t="str">
        <f t="shared" si="2"/>
        <v>iary</v>
      </c>
    </row>
    <row r="88" spans="1:14" x14ac:dyDescent="0.3">
      <c r="A88" s="1" t="s">
        <v>11</v>
      </c>
      <c r="B88" s="1" t="s">
        <v>31</v>
      </c>
      <c r="C88" s="1" t="s">
        <v>13</v>
      </c>
      <c r="D88" s="1" t="s">
        <v>37</v>
      </c>
      <c r="E88" s="1">
        <v>13</v>
      </c>
      <c r="F88" s="1">
        <v>387</v>
      </c>
      <c r="G88" s="1">
        <v>7</v>
      </c>
      <c r="H88" s="2">
        <v>46171</v>
      </c>
      <c r="I88" s="2">
        <v>46176</v>
      </c>
      <c r="J88" s="1" t="s">
        <v>24</v>
      </c>
      <c r="K88" s="1">
        <v>1087</v>
      </c>
      <c r="L88" s="1" t="str">
        <f t="shared" si="0"/>
        <v>Rit1087</v>
      </c>
      <c r="M88" s="1" t="str">
        <f t="shared" si="1"/>
        <v>Penck</v>
      </c>
      <c r="N88" s="1" t="str">
        <f t="shared" si="2"/>
        <v>en P</v>
      </c>
    </row>
    <row r="89" spans="1:14" x14ac:dyDescent="0.3">
      <c r="A89" s="1" t="s">
        <v>40</v>
      </c>
      <c r="B89" s="1" t="s">
        <v>33</v>
      </c>
      <c r="C89" s="1" t="s">
        <v>34</v>
      </c>
      <c r="D89" s="1" t="s">
        <v>41</v>
      </c>
      <c r="E89" s="1">
        <v>20</v>
      </c>
      <c r="F89" s="1">
        <v>41165</v>
      </c>
      <c r="G89" s="1">
        <v>0</v>
      </c>
      <c r="H89" s="2">
        <v>46068</v>
      </c>
      <c r="I89" s="2">
        <v>46069</v>
      </c>
      <c r="J89" s="1" t="s">
        <v>20</v>
      </c>
      <c r="K89" s="1">
        <v>1088</v>
      </c>
      <c r="L89" s="1" t="str">
        <f t="shared" si="0"/>
        <v>Dee1088</v>
      </c>
      <c r="M89" s="1" t="str">
        <f t="shared" si="1"/>
        <v>Heaet</v>
      </c>
      <c r="N89" s="1" t="str">
        <f t="shared" si="2"/>
        <v>eads</v>
      </c>
    </row>
    <row r="90" spans="1:14" x14ac:dyDescent="0.3">
      <c r="A90" s="1" t="s">
        <v>46</v>
      </c>
      <c r="B90" s="1" t="s">
        <v>12</v>
      </c>
      <c r="C90" s="1" t="s">
        <v>34</v>
      </c>
      <c r="D90" s="1" t="s">
        <v>35</v>
      </c>
      <c r="E90" s="1">
        <v>10</v>
      </c>
      <c r="F90" s="1">
        <v>17041</v>
      </c>
      <c r="G90" s="1">
        <v>2</v>
      </c>
      <c r="H90" s="2">
        <v>46066</v>
      </c>
      <c r="I90" s="2">
        <v>46071</v>
      </c>
      <c r="J90" s="1" t="s">
        <v>24</v>
      </c>
      <c r="K90" s="1">
        <v>1089</v>
      </c>
      <c r="L90" s="1" t="str">
        <f t="shared" si="0"/>
        <v>Kir1089</v>
      </c>
      <c r="M90" s="1" t="str">
        <f t="shared" si="1"/>
        <v>Prier</v>
      </c>
      <c r="N90" s="1" t="str">
        <f t="shared" si="2"/>
        <v>rint</v>
      </c>
    </row>
    <row r="91" spans="1:14" x14ac:dyDescent="0.3">
      <c r="A91" s="1" t="s">
        <v>49</v>
      </c>
      <c r="B91" s="1" t="s">
        <v>31</v>
      </c>
      <c r="C91" s="1" t="s">
        <v>34</v>
      </c>
      <c r="D91" s="1" t="s">
        <v>45</v>
      </c>
      <c r="E91" s="1">
        <v>19</v>
      </c>
      <c r="F91" s="1">
        <v>66139</v>
      </c>
      <c r="G91" s="1">
        <v>5</v>
      </c>
      <c r="H91" s="2">
        <v>46088</v>
      </c>
      <c r="I91" s="2">
        <v>46095</v>
      </c>
      <c r="J91" s="1" t="s">
        <v>24</v>
      </c>
      <c r="K91" s="1">
        <v>1090</v>
      </c>
      <c r="L91" s="1" t="str">
        <f t="shared" si="0"/>
        <v>Aja1090</v>
      </c>
      <c r="M91" s="1" t="str">
        <f t="shared" si="1"/>
        <v>Monor</v>
      </c>
      <c r="N91" s="1" t="str">
        <f t="shared" si="2"/>
        <v>onit</v>
      </c>
    </row>
    <row r="92" spans="1:14" x14ac:dyDescent="0.3">
      <c r="A92" s="1" t="s">
        <v>55</v>
      </c>
      <c r="B92" s="1" t="s">
        <v>17</v>
      </c>
      <c r="C92" s="1" t="s">
        <v>13</v>
      </c>
      <c r="D92" s="1" t="s">
        <v>53</v>
      </c>
      <c r="E92" s="1">
        <v>2</v>
      </c>
      <c r="F92" s="1">
        <v>305</v>
      </c>
      <c r="G92" s="1">
        <v>0</v>
      </c>
      <c r="H92" s="2">
        <v>46136</v>
      </c>
      <c r="I92" s="2">
        <v>46144</v>
      </c>
      <c r="J92" s="1" t="s">
        <v>15</v>
      </c>
      <c r="K92" s="1">
        <v>1091</v>
      </c>
      <c r="L92" s="1" t="str">
        <f t="shared" si="0"/>
        <v>Sne1091</v>
      </c>
      <c r="M92" s="1" t="str">
        <f t="shared" si="1"/>
        <v>Diary</v>
      </c>
      <c r="N92" s="1" t="str">
        <f t="shared" si="2"/>
        <v>iary</v>
      </c>
    </row>
    <row r="93" spans="1:14" x14ac:dyDescent="0.3">
      <c r="A93" s="1" t="s">
        <v>21</v>
      </c>
      <c r="B93" s="1" t="s">
        <v>22</v>
      </c>
      <c r="C93" s="1" t="s">
        <v>34</v>
      </c>
      <c r="D93" s="1" t="s">
        <v>41</v>
      </c>
      <c r="E93" s="1">
        <v>9</v>
      </c>
      <c r="F93" s="1">
        <v>23438</v>
      </c>
      <c r="G93" s="1">
        <v>2</v>
      </c>
      <c r="H93" s="2">
        <v>46049</v>
      </c>
      <c r="I93" s="2">
        <v>46055</v>
      </c>
      <c r="J93" s="1" t="s">
        <v>29</v>
      </c>
      <c r="K93" s="1">
        <v>1092</v>
      </c>
      <c r="L93" s="1" t="str">
        <f t="shared" si="0"/>
        <v>Mee1092</v>
      </c>
      <c r="M93" s="1" t="str">
        <f t="shared" si="1"/>
        <v>Heaet</v>
      </c>
      <c r="N93" s="1" t="str">
        <f t="shared" si="2"/>
        <v>eads</v>
      </c>
    </row>
    <row r="94" spans="1:14" x14ac:dyDescent="0.3">
      <c r="A94" s="1" t="s">
        <v>47</v>
      </c>
      <c r="B94" s="1" t="s">
        <v>25</v>
      </c>
      <c r="C94" s="1" t="s">
        <v>18</v>
      </c>
      <c r="D94" s="1" t="s">
        <v>23</v>
      </c>
      <c r="E94" s="1">
        <v>6</v>
      </c>
      <c r="F94" s="1">
        <v>8224</v>
      </c>
      <c r="G94" s="1">
        <v>15</v>
      </c>
      <c r="H94" s="2">
        <v>46175</v>
      </c>
      <c r="I94" s="2">
        <v>46185</v>
      </c>
      <c r="J94" s="1" t="s">
        <v>51</v>
      </c>
      <c r="K94" s="1">
        <v>1093</v>
      </c>
      <c r="L94" s="1" t="str">
        <f t="shared" si="0"/>
        <v>Yas1093</v>
      </c>
      <c r="M94" s="1" t="str">
        <f t="shared" si="1"/>
        <v>Table</v>
      </c>
      <c r="N94" s="1" t="str">
        <f t="shared" si="2"/>
        <v>able</v>
      </c>
    </row>
    <row r="95" spans="1:14" x14ac:dyDescent="0.3">
      <c r="A95" s="1" t="s">
        <v>47</v>
      </c>
      <c r="B95" s="1" t="s">
        <v>43</v>
      </c>
      <c r="C95" s="1" t="s">
        <v>34</v>
      </c>
      <c r="D95" s="1" t="s">
        <v>61</v>
      </c>
      <c r="E95" s="1">
        <v>4</v>
      </c>
      <c r="F95" s="1">
        <v>7073</v>
      </c>
      <c r="G95" s="1">
        <v>0</v>
      </c>
      <c r="H95" s="2">
        <v>46101</v>
      </c>
      <c r="I95" s="2">
        <v>46105</v>
      </c>
      <c r="J95" s="1" t="s">
        <v>29</v>
      </c>
      <c r="K95" s="1">
        <v>1094</v>
      </c>
      <c r="L95" s="1" t="str">
        <f t="shared" si="0"/>
        <v>Yas1094</v>
      </c>
      <c r="M95" s="1" t="str">
        <f t="shared" si="1"/>
        <v>Mouse</v>
      </c>
      <c r="N95" s="1" t="str">
        <f t="shared" si="2"/>
        <v>ouse</v>
      </c>
    </row>
    <row r="96" spans="1:14" x14ac:dyDescent="0.3">
      <c r="A96" s="1" t="s">
        <v>47</v>
      </c>
      <c r="B96" s="1" t="s">
        <v>25</v>
      </c>
      <c r="C96" s="1" t="s">
        <v>34</v>
      </c>
      <c r="D96" s="1" t="s">
        <v>41</v>
      </c>
      <c r="E96" s="1">
        <v>18</v>
      </c>
      <c r="F96" s="1">
        <v>587</v>
      </c>
      <c r="G96" s="1">
        <v>2</v>
      </c>
      <c r="H96" s="2">
        <v>46167</v>
      </c>
      <c r="I96" s="2">
        <v>46171</v>
      </c>
      <c r="J96" s="1" t="s">
        <v>20</v>
      </c>
      <c r="K96" s="1">
        <v>1095</v>
      </c>
      <c r="L96" s="1" t="str">
        <f t="shared" si="0"/>
        <v>Yas1095</v>
      </c>
      <c r="M96" s="1" t="str">
        <f t="shared" si="1"/>
        <v>Heaet</v>
      </c>
      <c r="N96" s="1" t="str">
        <f t="shared" si="2"/>
        <v>eads</v>
      </c>
    </row>
    <row r="97" spans="1:14" x14ac:dyDescent="0.3">
      <c r="A97" s="1" t="s">
        <v>49</v>
      </c>
      <c r="B97" s="1" t="s">
        <v>17</v>
      </c>
      <c r="C97" s="1" t="s">
        <v>18</v>
      </c>
      <c r="D97" s="1" t="s">
        <v>23</v>
      </c>
      <c r="E97" s="1">
        <v>15</v>
      </c>
      <c r="F97" s="1">
        <v>14724</v>
      </c>
      <c r="G97" s="1">
        <v>15</v>
      </c>
      <c r="H97" s="2">
        <v>46054</v>
      </c>
      <c r="I97" s="2">
        <v>46061</v>
      </c>
      <c r="J97" s="1" t="s">
        <v>20</v>
      </c>
      <c r="K97" s="1">
        <v>1096</v>
      </c>
      <c r="L97" s="1" t="str">
        <f t="shared" si="0"/>
        <v>Aja1096</v>
      </c>
      <c r="M97" s="1" t="str">
        <f t="shared" si="1"/>
        <v>Table</v>
      </c>
      <c r="N97" s="1" t="str">
        <f t="shared" si="2"/>
        <v>able</v>
      </c>
    </row>
    <row r="98" spans="1:14" x14ac:dyDescent="0.3">
      <c r="A98" s="1" t="s">
        <v>52</v>
      </c>
      <c r="B98" s="1" t="s">
        <v>22</v>
      </c>
      <c r="C98" s="1" t="s">
        <v>34</v>
      </c>
      <c r="D98" s="1" t="s">
        <v>61</v>
      </c>
      <c r="E98" s="1">
        <v>10</v>
      </c>
      <c r="F98" s="1">
        <v>28980</v>
      </c>
      <c r="G98" s="1">
        <v>10</v>
      </c>
      <c r="H98" s="2">
        <v>46089</v>
      </c>
      <c r="I98" s="2">
        <v>46094</v>
      </c>
      <c r="J98" s="1" t="s">
        <v>24</v>
      </c>
      <c r="K98" s="1">
        <v>1097</v>
      </c>
      <c r="L98" s="1" t="str">
        <f t="shared" si="0"/>
        <v>Kom1097</v>
      </c>
      <c r="M98" s="1" t="str">
        <f t="shared" si="1"/>
        <v>Mouse</v>
      </c>
      <c r="N98" s="1" t="str">
        <f t="shared" si="2"/>
        <v>ouse</v>
      </c>
    </row>
    <row r="99" spans="1:14" x14ac:dyDescent="0.3">
      <c r="A99" s="1" t="s">
        <v>26</v>
      </c>
      <c r="B99" s="1" t="s">
        <v>25</v>
      </c>
      <c r="C99" s="1" t="s">
        <v>13</v>
      </c>
      <c r="D99" s="1" t="s">
        <v>53</v>
      </c>
      <c r="E99" s="1">
        <v>17</v>
      </c>
      <c r="F99" s="1">
        <v>345</v>
      </c>
      <c r="G99" s="1">
        <v>2</v>
      </c>
      <c r="H99" s="2">
        <v>46126</v>
      </c>
      <c r="I99" s="2">
        <v>46127</v>
      </c>
      <c r="J99" s="1" t="s">
        <v>51</v>
      </c>
      <c r="K99" s="1">
        <v>1098</v>
      </c>
      <c r="L99" s="1" t="str">
        <f t="shared" si="0"/>
        <v>Vik1098</v>
      </c>
      <c r="M99" s="1" t="str">
        <f t="shared" si="1"/>
        <v>Diary</v>
      </c>
      <c r="N99" s="1" t="str">
        <f t="shared" si="2"/>
        <v>iary</v>
      </c>
    </row>
    <row r="100" spans="1:14" x14ac:dyDescent="0.3">
      <c r="A100" s="1" t="s">
        <v>26</v>
      </c>
      <c r="B100" s="1" t="s">
        <v>31</v>
      </c>
      <c r="C100" s="1" t="s">
        <v>18</v>
      </c>
      <c r="D100" s="1" t="s">
        <v>19</v>
      </c>
      <c r="E100" s="1">
        <v>1</v>
      </c>
      <c r="F100" s="1">
        <v>5165</v>
      </c>
      <c r="G100" s="1">
        <v>2</v>
      </c>
      <c r="H100" s="2">
        <v>46058</v>
      </c>
      <c r="I100" s="2">
        <v>46060</v>
      </c>
      <c r="J100" s="1" t="s">
        <v>15</v>
      </c>
      <c r="K100" s="1">
        <v>1099</v>
      </c>
      <c r="L100" s="1" t="str">
        <f t="shared" si="0"/>
        <v>Vik1099</v>
      </c>
      <c r="M100" s="1" t="str">
        <f t="shared" si="1"/>
        <v>Dessk</v>
      </c>
      <c r="N100" s="1" t="str">
        <f t="shared" si="2"/>
        <v>esk</v>
      </c>
    </row>
    <row r="101" spans="1:14" x14ac:dyDescent="0.3">
      <c r="A101" s="1" t="s">
        <v>11</v>
      </c>
      <c r="B101" s="1" t="s">
        <v>31</v>
      </c>
      <c r="C101" s="1" t="s">
        <v>13</v>
      </c>
      <c r="D101" s="1" t="s">
        <v>14</v>
      </c>
      <c r="E101" s="1">
        <v>11</v>
      </c>
      <c r="F101" s="1">
        <v>296</v>
      </c>
      <c r="G101" s="1">
        <v>10</v>
      </c>
      <c r="H101" s="2">
        <v>46027</v>
      </c>
      <c r="I101" s="2">
        <v>46031</v>
      </c>
      <c r="J101" s="1" t="s">
        <v>51</v>
      </c>
      <c r="K101" s="1">
        <v>1100</v>
      </c>
      <c r="L101" s="1" t="str">
        <f t="shared" si="0"/>
        <v>Rit1100</v>
      </c>
      <c r="M101" s="1" t="str">
        <f t="shared" si="1"/>
        <v>Notok</v>
      </c>
      <c r="N101" s="1" t="str">
        <f t="shared" si="2"/>
        <v>oteb</v>
      </c>
    </row>
    <row r="102" spans="1:14" x14ac:dyDescent="0.3">
      <c r="A102" s="1" t="s">
        <v>27</v>
      </c>
      <c r="B102" s="1" t="s">
        <v>22</v>
      </c>
      <c r="C102" s="1" t="s">
        <v>34</v>
      </c>
      <c r="D102" s="1" t="s">
        <v>61</v>
      </c>
      <c r="E102" s="1">
        <v>9</v>
      </c>
      <c r="F102" s="1">
        <v>37361</v>
      </c>
      <c r="G102" s="1">
        <v>10</v>
      </c>
      <c r="H102" s="2">
        <v>46141</v>
      </c>
      <c r="I102" s="2">
        <v>46142</v>
      </c>
      <c r="J102" s="1" t="s">
        <v>24</v>
      </c>
      <c r="K102" s="1">
        <v>1101</v>
      </c>
      <c r="L102" s="1" t="str">
        <f t="shared" si="0"/>
        <v>Arj1101</v>
      </c>
      <c r="M102" s="1" t="str">
        <f t="shared" si="1"/>
        <v>Mouse</v>
      </c>
      <c r="N102" s="1" t="str">
        <f t="shared" si="2"/>
        <v>ouse</v>
      </c>
    </row>
    <row r="103" spans="1:14" x14ac:dyDescent="0.3">
      <c r="A103" s="1" t="s">
        <v>54</v>
      </c>
      <c r="B103" s="1" t="s">
        <v>25</v>
      </c>
      <c r="C103" s="1" t="s">
        <v>34</v>
      </c>
      <c r="D103" s="1" t="s">
        <v>45</v>
      </c>
      <c r="E103" s="1">
        <v>12</v>
      </c>
      <c r="F103" s="1">
        <v>63402</v>
      </c>
      <c r="G103" s="1">
        <v>7</v>
      </c>
      <c r="H103" s="2">
        <v>46106</v>
      </c>
      <c r="I103" s="2">
        <v>46113</v>
      </c>
      <c r="J103" s="1" t="s">
        <v>51</v>
      </c>
      <c r="K103" s="1">
        <v>1102</v>
      </c>
      <c r="L103" s="1" t="str">
        <f t="shared" si="0"/>
        <v>Man1102</v>
      </c>
      <c r="M103" s="1" t="str">
        <f t="shared" si="1"/>
        <v>Monor</v>
      </c>
      <c r="N103" s="1" t="str">
        <f t="shared" si="2"/>
        <v>onit</v>
      </c>
    </row>
    <row r="104" spans="1:14" x14ac:dyDescent="0.3">
      <c r="A104" s="1" t="s">
        <v>16</v>
      </c>
      <c r="B104" s="1" t="s">
        <v>12</v>
      </c>
      <c r="C104" s="1" t="s">
        <v>18</v>
      </c>
      <c r="D104" s="1" t="s">
        <v>23</v>
      </c>
      <c r="E104" s="1">
        <v>7</v>
      </c>
      <c r="F104" s="1">
        <v>11925</v>
      </c>
      <c r="G104" s="1">
        <v>5</v>
      </c>
      <c r="H104" s="2">
        <v>46040</v>
      </c>
      <c r="I104" s="2">
        <v>46041</v>
      </c>
      <c r="J104" s="1" t="s">
        <v>29</v>
      </c>
      <c r="K104" s="1">
        <v>1103</v>
      </c>
      <c r="L104" s="1" t="str">
        <f t="shared" si="0"/>
        <v>Poo1103</v>
      </c>
      <c r="M104" s="1" t="str">
        <f t="shared" si="1"/>
        <v>Table</v>
      </c>
      <c r="N104" s="1" t="str">
        <f t="shared" si="2"/>
        <v>able</v>
      </c>
    </row>
    <row r="105" spans="1:14" x14ac:dyDescent="0.3">
      <c r="A105" s="1" t="s">
        <v>16</v>
      </c>
      <c r="B105" s="1" t="s">
        <v>43</v>
      </c>
      <c r="C105" s="1" t="s">
        <v>18</v>
      </c>
      <c r="D105" s="1" t="s">
        <v>19</v>
      </c>
      <c r="E105" s="1">
        <v>10</v>
      </c>
      <c r="F105" s="1">
        <v>12848</v>
      </c>
      <c r="G105" s="1">
        <v>15</v>
      </c>
      <c r="H105" s="2">
        <v>46060</v>
      </c>
      <c r="I105" s="2">
        <v>46064</v>
      </c>
      <c r="J105" s="1" t="s">
        <v>29</v>
      </c>
      <c r="K105" s="1">
        <v>1104</v>
      </c>
      <c r="L105" s="1" t="str">
        <f t="shared" si="0"/>
        <v>Poo1104</v>
      </c>
      <c r="M105" s="1" t="str">
        <f t="shared" si="1"/>
        <v>Dessk</v>
      </c>
      <c r="N105" s="1" t="str">
        <f t="shared" si="2"/>
        <v>esk</v>
      </c>
    </row>
    <row r="106" spans="1:14" x14ac:dyDescent="0.3">
      <c r="A106" s="1" t="s">
        <v>59</v>
      </c>
      <c r="B106" s="1" t="s">
        <v>25</v>
      </c>
      <c r="C106" s="1" t="s">
        <v>13</v>
      </c>
      <c r="D106" s="1" t="s">
        <v>50</v>
      </c>
      <c r="E106" s="1">
        <v>2</v>
      </c>
      <c r="F106" s="1">
        <v>493</v>
      </c>
      <c r="G106" s="1">
        <v>12</v>
      </c>
      <c r="H106" s="2">
        <v>46057</v>
      </c>
      <c r="I106" s="2">
        <v>46066</v>
      </c>
      <c r="J106" s="1" t="s">
        <v>51</v>
      </c>
      <c r="K106" s="1">
        <v>1105</v>
      </c>
      <c r="L106" s="1" t="str">
        <f t="shared" si="0"/>
        <v>Ani1105</v>
      </c>
      <c r="M106" s="1" t="str">
        <f t="shared" si="1"/>
        <v>Marer</v>
      </c>
      <c r="N106" s="1" t="str">
        <f t="shared" si="2"/>
        <v>arke</v>
      </c>
    </row>
    <row r="107" spans="1:14" x14ac:dyDescent="0.3">
      <c r="A107" s="1" t="s">
        <v>27</v>
      </c>
      <c r="B107" s="1" t="s">
        <v>43</v>
      </c>
      <c r="C107" s="1" t="s">
        <v>18</v>
      </c>
      <c r="D107" s="1" t="s">
        <v>23</v>
      </c>
      <c r="E107" s="1">
        <v>20</v>
      </c>
      <c r="F107" s="1">
        <v>2141</v>
      </c>
      <c r="G107" s="1">
        <v>2</v>
      </c>
      <c r="H107" s="2">
        <v>46091</v>
      </c>
      <c r="I107" s="2">
        <v>46097</v>
      </c>
      <c r="J107" s="1" t="s">
        <v>29</v>
      </c>
      <c r="K107" s="1">
        <v>1106</v>
      </c>
      <c r="L107" s="1" t="str">
        <f t="shared" si="0"/>
        <v>Arj1106</v>
      </c>
      <c r="M107" s="1" t="str">
        <f t="shared" si="1"/>
        <v>Table</v>
      </c>
      <c r="N107" s="1" t="str">
        <f t="shared" si="2"/>
        <v>able</v>
      </c>
    </row>
    <row r="108" spans="1:14" x14ac:dyDescent="0.3">
      <c r="A108" s="1" t="s">
        <v>52</v>
      </c>
      <c r="B108" s="1" t="s">
        <v>17</v>
      </c>
      <c r="C108" s="1" t="s">
        <v>34</v>
      </c>
      <c r="D108" s="1" t="s">
        <v>60</v>
      </c>
      <c r="E108" s="1">
        <v>4</v>
      </c>
      <c r="F108" s="1">
        <v>14291</v>
      </c>
      <c r="G108" s="1">
        <v>2</v>
      </c>
      <c r="H108" s="2">
        <v>46076</v>
      </c>
      <c r="I108" s="2">
        <v>46078</v>
      </c>
      <c r="J108" s="1" t="s">
        <v>15</v>
      </c>
      <c r="K108" s="1">
        <v>1107</v>
      </c>
      <c r="L108" s="1" t="str">
        <f t="shared" si="0"/>
        <v>Kom1107</v>
      </c>
      <c r="M108" s="1" t="str">
        <f t="shared" si="1"/>
        <v>Lapop</v>
      </c>
      <c r="N108" s="1" t="str">
        <f t="shared" si="2"/>
        <v>apto</v>
      </c>
    </row>
    <row r="109" spans="1:14" x14ac:dyDescent="0.3">
      <c r="A109" s="1" t="s">
        <v>42</v>
      </c>
      <c r="B109" s="1" t="s">
        <v>33</v>
      </c>
      <c r="C109" s="1" t="s">
        <v>18</v>
      </c>
      <c r="D109" s="1" t="s">
        <v>28</v>
      </c>
      <c r="E109" s="1">
        <v>15</v>
      </c>
      <c r="F109" s="1">
        <v>13843</v>
      </c>
      <c r="G109" s="1">
        <v>7</v>
      </c>
      <c r="H109" s="2">
        <v>46119</v>
      </c>
      <c r="I109" s="2">
        <v>46127</v>
      </c>
      <c r="J109" s="1" t="s">
        <v>20</v>
      </c>
      <c r="K109" s="1">
        <v>1108</v>
      </c>
      <c r="L109" s="1" t="str">
        <f t="shared" si="0"/>
        <v>Nis1108</v>
      </c>
      <c r="M109" s="1" t="str">
        <f t="shared" si="1"/>
        <v>Chair</v>
      </c>
      <c r="N109" s="1" t="str">
        <f t="shared" si="2"/>
        <v>hair</v>
      </c>
    </row>
    <row r="110" spans="1:14" x14ac:dyDescent="0.3">
      <c r="A110" s="1" t="s">
        <v>21</v>
      </c>
      <c r="B110" s="1" t="s">
        <v>31</v>
      </c>
      <c r="C110" s="1" t="s">
        <v>18</v>
      </c>
      <c r="D110" s="1" t="s">
        <v>44</v>
      </c>
      <c r="E110" s="1">
        <v>19</v>
      </c>
      <c r="F110" s="1">
        <v>6512</v>
      </c>
      <c r="G110" s="1">
        <v>10</v>
      </c>
      <c r="H110" s="2">
        <v>46033</v>
      </c>
      <c r="I110" s="2">
        <v>46037</v>
      </c>
      <c r="J110" s="1" t="s">
        <v>20</v>
      </c>
      <c r="K110" s="1">
        <v>1109</v>
      </c>
      <c r="L110" s="1" t="str">
        <f t="shared" si="0"/>
        <v>Mee1109</v>
      </c>
      <c r="M110" s="1" t="str">
        <f t="shared" si="1"/>
        <v>Boolf</v>
      </c>
      <c r="N110" s="1" t="str">
        <f t="shared" si="2"/>
        <v>ooks</v>
      </c>
    </row>
    <row r="111" spans="1:14" x14ac:dyDescent="0.3">
      <c r="A111" s="1" t="s">
        <v>49</v>
      </c>
      <c r="B111" s="1" t="s">
        <v>38</v>
      </c>
      <c r="C111" s="1" t="s">
        <v>18</v>
      </c>
      <c r="D111" s="1" t="s">
        <v>23</v>
      </c>
      <c r="E111" s="1">
        <v>14</v>
      </c>
      <c r="F111" s="1">
        <v>6793</v>
      </c>
      <c r="G111" s="1">
        <v>7</v>
      </c>
      <c r="H111" s="2">
        <v>46077</v>
      </c>
      <c r="I111" s="2">
        <v>46082</v>
      </c>
      <c r="J111" s="1" t="s">
        <v>29</v>
      </c>
      <c r="K111" s="1">
        <v>1110</v>
      </c>
      <c r="L111" s="1" t="str">
        <f t="shared" si="0"/>
        <v>Aja1110</v>
      </c>
      <c r="M111" s="1" t="str">
        <f t="shared" si="1"/>
        <v>Table</v>
      </c>
      <c r="N111" s="1" t="str">
        <f t="shared" si="2"/>
        <v>able</v>
      </c>
    </row>
    <row r="112" spans="1:14" x14ac:dyDescent="0.3">
      <c r="A112" s="1" t="s">
        <v>47</v>
      </c>
      <c r="B112" s="1" t="s">
        <v>17</v>
      </c>
      <c r="C112" s="1" t="s">
        <v>34</v>
      </c>
      <c r="D112" s="1" t="s">
        <v>35</v>
      </c>
      <c r="E112" s="1">
        <v>5</v>
      </c>
      <c r="F112" s="1">
        <v>49945</v>
      </c>
      <c r="G112" s="1">
        <v>12</v>
      </c>
      <c r="H112" s="2">
        <v>46133</v>
      </c>
      <c r="I112" s="2">
        <v>46141</v>
      </c>
      <c r="J112" s="1" t="s">
        <v>29</v>
      </c>
      <c r="K112" s="1">
        <v>1111</v>
      </c>
      <c r="L112" s="1" t="str">
        <f t="shared" si="0"/>
        <v>Yas1111</v>
      </c>
      <c r="M112" s="1" t="str">
        <f t="shared" si="1"/>
        <v>Prier</v>
      </c>
      <c r="N112" s="1" t="str">
        <f t="shared" si="2"/>
        <v>rint</v>
      </c>
    </row>
    <row r="113" spans="1:14" x14ac:dyDescent="0.3">
      <c r="A113" s="1" t="s">
        <v>21</v>
      </c>
      <c r="B113" s="1" t="s">
        <v>43</v>
      </c>
      <c r="C113" s="1" t="s">
        <v>18</v>
      </c>
      <c r="D113" s="1" t="s">
        <v>44</v>
      </c>
      <c r="E113" s="1">
        <v>7</v>
      </c>
      <c r="F113" s="1">
        <v>1959</v>
      </c>
      <c r="G113" s="1">
        <v>15</v>
      </c>
      <c r="H113" s="2">
        <v>46090</v>
      </c>
      <c r="I113" s="2">
        <v>46100</v>
      </c>
      <c r="J113" s="1" t="s">
        <v>15</v>
      </c>
      <c r="K113" s="1">
        <v>1112</v>
      </c>
      <c r="L113" s="1" t="str">
        <f t="shared" si="0"/>
        <v>Mee1112</v>
      </c>
      <c r="M113" s="1" t="str">
        <f t="shared" si="1"/>
        <v>Boolf</v>
      </c>
      <c r="N113" s="1" t="str">
        <f t="shared" si="2"/>
        <v>ooks</v>
      </c>
    </row>
    <row r="114" spans="1:14" x14ac:dyDescent="0.3">
      <c r="A114" s="1" t="s">
        <v>26</v>
      </c>
      <c r="B114" s="1" t="s">
        <v>43</v>
      </c>
      <c r="C114" s="1" t="s">
        <v>18</v>
      </c>
      <c r="D114" s="1" t="s">
        <v>56</v>
      </c>
      <c r="E114" s="1">
        <v>13</v>
      </c>
      <c r="F114" s="1">
        <v>6719</v>
      </c>
      <c r="G114" s="1">
        <v>15</v>
      </c>
      <c r="H114" s="2">
        <v>46076</v>
      </c>
      <c r="I114" s="2">
        <v>46081</v>
      </c>
      <c r="J114" s="1" t="s">
        <v>24</v>
      </c>
      <c r="K114" s="1">
        <v>1113</v>
      </c>
      <c r="L114" s="1" t="str">
        <f t="shared" si="0"/>
        <v>Vik1113</v>
      </c>
      <c r="M114" s="1" t="str">
        <f t="shared" si="1"/>
        <v>Cabet</v>
      </c>
      <c r="N114" s="1" t="str">
        <f t="shared" si="2"/>
        <v>abin</v>
      </c>
    </row>
    <row r="115" spans="1:14" x14ac:dyDescent="0.3">
      <c r="A115" s="1" t="s">
        <v>16</v>
      </c>
      <c r="B115" s="1" t="s">
        <v>25</v>
      </c>
      <c r="C115" s="1" t="s">
        <v>13</v>
      </c>
      <c r="D115" s="1" t="s">
        <v>50</v>
      </c>
      <c r="E115" s="1">
        <v>13</v>
      </c>
      <c r="F115" s="1">
        <v>32</v>
      </c>
      <c r="G115" s="1">
        <v>15</v>
      </c>
      <c r="H115" s="2">
        <v>46066</v>
      </c>
      <c r="I115" s="2">
        <v>46069</v>
      </c>
      <c r="J115" s="1" t="s">
        <v>15</v>
      </c>
      <c r="K115" s="1">
        <v>1114</v>
      </c>
      <c r="L115" s="1" t="str">
        <f t="shared" si="0"/>
        <v>Poo1114</v>
      </c>
      <c r="M115" s="1" t="str">
        <f t="shared" si="1"/>
        <v>Marer</v>
      </c>
      <c r="N115" s="1" t="str">
        <f t="shared" si="2"/>
        <v>arke</v>
      </c>
    </row>
    <row r="116" spans="1:14" x14ac:dyDescent="0.3">
      <c r="A116" s="1" t="s">
        <v>59</v>
      </c>
      <c r="B116" s="1" t="s">
        <v>43</v>
      </c>
      <c r="C116" s="1" t="s">
        <v>13</v>
      </c>
      <c r="D116" s="1" t="s">
        <v>50</v>
      </c>
      <c r="E116" s="1">
        <v>9</v>
      </c>
      <c r="F116" s="1">
        <v>303</v>
      </c>
      <c r="G116" s="1">
        <v>10</v>
      </c>
      <c r="H116" s="2">
        <v>46149</v>
      </c>
      <c r="I116" s="2">
        <v>46157</v>
      </c>
      <c r="J116" s="1" t="s">
        <v>29</v>
      </c>
      <c r="K116" s="1">
        <v>1115</v>
      </c>
      <c r="L116" s="1" t="str">
        <f t="shared" si="0"/>
        <v>Ani1115</v>
      </c>
      <c r="M116" s="1" t="str">
        <f t="shared" si="1"/>
        <v>Marer</v>
      </c>
      <c r="N116" s="1" t="str">
        <f t="shared" si="2"/>
        <v>arke</v>
      </c>
    </row>
    <row r="117" spans="1:14" x14ac:dyDescent="0.3">
      <c r="A117" s="1" t="s">
        <v>16</v>
      </c>
      <c r="B117" s="1" t="s">
        <v>25</v>
      </c>
      <c r="C117" s="1" t="s">
        <v>18</v>
      </c>
      <c r="D117" s="1" t="s">
        <v>56</v>
      </c>
      <c r="E117" s="1">
        <v>2</v>
      </c>
      <c r="F117" s="1">
        <v>12692</v>
      </c>
      <c r="G117" s="1">
        <v>15</v>
      </c>
      <c r="H117" s="2">
        <v>46049</v>
      </c>
      <c r="I117" s="2">
        <v>46051</v>
      </c>
      <c r="J117" s="1" t="s">
        <v>15</v>
      </c>
      <c r="K117" s="1">
        <v>1116</v>
      </c>
      <c r="L117" s="1" t="str">
        <f t="shared" si="0"/>
        <v>Poo1116</v>
      </c>
      <c r="M117" s="1" t="str">
        <f t="shared" si="1"/>
        <v>Cabet</v>
      </c>
      <c r="N117" s="1" t="str">
        <f t="shared" si="2"/>
        <v>abin</v>
      </c>
    </row>
    <row r="118" spans="1:14" x14ac:dyDescent="0.3">
      <c r="A118" s="1" t="s">
        <v>55</v>
      </c>
      <c r="B118" s="1" t="s">
        <v>43</v>
      </c>
      <c r="C118" s="1" t="s">
        <v>34</v>
      </c>
      <c r="D118" s="1" t="s">
        <v>39</v>
      </c>
      <c r="E118" s="1">
        <v>16</v>
      </c>
      <c r="F118" s="1">
        <v>33162</v>
      </c>
      <c r="G118" s="1">
        <v>7</v>
      </c>
      <c r="H118" s="2">
        <v>46147</v>
      </c>
      <c r="I118" s="2">
        <v>46155</v>
      </c>
      <c r="J118" s="1" t="s">
        <v>29</v>
      </c>
      <c r="K118" s="1">
        <v>1117</v>
      </c>
      <c r="L118" s="1" t="str">
        <f t="shared" si="0"/>
        <v>Sne1117</v>
      </c>
      <c r="M118" s="1" t="str">
        <f t="shared" si="1"/>
        <v>Keyrd</v>
      </c>
      <c r="N118" s="1" t="str">
        <f t="shared" si="2"/>
        <v>eybo</v>
      </c>
    </row>
    <row r="119" spans="1:14" x14ac:dyDescent="0.3">
      <c r="A119" s="1" t="s">
        <v>21</v>
      </c>
      <c r="B119" s="1" t="s">
        <v>22</v>
      </c>
      <c r="C119" s="1" t="s">
        <v>18</v>
      </c>
      <c r="D119" s="1" t="s">
        <v>23</v>
      </c>
      <c r="E119" s="1">
        <v>18</v>
      </c>
      <c r="F119" s="1">
        <v>9118</v>
      </c>
      <c r="G119" s="1">
        <v>5</v>
      </c>
      <c r="H119" s="2">
        <v>46178</v>
      </c>
      <c r="I119" s="2">
        <v>46187</v>
      </c>
      <c r="J119" s="1" t="s">
        <v>29</v>
      </c>
      <c r="K119" s="1">
        <v>1118</v>
      </c>
      <c r="L119" s="1" t="str">
        <f t="shared" si="0"/>
        <v>Mee1118</v>
      </c>
      <c r="M119" s="1" t="str">
        <f t="shared" si="1"/>
        <v>Table</v>
      </c>
      <c r="N119" s="1" t="str">
        <f t="shared" si="2"/>
        <v>able</v>
      </c>
    </row>
    <row r="120" spans="1:14" x14ac:dyDescent="0.3">
      <c r="A120" s="1" t="s">
        <v>30</v>
      </c>
      <c r="B120" s="1" t="s">
        <v>43</v>
      </c>
      <c r="C120" s="1" t="s">
        <v>18</v>
      </c>
      <c r="D120" s="1" t="s">
        <v>28</v>
      </c>
      <c r="E120" s="1">
        <v>2</v>
      </c>
      <c r="F120" s="1">
        <v>3706</v>
      </c>
      <c r="G120" s="1">
        <v>5</v>
      </c>
      <c r="H120" s="2">
        <v>46184</v>
      </c>
      <c r="I120" s="2">
        <v>46192</v>
      </c>
      <c r="J120" s="1" t="s">
        <v>51</v>
      </c>
      <c r="K120" s="1">
        <v>1119</v>
      </c>
      <c r="L120" s="1" t="str">
        <f t="shared" si="0"/>
        <v>Neh1119</v>
      </c>
      <c r="M120" s="1" t="str">
        <f t="shared" si="1"/>
        <v>Chair</v>
      </c>
      <c r="N120" s="1" t="str">
        <f t="shared" si="2"/>
        <v>hair</v>
      </c>
    </row>
    <row r="121" spans="1:14" x14ac:dyDescent="0.3">
      <c r="A121" s="1" t="s">
        <v>32</v>
      </c>
      <c r="B121" s="1" t="s">
        <v>38</v>
      </c>
      <c r="C121" s="1" t="s">
        <v>13</v>
      </c>
      <c r="D121" s="1" t="s">
        <v>36</v>
      </c>
      <c r="E121" s="1">
        <v>10</v>
      </c>
      <c r="F121" s="1">
        <v>438</v>
      </c>
      <c r="G121" s="1">
        <v>10</v>
      </c>
      <c r="H121" s="2">
        <v>46061</v>
      </c>
      <c r="I121" s="2">
        <v>46065</v>
      </c>
      <c r="J121" s="1" t="s">
        <v>51</v>
      </c>
      <c r="K121" s="1">
        <v>1120</v>
      </c>
      <c r="L121" s="1" t="str">
        <f t="shared" si="0"/>
        <v>Ash1120</v>
      </c>
      <c r="M121" s="1" t="str">
        <f t="shared" si="1"/>
        <v>Staer</v>
      </c>
      <c r="N121" s="1" t="str">
        <f t="shared" si="2"/>
        <v>tapl</v>
      </c>
    </row>
    <row r="122" spans="1:14" x14ac:dyDescent="0.3">
      <c r="A122" s="1" t="s">
        <v>29</v>
      </c>
      <c r="B122" s="1" t="s">
        <v>12</v>
      </c>
      <c r="C122" s="1" t="s">
        <v>34</v>
      </c>
      <c r="D122" s="1" t="s">
        <v>39</v>
      </c>
      <c r="E122" s="1">
        <v>4</v>
      </c>
      <c r="F122" s="1">
        <v>55809</v>
      </c>
      <c r="G122" s="1">
        <v>2</v>
      </c>
      <c r="H122" s="2">
        <v>46103</v>
      </c>
      <c r="I122" s="2">
        <v>46108</v>
      </c>
      <c r="J122" s="1" t="s">
        <v>29</v>
      </c>
      <c r="K122" s="1">
        <v>1121</v>
      </c>
      <c r="L122" s="1" t="str">
        <f t="shared" si="0"/>
        <v>Pri1121</v>
      </c>
      <c r="M122" s="1" t="str">
        <f t="shared" si="1"/>
        <v>Keyrd</v>
      </c>
      <c r="N122" s="1" t="str">
        <f t="shared" si="2"/>
        <v>eybo</v>
      </c>
    </row>
    <row r="123" spans="1:14" x14ac:dyDescent="0.3">
      <c r="A123" s="1" t="s">
        <v>40</v>
      </c>
      <c r="B123" s="1" t="s">
        <v>22</v>
      </c>
      <c r="C123" s="1" t="s">
        <v>34</v>
      </c>
      <c r="D123" s="1" t="s">
        <v>39</v>
      </c>
      <c r="E123" s="1">
        <v>14</v>
      </c>
      <c r="F123" s="1">
        <v>49990</v>
      </c>
      <c r="G123" s="1">
        <v>10</v>
      </c>
      <c r="H123" s="2">
        <v>46132</v>
      </c>
      <c r="I123" s="2">
        <v>46135</v>
      </c>
      <c r="J123" s="1" t="s">
        <v>29</v>
      </c>
      <c r="K123" s="1">
        <v>1122</v>
      </c>
      <c r="L123" s="1" t="str">
        <f t="shared" si="0"/>
        <v>Dee1122</v>
      </c>
      <c r="M123" s="1" t="str">
        <f t="shared" si="1"/>
        <v>Keyrd</v>
      </c>
      <c r="N123" s="1" t="str">
        <f t="shared" si="2"/>
        <v>eybo</v>
      </c>
    </row>
    <row r="124" spans="1:14" x14ac:dyDescent="0.3">
      <c r="A124" s="1" t="s">
        <v>32</v>
      </c>
      <c r="B124" s="1" t="s">
        <v>31</v>
      </c>
      <c r="C124" s="1" t="s">
        <v>34</v>
      </c>
      <c r="D124" s="1" t="s">
        <v>45</v>
      </c>
      <c r="E124" s="1">
        <v>16</v>
      </c>
      <c r="F124" s="1">
        <v>1332</v>
      </c>
      <c r="G124" s="1">
        <v>7</v>
      </c>
      <c r="H124" s="2">
        <v>46107</v>
      </c>
      <c r="I124" s="2">
        <v>46109</v>
      </c>
      <c r="J124" s="1" t="s">
        <v>29</v>
      </c>
      <c r="K124" s="1">
        <v>1123</v>
      </c>
      <c r="L124" s="1" t="str">
        <f t="shared" si="0"/>
        <v>Ash1123</v>
      </c>
      <c r="M124" s="1" t="str">
        <f t="shared" si="1"/>
        <v>Monor</v>
      </c>
      <c r="N124" s="1" t="str">
        <f t="shared" si="2"/>
        <v>onit</v>
      </c>
    </row>
    <row r="125" spans="1:14" x14ac:dyDescent="0.3">
      <c r="A125" s="1" t="s">
        <v>27</v>
      </c>
      <c r="B125" s="1" t="s">
        <v>38</v>
      </c>
      <c r="C125" s="1" t="s">
        <v>18</v>
      </c>
      <c r="D125" s="1" t="s">
        <v>56</v>
      </c>
      <c r="E125" s="1">
        <v>4</v>
      </c>
      <c r="F125" s="1">
        <v>14195</v>
      </c>
      <c r="G125" s="1">
        <v>15</v>
      </c>
      <c r="H125" s="2">
        <v>46182</v>
      </c>
      <c r="I125" s="2">
        <v>46189</v>
      </c>
      <c r="J125" s="1" t="s">
        <v>51</v>
      </c>
      <c r="K125" s="1">
        <v>1124</v>
      </c>
      <c r="L125" s="1" t="str">
        <f t="shared" si="0"/>
        <v>Arj1124</v>
      </c>
      <c r="M125" s="1" t="str">
        <f t="shared" si="1"/>
        <v>Cabet</v>
      </c>
      <c r="N125" s="1" t="str">
        <f t="shared" si="2"/>
        <v>abin</v>
      </c>
    </row>
    <row r="126" spans="1:14" x14ac:dyDescent="0.3">
      <c r="A126" s="1" t="s">
        <v>49</v>
      </c>
      <c r="B126" s="1" t="s">
        <v>33</v>
      </c>
      <c r="C126" s="1" t="s">
        <v>13</v>
      </c>
      <c r="D126" s="1" t="s">
        <v>14</v>
      </c>
      <c r="E126" s="1">
        <v>6</v>
      </c>
      <c r="F126" s="1">
        <v>30</v>
      </c>
      <c r="G126" s="1">
        <v>2</v>
      </c>
      <c r="H126" s="2">
        <v>46133</v>
      </c>
      <c r="I126" s="2">
        <v>46138</v>
      </c>
      <c r="J126" s="1" t="s">
        <v>24</v>
      </c>
      <c r="K126" s="1">
        <v>1125</v>
      </c>
      <c r="L126" s="1" t="str">
        <f t="shared" si="0"/>
        <v>Aja1125</v>
      </c>
      <c r="M126" s="1" t="str">
        <f t="shared" si="1"/>
        <v>Notok</v>
      </c>
      <c r="N126" s="1" t="str">
        <f t="shared" si="2"/>
        <v>oteb</v>
      </c>
    </row>
    <row r="127" spans="1:14" x14ac:dyDescent="0.3">
      <c r="A127" s="1" t="s">
        <v>46</v>
      </c>
      <c r="B127" s="1" t="s">
        <v>22</v>
      </c>
      <c r="C127" s="1" t="s">
        <v>34</v>
      </c>
      <c r="D127" s="1" t="s">
        <v>39</v>
      </c>
      <c r="E127" s="1">
        <v>17</v>
      </c>
      <c r="F127" s="1">
        <v>19390</v>
      </c>
      <c r="G127" s="1">
        <v>12</v>
      </c>
      <c r="H127" s="2">
        <v>46201</v>
      </c>
      <c r="I127" s="2">
        <v>46206</v>
      </c>
      <c r="J127" s="1" t="s">
        <v>29</v>
      </c>
      <c r="K127" s="1">
        <v>1126</v>
      </c>
      <c r="L127" s="1" t="str">
        <f t="shared" si="0"/>
        <v>Kir1126</v>
      </c>
      <c r="M127" s="1" t="str">
        <f t="shared" si="1"/>
        <v>Keyrd</v>
      </c>
      <c r="N127" s="1" t="str">
        <f t="shared" si="2"/>
        <v>eybo</v>
      </c>
    </row>
    <row r="128" spans="1:14" x14ac:dyDescent="0.3">
      <c r="A128" s="1" t="s">
        <v>26</v>
      </c>
      <c r="B128" s="1" t="s">
        <v>33</v>
      </c>
      <c r="C128" s="1" t="s">
        <v>18</v>
      </c>
      <c r="D128" s="1" t="s">
        <v>28</v>
      </c>
      <c r="E128" s="1">
        <v>15</v>
      </c>
      <c r="F128" s="1">
        <v>11694</v>
      </c>
      <c r="G128" s="1">
        <v>12</v>
      </c>
      <c r="H128" s="2">
        <v>46170</v>
      </c>
      <c r="I128" s="2">
        <v>46179</v>
      </c>
      <c r="J128" s="1" t="s">
        <v>29</v>
      </c>
      <c r="K128" s="1">
        <v>1127</v>
      </c>
      <c r="L128" s="1" t="str">
        <f t="shared" si="0"/>
        <v>Vik1127</v>
      </c>
      <c r="M128" s="1" t="str">
        <f t="shared" si="1"/>
        <v>Chair</v>
      </c>
      <c r="N128" s="1" t="str">
        <f t="shared" si="2"/>
        <v>hair</v>
      </c>
    </row>
    <row r="129" spans="1:14" x14ac:dyDescent="0.3">
      <c r="A129" s="1" t="s">
        <v>30</v>
      </c>
      <c r="B129" s="1" t="s">
        <v>22</v>
      </c>
      <c r="C129" s="1" t="s">
        <v>34</v>
      </c>
      <c r="D129" s="1" t="s">
        <v>61</v>
      </c>
      <c r="E129" s="1">
        <v>6</v>
      </c>
      <c r="F129" s="1">
        <v>5001</v>
      </c>
      <c r="G129" s="1">
        <v>7</v>
      </c>
      <c r="H129" s="2">
        <v>46044</v>
      </c>
      <c r="I129" s="2">
        <v>46050</v>
      </c>
      <c r="J129" s="1" t="s">
        <v>29</v>
      </c>
      <c r="K129" s="1">
        <v>1128</v>
      </c>
      <c r="L129" s="1" t="str">
        <f t="shared" si="0"/>
        <v>Neh1128</v>
      </c>
      <c r="M129" s="1" t="str">
        <f t="shared" si="1"/>
        <v>Mouse</v>
      </c>
      <c r="N129" s="1" t="str">
        <f t="shared" si="2"/>
        <v>ouse</v>
      </c>
    </row>
    <row r="130" spans="1:14" x14ac:dyDescent="0.3">
      <c r="A130" s="1" t="s">
        <v>58</v>
      </c>
      <c r="B130" s="1" t="s">
        <v>17</v>
      </c>
      <c r="C130" s="1" t="s">
        <v>13</v>
      </c>
      <c r="D130" s="1" t="s">
        <v>50</v>
      </c>
      <c r="E130" s="1">
        <v>15</v>
      </c>
      <c r="F130" s="1">
        <v>75</v>
      </c>
      <c r="G130" s="1">
        <v>7</v>
      </c>
      <c r="H130" s="2">
        <v>46160</v>
      </c>
      <c r="I130" s="2">
        <v>46164</v>
      </c>
      <c r="J130" s="1" t="s">
        <v>29</v>
      </c>
      <c r="K130" s="1">
        <v>1129</v>
      </c>
      <c r="L130" s="1" t="str">
        <f t="shared" si="0"/>
        <v>Roh1129</v>
      </c>
      <c r="M130" s="1" t="str">
        <f t="shared" si="1"/>
        <v>Marer</v>
      </c>
      <c r="N130" s="1" t="str">
        <f t="shared" si="2"/>
        <v>arke</v>
      </c>
    </row>
    <row r="131" spans="1:14" x14ac:dyDescent="0.3">
      <c r="A131" s="1" t="s">
        <v>48</v>
      </c>
      <c r="B131" s="1" t="s">
        <v>33</v>
      </c>
      <c r="C131" s="1" t="s">
        <v>13</v>
      </c>
      <c r="D131" s="1" t="s">
        <v>14</v>
      </c>
      <c r="E131" s="1">
        <v>12</v>
      </c>
      <c r="F131" s="1">
        <v>50</v>
      </c>
      <c r="G131" s="1">
        <v>2</v>
      </c>
      <c r="H131" s="2">
        <v>46125</v>
      </c>
      <c r="I131" s="2">
        <v>46131</v>
      </c>
      <c r="J131" s="1" t="s">
        <v>24</v>
      </c>
      <c r="K131" s="1">
        <v>1130</v>
      </c>
      <c r="L131" s="1" t="str">
        <f t="shared" si="0"/>
        <v>Nit1130</v>
      </c>
      <c r="M131" s="1" t="str">
        <f t="shared" si="1"/>
        <v>Notok</v>
      </c>
      <c r="N131" s="1" t="str">
        <f t="shared" si="2"/>
        <v>oteb</v>
      </c>
    </row>
    <row r="132" spans="1:14" x14ac:dyDescent="0.3">
      <c r="A132" s="1" t="s">
        <v>21</v>
      </c>
      <c r="B132" s="1" t="s">
        <v>31</v>
      </c>
      <c r="C132" s="1" t="s">
        <v>18</v>
      </c>
      <c r="D132" s="1" t="s">
        <v>23</v>
      </c>
      <c r="E132" s="1">
        <v>13</v>
      </c>
      <c r="F132" s="1">
        <v>3083</v>
      </c>
      <c r="G132" s="1">
        <v>7</v>
      </c>
      <c r="H132" s="2">
        <v>46168</v>
      </c>
      <c r="I132" s="2">
        <v>46173</v>
      </c>
      <c r="J132" s="1" t="s">
        <v>51</v>
      </c>
      <c r="K132" s="1">
        <v>1131</v>
      </c>
      <c r="L132" s="1" t="str">
        <f t="shared" si="0"/>
        <v>Mee1131</v>
      </c>
      <c r="M132" s="1" t="str">
        <f t="shared" si="1"/>
        <v>Table</v>
      </c>
      <c r="N132" s="1" t="str">
        <f t="shared" si="2"/>
        <v>able</v>
      </c>
    </row>
    <row r="133" spans="1:14" x14ac:dyDescent="0.3">
      <c r="A133" s="1" t="s">
        <v>11</v>
      </c>
      <c r="B133" s="1" t="s">
        <v>31</v>
      </c>
      <c r="C133" s="1" t="s">
        <v>13</v>
      </c>
      <c r="D133" s="1" t="s">
        <v>50</v>
      </c>
      <c r="E133" s="1">
        <v>10</v>
      </c>
      <c r="F133" s="1">
        <v>270</v>
      </c>
      <c r="G133" s="1">
        <v>7</v>
      </c>
      <c r="H133" s="2">
        <v>46024</v>
      </c>
      <c r="I133" s="2">
        <v>46034</v>
      </c>
      <c r="J133" s="1" t="s">
        <v>24</v>
      </c>
      <c r="K133" s="1">
        <v>1132</v>
      </c>
      <c r="L133" s="1" t="str">
        <f t="shared" si="0"/>
        <v>Rit1132</v>
      </c>
      <c r="M133" s="1" t="str">
        <f t="shared" si="1"/>
        <v>Marer</v>
      </c>
      <c r="N133" s="1" t="str">
        <f t="shared" si="2"/>
        <v>arke</v>
      </c>
    </row>
    <row r="134" spans="1:14" x14ac:dyDescent="0.3">
      <c r="A134" s="1" t="s">
        <v>11</v>
      </c>
      <c r="B134" s="1" t="s">
        <v>12</v>
      </c>
      <c r="C134" s="1" t="s">
        <v>18</v>
      </c>
      <c r="D134" s="1" t="s">
        <v>56</v>
      </c>
      <c r="E134" s="1">
        <v>6</v>
      </c>
      <c r="F134" s="1">
        <v>9037</v>
      </c>
      <c r="G134" s="1">
        <v>2</v>
      </c>
      <c r="H134" s="2">
        <v>46112</v>
      </c>
      <c r="I134" s="2">
        <v>46121</v>
      </c>
      <c r="J134" s="1" t="s">
        <v>51</v>
      </c>
      <c r="K134" s="1">
        <v>1133</v>
      </c>
      <c r="L134" s="1" t="str">
        <f t="shared" si="0"/>
        <v>Rit1133</v>
      </c>
      <c r="M134" s="1" t="str">
        <f t="shared" si="1"/>
        <v>Cabet</v>
      </c>
      <c r="N134" s="1" t="str">
        <f t="shared" si="2"/>
        <v>abin</v>
      </c>
    </row>
    <row r="135" spans="1:14" x14ac:dyDescent="0.3">
      <c r="A135" s="1" t="s">
        <v>57</v>
      </c>
      <c r="B135" s="1" t="s">
        <v>31</v>
      </c>
      <c r="C135" s="1" t="s">
        <v>34</v>
      </c>
      <c r="D135" s="1" t="s">
        <v>61</v>
      </c>
      <c r="E135" s="1">
        <v>10</v>
      </c>
      <c r="F135" s="1">
        <v>29217</v>
      </c>
      <c r="G135" s="1">
        <v>15</v>
      </c>
      <c r="H135" s="2">
        <v>46148</v>
      </c>
      <c r="I135" s="2">
        <v>46150</v>
      </c>
      <c r="J135" s="1" t="s">
        <v>24</v>
      </c>
      <c r="K135" s="1">
        <v>1134</v>
      </c>
      <c r="L135" s="1" t="str">
        <f t="shared" si="0"/>
        <v>Sar1134</v>
      </c>
      <c r="M135" s="1" t="str">
        <f t="shared" si="1"/>
        <v>Mouse</v>
      </c>
      <c r="N135" s="1" t="str">
        <f t="shared" si="2"/>
        <v>ouse</v>
      </c>
    </row>
    <row r="136" spans="1:14" x14ac:dyDescent="0.3">
      <c r="A136" s="1" t="s">
        <v>49</v>
      </c>
      <c r="B136" s="1" t="s">
        <v>43</v>
      </c>
      <c r="C136" s="1" t="s">
        <v>34</v>
      </c>
      <c r="D136" s="1" t="s">
        <v>39</v>
      </c>
      <c r="E136" s="1">
        <v>14</v>
      </c>
      <c r="F136" s="1">
        <v>68534</v>
      </c>
      <c r="G136" s="1">
        <v>0</v>
      </c>
      <c r="H136" s="2">
        <v>46041</v>
      </c>
      <c r="I136" s="2">
        <v>46042</v>
      </c>
      <c r="J136" s="1" t="s">
        <v>15</v>
      </c>
      <c r="K136" s="1">
        <v>1135</v>
      </c>
      <c r="L136" s="1" t="str">
        <f t="shared" si="0"/>
        <v>Aja1135</v>
      </c>
      <c r="M136" s="1" t="str">
        <f t="shared" si="1"/>
        <v>Keyrd</v>
      </c>
      <c r="N136" s="1" t="str">
        <f t="shared" si="2"/>
        <v>eybo</v>
      </c>
    </row>
    <row r="137" spans="1:14" x14ac:dyDescent="0.3">
      <c r="A137" s="1" t="s">
        <v>27</v>
      </c>
      <c r="B137" s="1" t="s">
        <v>43</v>
      </c>
      <c r="C137" s="1" t="s">
        <v>18</v>
      </c>
      <c r="D137" s="1" t="s">
        <v>56</v>
      </c>
      <c r="E137" s="1">
        <v>19</v>
      </c>
      <c r="F137" s="1">
        <v>14528</v>
      </c>
      <c r="G137" s="1">
        <v>12</v>
      </c>
      <c r="H137" s="2">
        <v>46056</v>
      </c>
      <c r="I137" s="2">
        <v>46062</v>
      </c>
      <c r="J137" s="1" t="s">
        <v>24</v>
      </c>
      <c r="K137" s="1">
        <v>1136</v>
      </c>
      <c r="L137" s="1" t="str">
        <f t="shared" si="0"/>
        <v>Arj1136</v>
      </c>
      <c r="M137" s="1" t="str">
        <f t="shared" si="1"/>
        <v>Cabet</v>
      </c>
      <c r="N137" s="1" t="str">
        <f t="shared" si="2"/>
        <v>abin</v>
      </c>
    </row>
    <row r="138" spans="1:14" x14ac:dyDescent="0.3">
      <c r="A138" s="1" t="s">
        <v>52</v>
      </c>
      <c r="B138" s="1" t="s">
        <v>12</v>
      </c>
      <c r="C138" s="1" t="s">
        <v>13</v>
      </c>
      <c r="D138" s="1" t="s">
        <v>37</v>
      </c>
      <c r="E138" s="1">
        <v>16</v>
      </c>
      <c r="F138" s="1">
        <v>270</v>
      </c>
      <c r="G138" s="1">
        <v>10</v>
      </c>
      <c r="H138" s="2">
        <v>46184</v>
      </c>
      <c r="I138" s="2">
        <v>46190</v>
      </c>
      <c r="J138" s="1" t="s">
        <v>29</v>
      </c>
      <c r="K138" s="1">
        <v>1137</v>
      </c>
      <c r="L138" s="1" t="str">
        <f t="shared" si="0"/>
        <v>Kom1137</v>
      </c>
      <c r="M138" s="1" t="str">
        <f t="shared" si="1"/>
        <v>Penck</v>
      </c>
      <c r="N138" s="1" t="str">
        <f t="shared" si="2"/>
        <v>en P</v>
      </c>
    </row>
    <row r="139" spans="1:14" x14ac:dyDescent="0.3">
      <c r="A139" s="1" t="s">
        <v>55</v>
      </c>
      <c r="B139" s="1" t="s">
        <v>43</v>
      </c>
      <c r="C139" s="1" t="s">
        <v>18</v>
      </c>
      <c r="D139" s="1" t="s">
        <v>19</v>
      </c>
      <c r="E139" s="1">
        <v>5</v>
      </c>
      <c r="F139" s="1">
        <v>14466</v>
      </c>
      <c r="G139" s="1">
        <v>2</v>
      </c>
      <c r="H139" s="2">
        <v>46084</v>
      </c>
      <c r="I139" s="2">
        <v>46092</v>
      </c>
      <c r="J139" s="1" t="s">
        <v>51</v>
      </c>
      <c r="K139" s="1">
        <v>1138</v>
      </c>
      <c r="L139" s="1" t="str">
        <f t="shared" si="0"/>
        <v>Sne1138</v>
      </c>
      <c r="M139" s="1" t="str">
        <f t="shared" si="1"/>
        <v>Dessk</v>
      </c>
      <c r="N139" s="1" t="str">
        <f t="shared" si="2"/>
        <v>esk</v>
      </c>
    </row>
    <row r="140" spans="1:14" x14ac:dyDescent="0.3">
      <c r="A140" s="1" t="s">
        <v>55</v>
      </c>
      <c r="B140" s="1" t="s">
        <v>33</v>
      </c>
      <c r="C140" s="1" t="s">
        <v>34</v>
      </c>
      <c r="D140" s="1" t="s">
        <v>61</v>
      </c>
      <c r="E140" s="1">
        <v>17</v>
      </c>
      <c r="F140" s="1">
        <v>28839</v>
      </c>
      <c r="G140" s="1">
        <v>10</v>
      </c>
      <c r="H140" s="2">
        <v>46093</v>
      </c>
      <c r="I140" s="2">
        <v>46099</v>
      </c>
      <c r="J140" s="1" t="s">
        <v>15</v>
      </c>
      <c r="K140" s="1">
        <v>1139</v>
      </c>
      <c r="L140" s="1" t="str">
        <f t="shared" si="0"/>
        <v>Sne1139</v>
      </c>
      <c r="M140" s="1" t="str">
        <f t="shared" si="1"/>
        <v>Mouse</v>
      </c>
      <c r="N140" s="1" t="str">
        <f t="shared" si="2"/>
        <v>ouse</v>
      </c>
    </row>
    <row r="141" spans="1:14" x14ac:dyDescent="0.3">
      <c r="A141" s="1" t="s">
        <v>57</v>
      </c>
      <c r="B141" s="1" t="s">
        <v>38</v>
      </c>
      <c r="C141" s="1" t="s">
        <v>34</v>
      </c>
      <c r="D141" s="1" t="s">
        <v>41</v>
      </c>
      <c r="E141" s="1">
        <v>5</v>
      </c>
      <c r="F141" s="1">
        <v>68012</v>
      </c>
      <c r="G141" s="1">
        <v>5</v>
      </c>
      <c r="H141" s="2">
        <v>46061</v>
      </c>
      <c r="I141" s="2">
        <v>46065</v>
      </c>
      <c r="J141" s="1" t="s">
        <v>15</v>
      </c>
      <c r="K141" s="1">
        <v>1140</v>
      </c>
      <c r="L141" s="1" t="str">
        <f t="shared" si="0"/>
        <v>Sar1140</v>
      </c>
      <c r="M141" s="1" t="str">
        <f t="shared" si="1"/>
        <v>Heaet</v>
      </c>
      <c r="N141" s="1" t="str">
        <f t="shared" si="2"/>
        <v>eads</v>
      </c>
    </row>
    <row r="142" spans="1:14" x14ac:dyDescent="0.3">
      <c r="A142" s="1" t="s">
        <v>11</v>
      </c>
      <c r="B142" s="1" t="s">
        <v>17</v>
      </c>
      <c r="C142" s="1" t="s">
        <v>18</v>
      </c>
      <c r="D142" s="1" t="s">
        <v>44</v>
      </c>
      <c r="E142" s="1">
        <v>20</v>
      </c>
      <c r="F142" s="1">
        <v>6835</v>
      </c>
      <c r="G142" s="1">
        <v>2</v>
      </c>
      <c r="H142" s="2">
        <v>46043</v>
      </c>
      <c r="I142" s="2">
        <v>46053</v>
      </c>
      <c r="J142" s="1" t="s">
        <v>15</v>
      </c>
      <c r="K142" s="1">
        <v>1141</v>
      </c>
      <c r="L142" s="1" t="str">
        <f t="shared" si="0"/>
        <v>Rit1141</v>
      </c>
      <c r="M142" s="1" t="str">
        <f t="shared" si="1"/>
        <v>Boolf</v>
      </c>
      <c r="N142" s="1" t="str">
        <f t="shared" si="2"/>
        <v>ooks</v>
      </c>
    </row>
    <row r="143" spans="1:14" x14ac:dyDescent="0.3">
      <c r="A143" s="1" t="s">
        <v>40</v>
      </c>
      <c r="B143" s="1" t="s">
        <v>25</v>
      </c>
      <c r="C143" s="1" t="s">
        <v>34</v>
      </c>
      <c r="D143" s="1" t="s">
        <v>60</v>
      </c>
      <c r="E143" s="1">
        <v>9</v>
      </c>
      <c r="F143" s="1">
        <v>59788</v>
      </c>
      <c r="G143" s="1">
        <v>7</v>
      </c>
      <c r="H143" s="2">
        <v>46064</v>
      </c>
      <c r="I143" s="2">
        <v>46071</v>
      </c>
      <c r="J143" s="1" t="s">
        <v>29</v>
      </c>
      <c r="K143" s="1">
        <v>1142</v>
      </c>
      <c r="L143" s="1" t="str">
        <f t="shared" si="0"/>
        <v>Dee1142</v>
      </c>
      <c r="M143" s="1" t="str">
        <f t="shared" si="1"/>
        <v>Lapop</v>
      </c>
      <c r="N143" s="1" t="str">
        <f t="shared" si="2"/>
        <v>apto</v>
      </c>
    </row>
    <row r="144" spans="1:14" x14ac:dyDescent="0.3">
      <c r="A144" s="1" t="s">
        <v>29</v>
      </c>
      <c r="B144" s="1" t="s">
        <v>17</v>
      </c>
      <c r="C144" s="1" t="s">
        <v>13</v>
      </c>
      <c r="D144" s="1" t="s">
        <v>37</v>
      </c>
      <c r="E144" s="1">
        <v>13</v>
      </c>
      <c r="F144" s="1">
        <v>456</v>
      </c>
      <c r="G144" s="1">
        <v>2</v>
      </c>
      <c r="H144" s="2">
        <v>46160</v>
      </c>
      <c r="I144" s="2">
        <v>46167</v>
      </c>
      <c r="J144" s="1" t="s">
        <v>24</v>
      </c>
      <c r="K144" s="1">
        <v>1143</v>
      </c>
      <c r="L144" s="1" t="str">
        <f t="shared" si="0"/>
        <v>Pri1143</v>
      </c>
      <c r="M144" s="1" t="str">
        <f t="shared" si="1"/>
        <v>Penck</v>
      </c>
      <c r="N144" s="1" t="str">
        <f t="shared" si="2"/>
        <v>en P</v>
      </c>
    </row>
    <row r="145" spans="1:14" x14ac:dyDescent="0.3">
      <c r="A145" s="1" t="s">
        <v>42</v>
      </c>
      <c r="B145" s="1" t="s">
        <v>25</v>
      </c>
      <c r="C145" s="1" t="s">
        <v>13</v>
      </c>
      <c r="D145" s="1" t="s">
        <v>14</v>
      </c>
      <c r="E145" s="1">
        <v>16</v>
      </c>
      <c r="F145" s="1">
        <v>219</v>
      </c>
      <c r="G145" s="1">
        <v>7</v>
      </c>
      <c r="H145" s="2">
        <v>46138</v>
      </c>
      <c r="I145" s="2">
        <v>46140</v>
      </c>
      <c r="J145" s="1" t="s">
        <v>20</v>
      </c>
      <c r="K145" s="1">
        <v>1144</v>
      </c>
      <c r="L145" s="1" t="str">
        <f t="shared" si="0"/>
        <v>Nis1144</v>
      </c>
      <c r="M145" s="1" t="str">
        <f t="shared" si="1"/>
        <v>Notok</v>
      </c>
      <c r="N145" s="1" t="str">
        <f t="shared" si="2"/>
        <v>oteb</v>
      </c>
    </row>
    <row r="146" spans="1:14" x14ac:dyDescent="0.3">
      <c r="A146" s="1" t="s">
        <v>42</v>
      </c>
      <c r="B146" s="1" t="s">
        <v>33</v>
      </c>
      <c r="C146" s="1" t="s">
        <v>34</v>
      </c>
      <c r="D146" s="1" t="s">
        <v>39</v>
      </c>
      <c r="E146" s="1">
        <v>2</v>
      </c>
      <c r="F146" s="1">
        <v>34429</v>
      </c>
      <c r="G146" s="1">
        <v>12</v>
      </c>
      <c r="H146" s="2">
        <v>46102</v>
      </c>
      <c r="I146" s="2">
        <v>46112</v>
      </c>
      <c r="J146" s="1" t="s">
        <v>24</v>
      </c>
      <c r="K146" s="1">
        <v>1145</v>
      </c>
      <c r="L146" s="1" t="str">
        <f t="shared" si="0"/>
        <v>Nis1145</v>
      </c>
      <c r="M146" s="1" t="str">
        <f t="shared" si="1"/>
        <v>Keyrd</v>
      </c>
      <c r="N146" s="1" t="str">
        <f t="shared" si="2"/>
        <v>eybo</v>
      </c>
    </row>
    <row r="147" spans="1:14" x14ac:dyDescent="0.3">
      <c r="A147" s="1" t="s">
        <v>16</v>
      </c>
      <c r="B147" s="1" t="s">
        <v>43</v>
      </c>
      <c r="C147" s="1" t="s">
        <v>34</v>
      </c>
      <c r="D147" s="1" t="s">
        <v>45</v>
      </c>
      <c r="E147" s="1">
        <v>7</v>
      </c>
      <c r="F147" s="1">
        <v>68217</v>
      </c>
      <c r="G147" s="1">
        <v>0</v>
      </c>
      <c r="H147" s="2">
        <v>46190</v>
      </c>
      <c r="I147" s="2">
        <v>46197</v>
      </c>
      <c r="J147" s="1" t="s">
        <v>29</v>
      </c>
      <c r="K147" s="1">
        <v>1146</v>
      </c>
      <c r="L147" s="1" t="str">
        <f t="shared" si="0"/>
        <v>Poo1146</v>
      </c>
      <c r="M147" s="1" t="str">
        <f t="shared" si="1"/>
        <v>Monor</v>
      </c>
      <c r="N147" s="1" t="str">
        <f t="shared" si="2"/>
        <v>onit</v>
      </c>
    </row>
    <row r="148" spans="1:14" x14ac:dyDescent="0.3">
      <c r="A148" s="1" t="s">
        <v>11</v>
      </c>
      <c r="B148" s="1" t="s">
        <v>22</v>
      </c>
      <c r="C148" s="1" t="s">
        <v>18</v>
      </c>
      <c r="D148" s="1" t="s">
        <v>28</v>
      </c>
      <c r="E148" s="1">
        <v>7</v>
      </c>
      <c r="F148" s="1">
        <v>9581</v>
      </c>
      <c r="G148" s="1">
        <v>5</v>
      </c>
      <c r="H148" s="2">
        <v>46154</v>
      </c>
      <c r="I148" s="2">
        <v>46155</v>
      </c>
      <c r="J148" s="1" t="s">
        <v>20</v>
      </c>
      <c r="K148" s="1">
        <v>1147</v>
      </c>
      <c r="L148" s="1" t="str">
        <f t="shared" si="0"/>
        <v>Rit1147</v>
      </c>
      <c r="M148" s="1" t="str">
        <f t="shared" si="1"/>
        <v>Chair</v>
      </c>
      <c r="N148" s="1" t="str">
        <f t="shared" si="2"/>
        <v>hair</v>
      </c>
    </row>
    <row r="149" spans="1:14" x14ac:dyDescent="0.3">
      <c r="A149" s="1" t="s">
        <v>59</v>
      </c>
      <c r="B149" s="1" t="s">
        <v>33</v>
      </c>
      <c r="C149" s="1" t="s">
        <v>18</v>
      </c>
      <c r="D149" s="1" t="s">
        <v>28</v>
      </c>
      <c r="E149" s="1">
        <v>11</v>
      </c>
      <c r="F149" s="1">
        <v>3023</v>
      </c>
      <c r="G149" s="1">
        <v>7</v>
      </c>
      <c r="H149" s="2">
        <v>46030</v>
      </c>
      <c r="I149" s="2">
        <v>46032</v>
      </c>
      <c r="J149" s="1" t="s">
        <v>24</v>
      </c>
      <c r="K149" s="1">
        <v>1148</v>
      </c>
      <c r="L149" s="1" t="str">
        <f t="shared" si="0"/>
        <v>Ani1148</v>
      </c>
      <c r="M149" s="1" t="str">
        <f t="shared" si="1"/>
        <v>Chair</v>
      </c>
      <c r="N149" s="1" t="str">
        <f t="shared" si="2"/>
        <v>hair</v>
      </c>
    </row>
    <row r="150" spans="1:14" x14ac:dyDescent="0.3">
      <c r="A150" s="1" t="s">
        <v>26</v>
      </c>
      <c r="B150" s="1" t="s">
        <v>38</v>
      </c>
      <c r="C150" s="1" t="s">
        <v>34</v>
      </c>
      <c r="D150" s="1" t="s">
        <v>35</v>
      </c>
      <c r="E150" s="1">
        <v>10</v>
      </c>
      <c r="F150" s="1">
        <v>22853</v>
      </c>
      <c r="G150" s="1">
        <v>7</v>
      </c>
      <c r="H150" s="2">
        <v>46053</v>
      </c>
      <c r="I150" s="2">
        <v>46054</v>
      </c>
      <c r="J150" s="1" t="s">
        <v>29</v>
      </c>
      <c r="K150" s="1">
        <v>1149</v>
      </c>
      <c r="L150" s="1" t="str">
        <f t="shared" si="0"/>
        <v>Vik1149</v>
      </c>
      <c r="M150" s="1" t="str">
        <f t="shared" si="1"/>
        <v>Prier</v>
      </c>
      <c r="N150" s="1" t="str">
        <f t="shared" si="2"/>
        <v>rint</v>
      </c>
    </row>
    <row r="151" spans="1:14" x14ac:dyDescent="0.3">
      <c r="A151" s="1" t="s">
        <v>42</v>
      </c>
      <c r="B151" s="1" t="s">
        <v>12</v>
      </c>
      <c r="C151" s="1" t="s">
        <v>18</v>
      </c>
      <c r="D151" s="1" t="s">
        <v>56</v>
      </c>
      <c r="E151" s="1">
        <v>10</v>
      </c>
      <c r="F151" s="1">
        <v>5323</v>
      </c>
      <c r="G151" s="1">
        <v>7</v>
      </c>
      <c r="H151" s="2">
        <v>46143</v>
      </c>
      <c r="I151" s="2">
        <v>46153</v>
      </c>
      <c r="J151" s="1" t="s">
        <v>24</v>
      </c>
      <c r="K151" s="1">
        <v>1150</v>
      </c>
      <c r="L151" s="1" t="str">
        <f t="shared" si="0"/>
        <v>Nis1150</v>
      </c>
      <c r="M151" s="1" t="str">
        <f t="shared" si="1"/>
        <v>Cabet</v>
      </c>
      <c r="N151" s="1" t="str">
        <f t="shared" si="2"/>
        <v>abin</v>
      </c>
    </row>
    <row r="152" spans="1:14" x14ac:dyDescent="0.3">
      <c r="A152" s="1" t="s">
        <v>46</v>
      </c>
      <c r="B152" s="1" t="s">
        <v>43</v>
      </c>
      <c r="C152" s="1" t="s">
        <v>13</v>
      </c>
      <c r="D152" s="1" t="s">
        <v>50</v>
      </c>
      <c r="E152" s="1">
        <v>20</v>
      </c>
      <c r="F152" s="1">
        <v>272</v>
      </c>
      <c r="G152" s="1">
        <v>15</v>
      </c>
      <c r="H152" s="2">
        <v>46024</v>
      </c>
      <c r="I152" s="2">
        <v>46029</v>
      </c>
      <c r="J152" s="1" t="s">
        <v>51</v>
      </c>
      <c r="K152" s="1">
        <v>1151</v>
      </c>
      <c r="L152" s="1" t="str">
        <f t="shared" si="0"/>
        <v>Kir1151</v>
      </c>
      <c r="M152" s="1" t="str">
        <f t="shared" si="1"/>
        <v>Marer</v>
      </c>
      <c r="N152" s="1" t="str">
        <f t="shared" si="2"/>
        <v>arke</v>
      </c>
    </row>
    <row r="153" spans="1:14" x14ac:dyDescent="0.3">
      <c r="A153" s="1" t="s">
        <v>27</v>
      </c>
      <c r="B153" s="1" t="s">
        <v>31</v>
      </c>
      <c r="C153" s="1" t="s">
        <v>34</v>
      </c>
      <c r="D153" s="1" t="s">
        <v>61</v>
      </c>
      <c r="E153" s="1">
        <v>14</v>
      </c>
      <c r="F153" s="1">
        <v>8150</v>
      </c>
      <c r="G153" s="1">
        <v>10</v>
      </c>
      <c r="H153" s="2">
        <v>46062</v>
      </c>
      <c r="I153" s="2">
        <v>46070</v>
      </c>
      <c r="J153" s="1" t="s">
        <v>15</v>
      </c>
      <c r="K153" s="1">
        <v>1152</v>
      </c>
      <c r="L153" s="1" t="str">
        <f t="shared" si="0"/>
        <v>Arj1152</v>
      </c>
      <c r="M153" s="1" t="str">
        <f t="shared" si="1"/>
        <v>Mouse</v>
      </c>
      <c r="N153" s="1" t="str">
        <f t="shared" si="2"/>
        <v>ouse</v>
      </c>
    </row>
    <row r="154" spans="1:14" x14ac:dyDescent="0.3">
      <c r="A154" s="1" t="s">
        <v>42</v>
      </c>
      <c r="B154" s="1" t="s">
        <v>25</v>
      </c>
      <c r="C154" s="1" t="s">
        <v>18</v>
      </c>
      <c r="D154" s="1" t="s">
        <v>23</v>
      </c>
      <c r="E154" s="1">
        <v>19</v>
      </c>
      <c r="F154" s="1">
        <v>10273</v>
      </c>
      <c r="G154" s="1">
        <v>12</v>
      </c>
      <c r="H154" s="2">
        <v>46069</v>
      </c>
      <c r="I154" s="2">
        <v>46072</v>
      </c>
      <c r="J154" s="1" t="s">
        <v>29</v>
      </c>
      <c r="K154" s="1">
        <v>1153</v>
      </c>
      <c r="L154" s="1" t="str">
        <f t="shared" si="0"/>
        <v>Nis1153</v>
      </c>
      <c r="M154" s="1" t="str">
        <f t="shared" si="1"/>
        <v>Table</v>
      </c>
      <c r="N154" s="1" t="str">
        <f t="shared" si="2"/>
        <v>able</v>
      </c>
    </row>
    <row r="155" spans="1:14" x14ac:dyDescent="0.3">
      <c r="A155" s="1" t="s">
        <v>32</v>
      </c>
      <c r="B155" s="1" t="s">
        <v>17</v>
      </c>
      <c r="C155" s="1" t="s">
        <v>18</v>
      </c>
      <c r="D155" s="1" t="s">
        <v>56</v>
      </c>
      <c r="E155" s="1">
        <v>15</v>
      </c>
      <c r="F155" s="1">
        <v>6101</v>
      </c>
      <c r="G155" s="1">
        <v>0</v>
      </c>
      <c r="H155" s="2">
        <v>46178</v>
      </c>
      <c r="I155" s="2">
        <v>46183</v>
      </c>
      <c r="J155" s="1" t="s">
        <v>51</v>
      </c>
      <c r="K155" s="1">
        <v>1154</v>
      </c>
      <c r="L155" s="1" t="str">
        <f t="shared" si="0"/>
        <v>Ash1154</v>
      </c>
      <c r="M155" s="1" t="str">
        <f t="shared" si="1"/>
        <v>Cabet</v>
      </c>
      <c r="N155" s="1" t="str">
        <f t="shared" si="2"/>
        <v>abin</v>
      </c>
    </row>
    <row r="156" spans="1:14" x14ac:dyDescent="0.3">
      <c r="A156" s="1" t="s">
        <v>11</v>
      </c>
      <c r="B156" s="1" t="s">
        <v>31</v>
      </c>
      <c r="C156" s="1" t="s">
        <v>18</v>
      </c>
      <c r="D156" s="1" t="s">
        <v>28</v>
      </c>
      <c r="E156" s="1">
        <v>13</v>
      </c>
      <c r="F156" s="1">
        <v>4341</v>
      </c>
      <c r="G156" s="1">
        <v>15</v>
      </c>
      <c r="H156" s="2">
        <v>46093</v>
      </c>
      <c r="I156" s="2">
        <v>46096</v>
      </c>
      <c r="J156" s="1" t="s">
        <v>24</v>
      </c>
      <c r="K156" s="1">
        <v>1155</v>
      </c>
      <c r="L156" s="1" t="str">
        <f t="shared" si="0"/>
        <v>Rit1155</v>
      </c>
      <c r="M156" s="1" t="str">
        <f t="shared" si="1"/>
        <v>Chair</v>
      </c>
      <c r="N156" s="1" t="str">
        <f t="shared" si="2"/>
        <v>hair</v>
      </c>
    </row>
    <row r="157" spans="1:14" x14ac:dyDescent="0.3">
      <c r="A157" s="1" t="s">
        <v>54</v>
      </c>
      <c r="B157" s="1" t="s">
        <v>38</v>
      </c>
      <c r="C157" s="1" t="s">
        <v>13</v>
      </c>
      <c r="D157" s="1" t="s">
        <v>36</v>
      </c>
      <c r="E157" s="1">
        <v>5</v>
      </c>
      <c r="F157" s="1">
        <v>466</v>
      </c>
      <c r="G157" s="1">
        <v>15</v>
      </c>
      <c r="H157" s="2">
        <v>46025</v>
      </c>
      <c r="I157" s="2">
        <v>46029</v>
      </c>
      <c r="J157" s="1" t="s">
        <v>15</v>
      </c>
      <c r="K157" s="1">
        <v>1156</v>
      </c>
      <c r="L157" s="1" t="str">
        <f t="shared" si="0"/>
        <v>Man1156</v>
      </c>
      <c r="M157" s="1" t="str">
        <f t="shared" si="1"/>
        <v>Staer</v>
      </c>
      <c r="N157" s="1" t="str">
        <f t="shared" si="2"/>
        <v>tapl</v>
      </c>
    </row>
    <row r="158" spans="1:14" x14ac:dyDescent="0.3">
      <c r="A158" s="1" t="s">
        <v>52</v>
      </c>
      <c r="B158" s="1" t="s">
        <v>33</v>
      </c>
      <c r="C158" s="1" t="s">
        <v>13</v>
      </c>
      <c r="D158" s="1" t="s">
        <v>50</v>
      </c>
      <c r="E158" s="1">
        <v>3</v>
      </c>
      <c r="F158" s="1">
        <v>203</v>
      </c>
      <c r="G158" s="1">
        <v>15</v>
      </c>
      <c r="H158" s="2">
        <v>46076</v>
      </c>
      <c r="I158" s="2">
        <v>46080</v>
      </c>
      <c r="J158" s="1" t="s">
        <v>29</v>
      </c>
      <c r="K158" s="1">
        <v>1157</v>
      </c>
      <c r="L158" s="1" t="str">
        <f t="shared" si="0"/>
        <v>Kom1157</v>
      </c>
      <c r="M158" s="1" t="str">
        <f t="shared" si="1"/>
        <v>Marer</v>
      </c>
      <c r="N158" s="1" t="str">
        <f t="shared" si="2"/>
        <v>arke</v>
      </c>
    </row>
    <row r="159" spans="1:14" x14ac:dyDescent="0.3">
      <c r="A159" s="1" t="s">
        <v>26</v>
      </c>
      <c r="B159" s="1" t="s">
        <v>38</v>
      </c>
      <c r="C159" s="1" t="s">
        <v>34</v>
      </c>
      <c r="D159" s="1" t="s">
        <v>41</v>
      </c>
      <c r="E159" s="1">
        <v>13</v>
      </c>
      <c r="F159" s="1">
        <v>12518</v>
      </c>
      <c r="G159" s="1">
        <v>2</v>
      </c>
      <c r="H159" s="2">
        <v>46079</v>
      </c>
      <c r="I159" s="2">
        <v>46082</v>
      </c>
      <c r="J159" s="1" t="s">
        <v>51</v>
      </c>
      <c r="K159" s="1">
        <v>1158</v>
      </c>
      <c r="L159" s="1" t="str">
        <f t="shared" si="0"/>
        <v>Vik1158</v>
      </c>
      <c r="M159" s="1" t="str">
        <f t="shared" si="1"/>
        <v>Heaet</v>
      </c>
      <c r="N159" s="1" t="str">
        <f t="shared" si="2"/>
        <v>eads</v>
      </c>
    </row>
    <row r="160" spans="1:14" x14ac:dyDescent="0.3">
      <c r="A160" s="1" t="s">
        <v>32</v>
      </c>
      <c r="B160" s="1" t="s">
        <v>43</v>
      </c>
      <c r="C160" s="1" t="s">
        <v>18</v>
      </c>
      <c r="D160" s="1" t="s">
        <v>28</v>
      </c>
      <c r="E160" s="1">
        <v>20</v>
      </c>
      <c r="F160" s="1">
        <v>14000</v>
      </c>
      <c r="G160" s="1">
        <v>15</v>
      </c>
      <c r="H160" s="2">
        <v>46184</v>
      </c>
      <c r="I160" s="2">
        <v>46187</v>
      </c>
      <c r="J160" s="1" t="s">
        <v>15</v>
      </c>
      <c r="K160" s="1">
        <v>1159</v>
      </c>
      <c r="L160" s="1" t="str">
        <f t="shared" si="0"/>
        <v>Ash1159</v>
      </c>
      <c r="M160" s="1" t="str">
        <f t="shared" si="1"/>
        <v>Chair</v>
      </c>
      <c r="N160" s="1" t="str">
        <f t="shared" si="2"/>
        <v>hair</v>
      </c>
    </row>
    <row r="161" spans="1:14" x14ac:dyDescent="0.3">
      <c r="A161" s="1" t="s">
        <v>59</v>
      </c>
      <c r="B161" s="1" t="s">
        <v>22</v>
      </c>
      <c r="C161" s="1" t="s">
        <v>34</v>
      </c>
      <c r="D161" s="1" t="s">
        <v>39</v>
      </c>
      <c r="E161" s="1">
        <v>7</v>
      </c>
      <c r="F161" s="1">
        <v>53986</v>
      </c>
      <c r="G161" s="1">
        <v>10</v>
      </c>
      <c r="H161" s="2">
        <v>46142</v>
      </c>
      <c r="I161" s="2">
        <v>46147</v>
      </c>
      <c r="J161" s="1" t="s">
        <v>51</v>
      </c>
      <c r="K161" s="1">
        <v>1160</v>
      </c>
      <c r="L161" s="1" t="str">
        <f t="shared" si="0"/>
        <v>Ani1160</v>
      </c>
      <c r="M161" s="1" t="str">
        <f t="shared" si="1"/>
        <v>Keyrd</v>
      </c>
      <c r="N161" s="1" t="str">
        <f t="shared" si="2"/>
        <v>eybo</v>
      </c>
    </row>
    <row r="162" spans="1:14" x14ac:dyDescent="0.3">
      <c r="A162" s="1" t="s">
        <v>27</v>
      </c>
      <c r="B162" s="1" t="s">
        <v>25</v>
      </c>
      <c r="C162" s="1" t="s">
        <v>34</v>
      </c>
      <c r="D162" s="1" t="s">
        <v>39</v>
      </c>
      <c r="E162" s="1">
        <v>4</v>
      </c>
      <c r="F162" s="1">
        <v>54659</v>
      </c>
      <c r="G162" s="1">
        <v>7</v>
      </c>
      <c r="H162" s="2">
        <v>46105</v>
      </c>
      <c r="I162" s="2">
        <v>46109</v>
      </c>
      <c r="J162" s="1" t="s">
        <v>20</v>
      </c>
      <c r="K162" s="1">
        <v>1161</v>
      </c>
      <c r="L162" s="1" t="str">
        <f t="shared" si="0"/>
        <v>Arj1161</v>
      </c>
      <c r="M162" s="1" t="str">
        <f t="shared" si="1"/>
        <v>Keyrd</v>
      </c>
      <c r="N162" s="1" t="str">
        <f t="shared" si="2"/>
        <v>eybo</v>
      </c>
    </row>
    <row r="163" spans="1:14" x14ac:dyDescent="0.3">
      <c r="A163" s="1" t="s">
        <v>57</v>
      </c>
      <c r="B163" s="1" t="s">
        <v>31</v>
      </c>
      <c r="C163" s="1" t="s">
        <v>34</v>
      </c>
      <c r="D163" s="1" t="s">
        <v>45</v>
      </c>
      <c r="E163" s="1">
        <v>2</v>
      </c>
      <c r="F163" s="1">
        <v>28176</v>
      </c>
      <c r="G163" s="1">
        <v>10</v>
      </c>
      <c r="H163" s="2">
        <v>46100</v>
      </c>
      <c r="I163" s="2">
        <v>46101</v>
      </c>
      <c r="J163" s="1" t="s">
        <v>20</v>
      </c>
      <c r="K163" s="1">
        <v>1162</v>
      </c>
      <c r="L163" s="1" t="str">
        <f t="shared" si="0"/>
        <v>Sar1162</v>
      </c>
      <c r="M163" s="1" t="str">
        <f t="shared" si="1"/>
        <v>Monor</v>
      </c>
      <c r="N163" s="1" t="str">
        <f t="shared" si="2"/>
        <v>onit</v>
      </c>
    </row>
    <row r="164" spans="1:14" x14ac:dyDescent="0.3">
      <c r="A164" s="1" t="s">
        <v>29</v>
      </c>
      <c r="B164" s="1" t="s">
        <v>38</v>
      </c>
      <c r="C164" s="1" t="s">
        <v>34</v>
      </c>
      <c r="D164" s="1" t="s">
        <v>39</v>
      </c>
      <c r="E164" s="1">
        <v>9</v>
      </c>
      <c r="F164" s="1">
        <v>62440</v>
      </c>
      <c r="G164" s="1">
        <v>2</v>
      </c>
      <c r="H164" s="2">
        <v>46081</v>
      </c>
      <c r="I164" s="2">
        <v>46086</v>
      </c>
      <c r="J164" s="1" t="s">
        <v>29</v>
      </c>
      <c r="K164" s="1">
        <v>1163</v>
      </c>
      <c r="L164" s="1" t="str">
        <f t="shared" si="0"/>
        <v>Pri1163</v>
      </c>
      <c r="M164" s="1" t="str">
        <f t="shared" si="1"/>
        <v>Keyrd</v>
      </c>
      <c r="N164" s="1" t="str">
        <f t="shared" si="2"/>
        <v>eybo</v>
      </c>
    </row>
    <row r="165" spans="1:14" x14ac:dyDescent="0.3">
      <c r="A165" s="1" t="s">
        <v>40</v>
      </c>
      <c r="B165" s="1" t="s">
        <v>43</v>
      </c>
      <c r="C165" s="1" t="s">
        <v>34</v>
      </c>
      <c r="D165" s="1" t="s">
        <v>61</v>
      </c>
      <c r="E165" s="1">
        <v>7</v>
      </c>
      <c r="F165" s="1">
        <v>24615</v>
      </c>
      <c r="G165" s="1">
        <v>12</v>
      </c>
      <c r="H165" s="2">
        <v>46196</v>
      </c>
      <c r="I165" s="2">
        <v>46203</v>
      </c>
      <c r="J165" s="1" t="s">
        <v>51</v>
      </c>
      <c r="K165" s="1">
        <v>1164</v>
      </c>
      <c r="L165" s="1" t="str">
        <f t="shared" si="0"/>
        <v>Dee1164</v>
      </c>
      <c r="M165" s="1" t="str">
        <f t="shared" si="1"/>
        <v>Mouse</v>
      </c>
      <c r="N165" s="1" t="str">
        <f t="shared" si="2"/>
        <v>ouse</v>
      </c>
    </row>
    <row r="166" spans="1:14" x14ac:dyDescent="0.3">
      <c r="A166" s="1" t="s">
        <v>48</v>
      </c>
      <c r="B166" s="1" t="s">
        <v>25</v>
      </c>
      <c r="C166" s="1" t="s">
        <v>13</v>
      </c>
      <c r="D166" s="1" t="s">
        <v>37</v>
      </c>
      <c r="E166" s="1">
        <v>1</v>
      </c>
      <c r="F166" s="1">
        <v>427</v>
      </c>
      <c r="G166" s="1">
        <v>0</v>
      </c>
      <c r="H166" s="2">
        <v>46042</v>
      </c>
      <c r="I166" s="2">
        <v>46050</v>
      </c>
      <c r="J166" s="1" t="s">
        <v>51</v>
      </c>
      <c r="K166" s="1">
        <v>1165</v>
      </c>
      <c r="L166" s="1" t="str">
        <f t="shared" si="0"/>
        <v>Nit1165</v>
      </c>
      <c r="M166" s="1" t="str">
        <f t="shared" si="1"/>
        <v>Penck</v>
      </c>
      <c r="N166" s="1" t="str">
        <f t="shared" si="2"/>
        <v>en P</v>
      </c>
    </row>
    <row r="167" spans="1:14" x14ac:dyDescent="0.3">
      <c r="A167" s="1" t="s">
        <v>32</v>
      </c>
      <c r="B167" s="1" t="s">
        <v>31</v>
      </c>
      <c r="C167" s="1" t="s">
        <v>13</v>
      </c>
      <c r="D167" s="1" t="s">
        <v>37</v>
      </c>
      <c r="E167" s="1">
        <v>1</v>
      </c>
      <c r="F167" s="1">
        <v>396</v>
      </c>
      <c r="G167" s="1">
        <v>5</v>
      </c>
      <c r="H167" s="2">
        <v>46092</v>
      </c>
      <c r="I167" s="2">
        <v>46093</v>
      </c>
      <c r="J167" s="1" t="s">
        <v>20</v>
      </c>
      <c r="K167" s="1">
        <v>1166</v>
      </c>
      <c r="L167" s="1" t="str">
        <f t="shared" si="0"/>
        <v>Ash1166</v>
      </c>
      <c r="M167" s="1" t="str">
        <f t="shared" si="1"/>
        <v>Penck</v>
      </c>
      <c r="N167" s="1" t="str">
        <f t="shared" si="2"/>
        <v>en P</v>
      </c>
    </row>
    <row r="168" spans="1:14" x14ac:dyDescent="0.3">
      <c r="A168" s="1" t="s">
        <v>48</v>
      </c>
      <c r="B168" s="1" t="s">
        <v>17</v>
      </c>
      <c r="C168" s="1" t="s">
        <v>13</v>
      </c>
      <c r="D168" s="1" t="s">
        <v>37</v>
      </c>
      <c r="E168" s="1">
        <v>20</v>
      </c>
      <c r="F168" s="1">
        <v>251</v>
      </c>
      <c r="G168" s="1">
        <v>5</v>
      </c>
      <c r="H168" s="2">
        <v>46160</v>
      </c>
      <c r="I168" s="2">
        <v>46170</v>
      </c>
      <c r="J168" s="1" t="s">
        <v>29</v>
      </c>
      <c r="K168" s="1">
        <v>1167</v>
      </c>
      <c r="L168" s="1" t="str">
        <f t="shared" si="0"/>
        <v>Nit1167</v>
      </c>
      <c r="M168" s="1" t="str">
        <f t="shared" si="1"/>
        <v>Penck</v>
      </c>
      <c r="N168" s="1" t="str">
        <f t="shared" si="2"/>
        <v>en P</v>
      </c>
    </row>
    <row r="169" spans="1:14" x14ac:dyDescent="0.3">
      <c r="A169" s="1" t="s">
        <v>54</v>
      </c>
      <c r="B169" s="1" t="s">
        <v>12</v>
      </c>
      <c r="C169" s="1" t="s">
        <v>13</v>
      </c>
      <c r="D169" s="1" t="s">
        <v>37</v>
      </c>
      <c r="E169" s="1">
        <v>18</v>
      </c>
      <c r="F169" s="1">
        <v>335</v>
      </c>
      <c r="G169" s="1">
        <v>15</v>
      </c>
      <c r="H169" s="2">
        <v>46130</v>
      </c>
      <c r="I169" s="2">
        <v>46140</v>
      </c>
      <c r="J169" s="1" t="s">
        <v>29</v>
      </c>
      <c r="K169" s="1">
        <v>1168</v>
      </c>
      <c r="L169" s="1" t="str">
        <f t="shared" si="0"/>
        <v>Man1168</v>
      </c>
      <c r="M169" s="1" t="str">
        <f t="shared" si="1"/>
        <v>Penck</v>
      </c>
      <c r="N169" s="1" t="str">
        <f t="shared" si="2"/>
        <v>en P</v>
      </c>
    </row>
    <row r="170" spans="1:14" x14ac:dyDescent="0.3">
      <c r="A170" s="1" t="s">
        <v>47</v>
      </c>
      <c r="B170" s="1" t="s">
        <v>12</v>
      </c>
      <c r="C170" s="1" t="s">
        <v>18</v>
      </c>
      <c r="D170" s="1" t="s">
        <v>56</v>
      </c>
      <c r="E170" s="1">
        <v>12</v>
      </c>
      <c r="F170" s="1">
        <v>12104</v>
      </c>
      <c r="G170" s="1">
        <v>7</v>
      </c>
      <c r="H170" s="2">
        <v>46121</v>
      </c>
      <c r="I170" s="2">
        <v>46130</v>
      </c>
      <c r="J170" s="1" t="s">
        <v>24</v>
      </c>
      <c r="K170" s="1">
        <v>1169</v>
      </c>
      <c r="L170" s="1" t="str">
        <f t="shared" si="0"/>
        <v>Yas1169</v>
      </c>
      <c r="M170" s="1" t="str">
        <f t="shared" si="1"/>
        <v>Cabet</v>
      </c>
      <c r="N170" s="1" t="str">
        <f t="shared" si="2"/>
        <v>abin</v>
      </c>
    </row>
    <row r="171" spans="1:14" x14ac:dyDescent="0.3">
      <c r="A171" s="1" t="s">
        <v>49</v>
      </c>
      <c r="B171" s="1" t="s">
        <v>38</v>
      </c>
      <c r="C171" s="1" t="s">
        <v>13</v>
      </c>
      <c r="D171" s="1" t="s">
        <v>14</v>
      </c>
      <c r="E171" s="1">
        <v>6</v>
      </c>
      <c r="F171" s="1">
        <v>339</v>
      </c>
      <c r="G171" s="1">
        <v>12</v>
      </c>
      <c r="H171" s="2">
        <v>46105</v>
      </c>
      <c r="I171" s="2">
        <v>46106</v>
      </c>
      <c r="J171" s="1" t="s">
        <v>24</v>
      </c>
      <c r="K171" s="1">
        <v>1170</v>
      </c>
      <c r="L171" s="1" t="str">
        <f t="shared" si="0"/>
        <v>Aja1170</v>
      </c>
      <c r="M171" s="1" t="str">
        <f t="shared" si="1"/>
        <v>Notok</v>
      </c>
      <c r="N171" s="1" t="str">
        <f t="shared" si="2"/>
        <v>oteb</v>
      </c>
    </row>
    <row r="172" spans="1:14" x14ac:dyDescent="0.3">
      <c r="A172" s="1" t="s">
        <v>57</v>
      </c>
      <c r="B172" s="1" t="s">
        <v>25</v>
      </c>
      <c r="C172" s="1" t="s">
        <v>13</v>
      </c>
      <c r="D172" s="1" t="s">
        <v>50</v>
      </c>
      <c r="E172" s="1">
        <v>17</v>
      </c>
      <c r="F172" s="1">
        <v>147</v>
      </c>
      <c r="G172" s="1">
        <v>12</v>
      </c>
      <c r="H172" s="2">
        <v>46155</v>
      </c>
      <c r="I172" s="2">
        <v>46160</v>
      </c>
      <c r="J172" s="1" t="s">
        <v>20</v>
      </c>
      <c r="K172" s="1">
        <v>1171</v>
      </c>
      <c r="L172" s="1" t="str">
        <f t="shared" si="0"/>
        <v>Sar1171</v>
      </c>
      <c r="M172" s="1" t="str">
        <f t="shared" si="1"/>
        <v>Marer</v>
      </c>
      <c r="N172" s="1" t="str">
        <f t="shared" si="2"/>
        <v>arke</v>
      </c>
    </row>
    <row r="173" spans="1:14" x14ac:dyDescent="0.3">
      <c r="A173" s="1" t="s">
        <v>16</v>
      </c>
      <c r="B173" s="1" t="s">
        <v>12</v>
      </c>
      <c r="C173" s="1" t="s">
        <v>34</v>
      </c>
      <c r="D173" s="1" t="s">
        <v>45</v>
      </c>
      <c r="E173" s="1">
        <v>13</v>
      </c>
      <c r="F173" s="1">
        <v>43163</v>
      </c>
      <c r="G173" s="1">
        <v>12</v>
      </c>
      <c r="H173" s="2">
        <v>46120</v>
      </c>
      <c r="I173" s="2">
        <v>46129</v>
      </c>
      <c r="J173" s="1" t="s">
        <v>24</v>
      </c>
      <c r="K173" s="1">
        <v>1172</v>
      </c>
      <c r="L173" s="1" t="str">
        <f t="shared" si="0"/>
        <v>Poo1172</v>
      </c>
      <c r="M173" s="1" t="str">
        <f t="shared" si="1"/>
        <v>Monor</v>
      </c>
      <c r="N173" s="1" t="str">
        <f t="shared" si="2"/>
        <v>onit</v>
      </c>
    </row>
    <row r="174" spans="1:14" x14ac:dyDescent="0.3">
      <c r="A174" s="1" t="s">
        <v>40</v>
      </c>
      <c r="B174" s="1" t="s">
        <v>17</v>
      </c>
      <c r="C174" s="1" t="s">
        <v>13</v>
      </c>
      <c r="D174" s="1" t="s">
        <v>37</v>
      </c>
      <c r="E174" s="1">
        <v>15</v>
      </c>
      <c r="F174" s="1">
        <v>214</v>
      </c>
      <c r="G174" s="1">
        <v>10</v>
      </c>
      <c r="H174" s="2">
        <v>46050</v>
      </c>
      <c r="I174" s="2">
        <v>46060</v>
      </c>
      <c r="J174" s="1" t="s">
        <v>51</v>
      </c>
      <c r="K174" s="1">
        <v>1173</v>
      </c>
      <c r="L174" s="1" t="str">
        <f t="shared" si="0"/>
        <v>Dee1173</v>
      </c>
      <c r="M174" s="1" t="str">
        <f t="shared" si="1"/>
        <v>Penck</v>
      </c>
      <c r="N174" s="1" t="str">
        <f t="shared" si="2"/>
        <v>en P</v>
      </c>
    </row>
    <row r="175" spans="1:14" x14ac:dyDescent="0.3">
      <c r="A175" s="1" t="s">
        <v>58</v>
      </c>
      <c r="B175" s="1" t="s">
        <v>38</v>
      </c>
      <c r="C175" s="1" t="s">
        <v>13</v>
      </c>
      <c r="D175" s="1" t="s">
        <v>14</v>
      </c>
      <c r="E175" s="1">
        <v>13</v>
      </c>
      <c r="F175" s="1">
        <v>155</v>
      </c>
      <c r="G175" s="1">
        <v>2</v>
      </c>
      <c r="H175" s="2">
        <v>46066</v>
      </c>
      <c r="I175" s="2">
        <v>46069</v>
      </c>
      <c r="J175" s="1" t="s">
        <v>24</v>
      </c>
      <c r="K175" s="1">
        <v>1174</v>
      </c>
      <c r="L175" s="1" t="str">
        <f t="shared" si="0"/>
        <v>Roh1174</v>
      </c>
      <c r="M175" s="1" t="str">
        <f t="shared" si="1"/>
        <v>Notok</v>
      </c>
      <c r="N175" s="1" t="str">
        <f t="shared" si="2"/>
        <v>oteb</v>
      </c>
    </row>
    <row r="176" spans="1:14" x14ac:dyDescent="0.3">
      <c r="A176" s="1" t="s">
        <v>26</v>
      </c>
      <c r="B176" s="1" t="s">
        <v>17</v>
      </c>
      <c r="C176" s="1" t="s">
        <v>34</v>
      </c>
      <c r="D176" s="1" t="s">
        <v>41</v>
      </c>
      <c r="E176" s="1">
        <v>10</v>
      </c>
      <c r="F176" s="1">
        <v>20339</v>
      </c>
      <c r="G176" s="1">
        <v>2</v>
      </c>
      <c r="H176" s="2">
        <v>46088</v>
      </c>
      <c r="I176" s="2">
        <v>46094</v>
      </c>
      <c r="J176" s="1" t="s">
        <v>20</v>
      </c>
      <c r="K176" s="1">
        <v>1175</v>
      </c>
      <c r="L176" s="1" t="str">
        <f t="shared" si="0"/>
        <v>Vik1175</v>
      </c>
      <c r="M176" s="1" t="str">
        <f t="shared" si="1"/>
        <v>Heaet</v>
      </c>
      <c r="N176" s="1" t="str">
        <f t="shared" si="2"/>
        <v>eads</v>
      </c>
    </row>
    <row r="177" spans="1:14" x14ac:dyDescent="0.3">
      <c r="A177" s="1" t="s">
        <v>58</v>
      </c>
      <c r="B177" s="1" t="s">
        <v>38</v>
      </c>
      <c r="C177" s="1" t="s">
        <v>34</v>
      </c>
      <c r="D177" s="1" t="s">
        <v>41</v>
      </c>
      <c r="E177" s="1">
        <v>17</v>
      </c>
      <c r="F177" s="1">
        <v>46937</v>
      </c>
      <c r="G177" s="1">
        <v>12</v>
      </c>
      <c r="H177" s="2">
        <v>46048</v>
      </c>
      <c r="I177" s="2">
        <v>46056</v>
      </c>
      <c r="J177" s="1" t="s">
        <v>29</v>
      </c>
      <c r="K177" s="1">
        <v>1176</v>
      </c>
      <c r="L177" s="1" t="str">
        <f t="shared" si="0"/>
        <v>Roh1176</v>
      </c>
      <c r="M177" s="1" t="str">
        <f t="shared" si="1"/>
        <v>Heaet</v>
      </c>
      <c r="N177" s="1" t="str">
        <f t="shared" si="2"/>
        <v>eads</v>
      </c>
    </row>
    <row r="178" spans="1:14" x14ac:dyDescent="0.3">
      <c r="A178" s="1" t="s">
        <v>29</v>
      </c>
      <c r="B178" s="1" t="s">
        <v>22</v>
      </c>
      <c r="C178" s="1" t="s">
        <v>18</v>
      </c>
      <c r="D178" s="1" t="s">
        <v>19</v>
      </c>
      <c r="E178" s="1">
        <v>14</v>
      </c>
      <c r="F178" s="1">
        <v>7501</v>
      </c>
      <c r="G178" s="1">
        <v>7</v>
      </c>
      <c r="H178" s="2">
        <v>46169</v>
      </c>
      <c r="I178" s="2">
        <v>46179</v>
      </c>
      <c r="J178" s="1" t="s">
        <v>20</v>
      </c>
      <c r="K178" s="1">
        <v>1177</v>
      </c>
      <c r="L178" s="1" t="str">
        <f t="shared" si="0"/>
        <v>Pri1177</v>
      </c>
      <c r="M178" s="1" t="str">
        <f t="shared" si="1"/>
        <v>Dessk</v>
      </c>
      <c r="N178" s="1" t="str">
        <f t="shared" si="2"/>
        <v>esk</v>
      </c>
    </row>
    <row r="179" spans="1:14" x14ac:dyDescent="0.3">
      <c r="A179" s="1" t="s">
        <v>57</v>
      </c>
      <c r="B179" s="1" t="s">
        <v>17</v>
      </c>
      <c r="C179" s="1" t="s">
        <v>13</v>
      </c>
      <c r="D179" s="1" t="s">
        <v>50</v>
      </c>
      <c r="E179" s="1">
        <v>5</v>
      </c>
      <c r="F179" s="1">
        <v>50</v>
      </c>
      <c r="G179" s="1">
        <v>0</v>
      </c>
      <c r="H179" s="2">
        <v>46111</v>
      </c>
      <c r="I179" s="2">
        <v>46117</v>
      </c>
      <c r="J179" s="1" t="s">
        <v>20</v>
      </c>
      <c r="K179" s="1">
        <v>1178</v>
      </c>
      <c r="L179" s="1" t="str">
        <f t="shared" si="0"/>
        <v>Sar1178</v>
      </c>
      <c r="M179" s="1" t="str">
        <f t="shared" si="1"/>
        <v>Marer</v>
      </c>
      <c r="N179" s="1" t="str">
        <f t="shared" si="2"/>
        <v>arke</v>
      </c>
    </row>
    <row r="180" spans="1:14" x14ac:dyDescent="0.3">
      <c r="A180" s="1" t="s">
        <v>47</v>
      </c>
      <c r="B180" s="1" t="s">
        <v>17</v>
      </c>
      <c r="C180" s="1" t="s">
        <v>34</v>
      </c>
      <c r="D180" s="1" t="s">
        <v>39</v>
      </c>
      <c r="E180" s="1">
        <v>6</v>
      </c>
      <c r="F180" s="1">
        <v>10400</v>
      </c>
      <c r="G180" s="1">
        <v>2</v>
      </c>
      <c r="H180" s="2">
        <v>46155</v>
      </c>
      <c r="I180" s="2">
        <v>46158</v>
      </c>
      <c r="J180" s="1" t="s">
        <v>15</v>
      </c>
      <c r="K180" s="1">
        <v>1179</v>
      </c>
      <c r="L180" s="1" t="str">
        <f t="shared" si="0"/>
        <v>Yas1179</v>
      </c>
      <c r="M180" s="1" t="str">
        <f t="shared" si="1"/>
        <v>Keyrd</v>
      </c>
      <c r="N180" s="1" t="str">
        <f t="shared" si="2"/>
        <v>eybo</v>
      </c>
    </row>
    <row r="181" spans="1:14" x14ac:dyDescent="0.3">
      <c r="A181" s="1" t="s">
        <v>40</v>
      </c>
      <c r="B181" s="1" t="s">
        <v>31</v>
      </c>
      <c r="C181" s="1" t="s">
        <v>18</v>
      </c>
      <c r="D181" s="1" t="s">
        <v>28</v>
      </c>
      <c r="E181" s="1">
        <v>2</v>
      </c>
      <c r="F181" s="1">
        <v>2076</v>
      </c>
      <c r="G181" s="1">
        <v>2</v>
      </c>
      <c r="H181" s="2">
        <v>46111</v>
      </c>
      <c r="I181" s="2">
        <v>46121</v>
      </c>
      <c r="J181" s="1" t="s">
        <v>29</v>
      </c>
      <c r="K181" s="1">
        <v>1180</v>
      </c>
      <c r="L181" s="1" t="str">
        <f t="shared" si="0"/>
        <v>Dee1180</v>
      </c>
      <c r="M181" s="1" t="str">
        <f t="shared" si="1"/>
        <v>Chair</v>
      </c>
      <c r="N181" s="1" t="str">
        <f t="shared" si="2"/>
        <v>hair</v>
      </c>
    </row>
    <row r="182" spans="1:14" x14ac:dyDescent="0.3">
      <c r="A182" s="1" t="s">
        <v>58</v>
      </c>
      <c r="B182" s="1" t="s">
        <v>33</v>
      </c>
      <c r="C182" s="1" t="s">
        <v>13</v>
      </c>
      <c r="D182" s="1" t="s">
        <v>36</v>
      </c>
      <c r="E182" s="1">
        <v>4</v>
      </c>
      <c r="F182" s="1">
        <v>357</v>
      </c>
      <c r="G182" s="1">
        <v>2</v>
      </c>
      <c r="H182" s="2">
        <v>46033</v>
      </c>
      <c r="I182" s="2">
        <v>46035</v>
      </c>
      <c r="J182" s="1" t="s">
        <v>15</v>
      </c>
      <c r="K182" s="1">
        <v>1181</v>
      </c>
      <c r="L182" s="1" t="str">
        <f t="shared" si="0"/>
        <v>Roh1181</v>
      </c>
      <c r="M182" s="1" t="str">
        <f t="shared" si="1"/>
        <v>Staer</v>
      </c>
      <c r="N182" s="1" t="str">
        <f t="shared" si="2"/>
        <v>tapl</v>
      </c>
    </row>
    <row r="183" spans="1:14" x14ac:dyDescent="0.3">
      <c r="A183" s="1" t="s">
        <v>42</v>
      </c>
      <c r="B183" s="1" t="s">
        <v>12</v>
      </c>
      <c r="C183" s="1" t="s">
        <v>34</v>
      </c>
      <c r="D183" s="1" t="s">
        <v>39</v>
      </c>
      <c r="E183" s="1">
        <v>8</v>
      </c>
      <c r="F183" s="1">
        <v>66022</v>
      </c>
      <c r="G183" s="1">
        <v>12</v>
      </c>
      <c r="H183" s="2">
        <v>46108</v>
      </c>
      <c r="I183" s="2">
        <v>46114</v>
      </c>
      <c r="J183" s="1" t="s">
        <v>24</v>
      </c>
      <c r="K183" s="1">
        <v>1182</v>
      </c>
      <c r="L183" s="1" t="str">
        <f t="shared" si="0"/>
        <v>Nis1182</v>
      </c>
      <c r="M183" s="1" t="str">
        <f t="shared" si="1"/>
        <v>Keyrd</v>
      </c>
      <c r="N183" s="1" t="str">
        <f t="shared" si="2"/>
        <v>eybo</v>
      </c>
    </row>
    <row r="184" spans="1:14" x14ac:dyDescent="0.3">
      <c r="A184" s="1" t="s">
        <v>52</v>
      </c>
      <c r="B184" s="1" t="s">
        <v>43</v>
      </c>
      <c r="C184" s="1" t="s">
        <v>13</v>
      </c>
      <c r="D184" s="1" t="s">
        <v>14</v>
      </c>
      <c r="E184" s="1">
        <v>2</v>
      </c>
      <c r="F184" s="1">
        <v>309</v>
      </c>
      <c r="G184" s="1">
        <v>2</v>
      </c>
      <c r="H184" s="2">
        <v>46109</v>
      </c>
      <c r="I184" s="2">
        <v>46111</v>
      </c>
      <c r="J184" s="1" t="s">
        <v>20</v>
      </c>
      <c r="K184" s="1">
        <v>1183</v>
      </c>
      <c r="L184" s="1" t="str">
        <f t="shared" si="0"/>
        <v>Kom1183</v>
      </c>
      <c r="M184" s="1" t="str">
        <f t="shared" si="1"/>
        <v>Notok</v>
      </c>
      <c r="N184" s="1" t="str">
        <f t="shared" si="2"/>
        <v>oteb</v>
      </c>
    </row>
    <row r="185" spans="1:14" x14ac:dyDescent="0.3">
      <c r="A185" s="1" t="s">
        <v>40</v>
      </c>
      <c r="B185" s="1" t="s">
        <v>31</v>
      </c>
      <c r="C185" s="1" t="s">
        <v>34</v>
      </c>
      <c r="D185" s="1" t="s">
        <v>39</v>
      </c>
      <c r="E185" s="1">
        <v>12</v>
      </c>
      <c r="F185" s="1">
        <v>50517</v>
      </c>
      <c r="G185" s="1">
        <v>15</v>
      </c>
      <c r="H185" s="2">
        <v>46145</v>
      </c>
      <c r="I185" s="2">
        <v>46153</v>
      </c>
      <c r="J185" s="1" t="s">
        <v>29</v>
      </c>
      <c r="K185" s="1">
        <v>1184</v>
      </c>
      <c r="L185" s="1" t="str">
        <f t="shared" si="0"/>
        <v>Dee1184</v>
      </c>
      <c r="M185" s="1" t="str">
        <f t="shared" si="1"/>
        <v>Keyrd</v>
      </c>
      <c r="N185" s="1" t="str">
        <f t="shared" si="2"/>
        <v>eybo</v>
      </c>
    </row>
    <row r="186" spans="1:14" x14ac:dyDescent="0.3">
      <c r="A186" s="1" t="s">
        <v>58</v>
      </c>
      <c r="B186" s="1" t="s">
        <v>22</v>
      </c>
      <c r="C186" s="1" t="s">
        <v>34</v>
      </c>
      <c r="D186" s="1" t="s">
        <v>60</v>
      </c>
      <c r="E186" s="1">
        <v>16</v>
      </c>
      <c r="F186" s="1">
        <v>15536</v>
      </c>
      <c r="G186" s="1">
        <v>2</v>
      </c>
      <c r="H186" s="2">
        <v>46153</v>
      </c>
      <c r="I186" s="2">
        <v>46156</v>
      </c>
      <c r="J186" s="1" t="s">
        <v>15</v>
      </c>
      <c r="K186" s="1">
        <v>1185</v>
      </c>
      <c r="L186" s="1" t="str">
        <f t="shared" si="0"/>
        <v>Roh1185</v>
      </c>
      <c r="M186" s="1" t="str">
        <f t="shared" si="1"/>
        <v>Lapop</v>
      </c>
      <c r="N186" s="1" t="str">
        <f t="shared" si="2"/>
        <v>apto</v>
      </c>
    </row>
    <row r="187" spans="1:14" x14ac:dyDescent="0.3">
      <c r="A187" s="1" t="s">
        <v>16</v>
      </c>
      <c r="B187" s="1" t="s">
        <v>25</v>
      </c>
      <c r="C187" s="1" t="s">
        <v>18</v>
      </c>
      <c r="D187" s="1" t="s">
        <v>44</v>
      </c>
      <c r="E187" s="1">
        <v>10</v>
      </c>
      <c r="F187" s="1">
        <v>14951</v>
      </c>
      <c r="G187" s="1">
        <v>2</v>
      </c>
      <c r="H187" s="2">
        <v>46188</v>
      </c>
      <c r="I187" s="2">
        <v>46196</v>
      </c>
      <c r="J187" s="1" t="s">
        <v>24</v>
      </c>
      <c r="K187" s="1">
        <v>1186</v>
      </c>
      <c r="L187" s="1" t="str">
        <f t="shared" si="0"/>
        <v>Poo1186</v>
      </c>
      <c r="M187" s="1" t="str">
        <f t="shared" si="1"/>
        <v>Boolf</v>
      </c>
      <c r="N187" s="1" t="str">
        <f t="shared" si="2"/>
        <v>ooks</v>
      </c>
    </row>
    <row r="188" spans="1:14" x14ac:dyDescent="0.3">
      <c r="A188" s="1" t="s">
        <v>54</v>
      </c>
      <c r="B188" s="1" t="s">
        <v>22</v>
      </c>
      <c r="C188" s="1" t="s">
        <v>34</v>
      </c>
      <c r="D188" s="1" t="s">
        <v>45</v>
      </c>
      <c r="E188" s="1">
        <v>18</v>
      </c>
      <c r="F188" s="1">
        <v>68527</v>
      </c>
      <c r="G188" s="1">
        <v>12</v>
      </c>
      <c r="H188" s="2">
        <v>46178</v>
      </c>
      <c r="I188" s="2">
        <v>46184</v>
      </c>
      <c r="J188" s="1" t="s">
        <v>51</v>
      </c>
      <c r="K188" s="1">
        <v>1187</v>
      </c>
      <c r="L188" s="1" t="str">
        <f t="shared" si="0"/>
        <v>Man1187</v>
      </c>
      <c r="M188" s="1" t="str">
        <f t="shared" si="1"/>
        <v>Monor</v>
      </c>
      <c r="N188" s="1" t="str">
        <f t="shared" si="2"/>
        <v>onit</v>
      </c>
    </row>
    <row r="189" spans="1:14" x14ac:dyDescent="0.3">
      <c r="A189" s="1" t="s">
        <v>29</v>
      </c>
      <c r="B189" s="1" t="s">
        <v>22</v>
      </c>
      <c r="C189" s="1" t="s">
        <v>18</v>
      </c>
      <c r="D189" s="1" t="s">
        <v>56</v>
      </c>
      <c r="E189" s="1">
        <v>6</v>
      </c>
      <c r="F189" s="1">
        <v>10368</v>
      </c>
      <c r="G189" s="1">
        <v>7</v>
      </c>
      <c r="H189" s="2">
        <v>46137</v>
      </c>
      <c r="I189" s="2">
        <v>46142</v>
      </c>
      <c r="J189" s="1" t="s">
        <v>15</v>
      </c>
      <c r="K189" s="1">
        <v>1188</v>
      </c>
      <c r="L189" s="1" t="str">
        <f t="shared" si="0"/>
        <v>Pri1188</v>
      </c>
      <c r="M189" s="1" t="str">
        <f t="shared" si="1"/>
        <v>Cabet</v>
      </c>
      <c r="N189" s="1" t="str">
        <f t="shared" si="2"/>
        <v>abin</v>
      </c>
    </row>
    <row r="190" spans="1:14" x14ac:dyDescent="0.3">
      <c r="A190" s="1" t="s">
        <v>49</v>
      </c>
      <c r="B190" s="1" t="s">
        <v>31</v>
      </c>
      <c r="C190" s="1" t="s">
        <v>18</v>
      </c>
      <c r="D190" s="1" t="s">
        <v>56</v>
      </c>
      <c r="E190" s="1">
        <v>12</v>
      </c>
      <c r="F190" s="1">
        <v>8327</v>
      </c>
      <c r="G190" s="1">
        <v>10</v>
      </c>
      <c r="H190" s="2">
        <v>46184</v>
      </c>
      <c r="I190" s="2">
        <v>46185</v>
      </c>
      <c r="J190" s="1" t="s">
        <v>29</v>
      </c>
      <c r="K190" s="1">
        <v>1189</v>
      </c>
      <c r="L190" s="1" t="str">
        <f t="shared" si="0"/>
        <v>Aja1189</v>
      </c>
      <c r="M190" s="1" t="str">
        <f t="shared" si="1"/>
        <v>Cabet</v>
      </c>
      <c r="N190" s="1" t="str">
        <f t="shared" si="2"/>
        <v>abin</v>
      </c>
    </row>
    <row r="191" spans="1:14" x14ac:dyDescent="0.3">
      <c r="A191" s="1" t="s">
        <v>57</v>
      </c>
      <c r="B191" s="1" t="s">
        <v>17</v>
      </c>
      <c r="C191" s="1" t="s">
        <v>18</v>
      </c>
      <c r="D191" s="1" t="s">
        <v>28</v>
      </c>
      <c r="E191" s="1">
        <v>4</v>
      </c>
      <c r="F191" s="1">
        <v>10154</v>
      </c>
      <c r="G191" s="1">
        <v>7</v>
      </c>
      <c r="H191" s="2">
        <v>46052</v>
      </c>
      <c r="I191" s="2">
        <v>46062</v>
      </c>
      <c r="J191" s="1" t="s">
        <v>20</v>
      </c>
      <c r="K191" s="1">
        <v>1190</v>
      </c>
      <c r="L191" s="1" t="str">
        <f t="shared" si="0"/>
        <v>Sar1190</v>
      </c>
      <c r="M191" s="1" t="str">
        <f t="shared" si="1"/>
        <v>Chair</v>
      </c>
      <c r="N191" s="1" t="str">
        <f t="shared" si="2"/>
        <v>hair</v>
      </c>
    </row>
    <row r="192" spans="1:14" x14ac:dyDescent="0.3">
      <c r="A192" s="1" t="s">
        <v>52</v>
      </c>
      <c r="B192" s="1" t="s">
        <v>33</v>
      </c>
      <c r="C192" s="1" t="s">
        <v>18</v>
      </c>
      <c r="D192" s="1" t="s">
        <v>56</v>
      </c>
      <c r="E192" s="1">
        <v>9</v>
      </c>
      <c r="F192" s="1">
        <v>8631</v>
      </c>
      <c r="G192" s="1">
        <v>10</v>
      </c>
      <c r="H192" s="2">
        <v>46149</v>
      </c>
      <c r="I192" s="2">
        <v>46156</v>
      </c>
      <c r="J192" s="1" t="s">
        <v>20</v>
      </c>
      <c r="K192" s="1">
        <v>1191</v>
      </c>
      <c r="L192" s="1" t="str">
        <f t="shared" si="0"/>
        <v>Kom1191</v>
      </c>
      <c r="M192" s="1" t="str">
        <f t="shared" si="1"/>
        <v>Cabet</v>
      </c>
      <c r="N192" s="1" t="str">
        <f t="shared" si="2"/>
        <v>abin</v>
      </c>
    </row>
    <row r="193" spans="1:14" x14ac:dyDescent="0.3">
      <c r="A193" s="1" t="s">
        <v>21</v>
      </c>
      <c r="B193" s="1" t="s">
        <v>33</v>
      </c>
      <c r="C193" s="1" t="s">
        <v>13</v>
      </c>
      <c r="D193" s="1" t="s">
        <v>53</v>
      </c>
      <c r="E193" s="1">
        <v>18</v>
      </c>
      <c r="F193" s="1">
        <v>49</v>
      </c>
      <c r="G193" s="1">
        <v>12</v>
      </c>
      <c r="H193" s="2">
        <v>46089</v>
      </c>
      <c r="I193" s="2">
        <v>46095</v>
      </c>
      <c r="J193" s="1" t="s">
        <v>24</v>
      </c>
      <c r="K193" s="1">
        <v>1192</v>
      </c>
      <c r="L193" s="1" t="str">
        <f t="shared" si="0"/>
        <v>Mee1192</v>
      </c>
      <c r="M193" s="1" t="str">
        <f t="shared" si="1"/>
        <v>Diary</v>
      </c>
      <c r="N193" s="1" t="str">
        <f t="shared" si="2"/>
        <v>iary</v>
      </c>
    </row>
    <row r="194" spans="1:14" x14ac:dyDescent="0.3">
      <c r="A194" s="1" t="s">
        <v>57</v>
      </c>
      <c r="B194" s="1" t="s">
        <v>12</v>
      </c>
      <c r="C194" s="1" t="s">
        <v>18</v>
      </c>
      <c r="D194" s="1" t="s">
        <v>23</v>
      </c>
      <c r="E194" s="1">
        <v>19</v>
      </c>
      <c r="F194" s="1">
        <v>2699</v>
      </c>
      <c r="G194" s="1">
        <v>7</v>
      </c>
      <c r="H194" s="2">
        <v>46110</v>
      </c>
      <c r="I194" s="2">
        <v>46112</v>
      </c>
      <c r="J194" s="1" t="s">
        <v>29</v>
      </c>
      <c r="K194" s="1">
        <v>1193</v>
      </c>
      <c r="L194" s="1" t="str">
        <f t="shared" si="0"/>
        <v>Sar1193</v>
      </c>
      <c r="M194" s="1" t="str">
        <f t="shared" si="1"/>
        <v>Table</v>
      </c>
      <c r="N194" s="1" t="str">
        <f t="shared" si="2"/>
        <v>able</v>
      </c>
    </row>
    <row r="195" spans="1:14" x14ac:dyDescent="0.3">
      <c r="A195" s="1" t="s">
        <v>57</v>
      </c>
      <c r="B195" s="1" t="s">
        <v>43</v>
      </c>
      <c r="C195" s="1" t="s">
        <v>18</v>
      </c>
      <c r="D195" s="1" t="s">
        <v>28</v>
      </c>
      <c r="E195" s="1">
        <v>13</v>
      </c>
      <c r="F195" s="1">
        <v>12856</v>
      </c>
      <c r="G195" s="1">
        <v>15</v>
      </c>
      <c r="H195" s="2">
        <v>46129</v>
      </c>
      <c r="I195" s="2">
        <v>46133</v>
      </c>
      <c r="J195" s="1" t="s">
        <v>51</v>
      </c>
      <c r="K195" s="1">
        <v>1194</v>
      </c>
      <c r="L195" s="1" t="str">
        <f t="shared" si="0"/>
        <v>Sar1194</v>
      </c>
      <c r="M195" s="1" t="str">
        <f t="shared" si="1"/>
        <v>Chair</v>
      </c>
      <c r="N195" s="1" t="str">
        <f t="shared" si="2"/>
        <v>hair</v>
      </c>
    </row>
    <row r="196" spans="1:14" x14ac:dyDescent="0.3">
      <c r="A196" s="1" t="s">
        <v>59</v>
      </c>
      <c r="B196" s="1" t="s">
        <v>17</v>
      </c>
      <c r="C196" s="1" t="s">
        <v>13</v>
      </c>
      <c r="D196" s="1" t="s">
        <v>50</v>
      </c>
      <c r="E196" s="1">
        <v>19</v>
      </c>
      <c r="F196" s="1">
        <v>313</v>
      </c>
      <c r="G196" s="1">
        <v>2</v>
      </c>
      <c r="H196" s="2">
        <v>46198</v>
      </c>
      <c r="I196" s="2">
        <v>46206</v>
      </c>
      <c r="J196" s="1" t="s">
        <v>51</v>
      </c>
      <c r="K196" s="1">
        <v>1195</v>
      </c>
      <c r="L196" s="1" t="str">
        <f t="shared" si="0"/>
        <v>Ani1195</v>
      </c>
      <c r="M196" s="1" t="str">
        <f t="shared" si="1"/>
        <v>Marer</v>
      </c>
      <c r="N196" s="1" t="str">
        <f t="shared" si="2"/>
        <v>arke</v>
      </c>
    </row>
    <row r="197" spans="1:14" x14ac:dyDescent="0.3">
      <c r="A197" s="1" t="s">
        <v>48</v>
      </c>
      <c r="B197" s="1" t="s">
        <v>22</v>
      </c>
      <c r="C197" s="1" t="s">
        <v>34</v>
      </c>
      <c r="D197" s="1" t="s">
        <v>35</v>
      </c>
      <c r="E197" s="1">
        <v>20</v>
      </c>
      <c r="F197" s="1">
        <v>3172</v>
      </c>
      <c r="G197" s="1">
        <v>5</v>
      </c>
      <c r="H197" s="2">
        <v>46155</v>
      </c>
      <c r="I197" s="2">
        <v>46159</v>
      </c>
      <c r="J197" s="1" t="s">
        <v>20</v>
      </c>
      <c r="K197" s="1">
        <v>1196</v>
      </c>
      <c r="L197" s="1" t="str">
        <f t="shared" si="0"/>
        <v>Nit1196</v>
      </c>
      <c r="M197" s="1" t="str">
        <f t="shared" si="1"/>
        <v>Prier</v>
      </c>
      <c r="N197" s="1" t="str">
        <f t="shared" si="2"/>
        <v>rint</v>
      </c>
    </row>
    <row r="198" spans="1:14" x14ac:dyDescent="0.3">
      <c r="A198" s="1" t="s">
        <v>52</v>
      </c>
      <c r="B198" s="1" t="s">
        <v>31</v>
      </c>
      <c r="C198" s="1" t="s">
        <v>34</v>
      </c>
      <c r="D198" s="1" t="s">
        <v>35</v>
      </c>
      <c r="E198" s="1">
        <v>5</v>
      </c>
      <c r="F198" s="1">
        <v>45352</v>
      </c>
      <c r="G198" s="1">
        <v>12</v>
      </c>
      <c r="H198" s="2">
        <v>46045</v>
      </c>
      <c r="I198" s="2">
        <v>46048</v>
      </c>
      <c r="J198" s="1" t="s">
        <v>15</v>
      </c>
      <c r="K198" s="1">
        <v>1197</v>
      </c>
      <c r="L198" s="1" t="str">
        <f t="shared" si="0"/>
        <v>Kom1197</v>
      </c>
      <c r="M198" s="1" t="str">
        <f t="shared" si="1"/>
        <v>Prier</v>
      </c>
      <c r="N198" s="1" t="str">
        <f t="shared" si="2"/>
        <v>rint</v>
      </c>
    </row>
    <row r="199" spans="1:14" x14ac:dyDescent="0.3">
      <c r="A199" s="1" t="s">
        <v>58</v>
      </c>
      <c r="B199" s="1" t="s">
        <v>12</v>
      </c>
      <c r="C199" s="1" t="s">
        <v>13</v>
      </c>
      <c r="D199" s="1" t="s">
        <v>14</v>
      </c>
      <c r="E199" s="1">
        <v>12</v>
      </c>
      <c r="F199" s="1">
        <v>491</v>
      </c>
      <c r="G199" s="1">
        <v>2</v>
      </c>
      <c r="H199" s="2">
        <v>46106</v>
      </c>
      <c r="I199" s="2">
        <v>46109</v>
      </c>
      <c r="J199" s="1" t="s">
        <v>51</v>
      </c>
      <c r="K199" s="1">
        <v>1198</v>
      </c>
      <c r="L199" s="1" t="str">
        <f t="shared" si="0"/>
        <v>Roh1198</v>
      </c>
      <c r="M199" s="1" t="str">
        <f t="shared" si="1"/>
        <v>Notok</v>
      </c>
      <c r="N199" s="1" t="str">
        <f t="shared" si="2"/>
        <v>oteb</v>
      </c>
    </row>
    <row r="200" spans="1:14" x14ac:dyDescent="0.3">
      <c r="A200" s="1" t="s">
        <v>11</v>
      </c>
      <c r="B200" s="1" t="s">
        <v>25</v>
      </c>
      <c r="C200" s="1" t="s">
        <v>34</v>
      </c>
      <c r="D200" s="1" t="s">
        <v>45</v>
      </c>
      <c r="E200" s="1">
        <v>2</v>
      </c>
      <c r="F200" s="1">
        <v>4375</v>
      </c>
      <c r="G200" s="1">
        <v>7</v>
      </c>
      <c r="H200" s="2">
        <v>46178</v>
      </c>
      <c r="I200" s="2">
        <v>46180</v>
      </c>
      <c r="J200" s="1" t="s">
        <v>24</v>
      </c>
      <c r="K200" s="1">
        <v>1199</v>
      </c>
      <c r="L200" s="1" t="str">
        <f t="shared" si="0"/>
        <v>Rit1199</v>
      </c>
      <c r="M200" s="1" t="str">
        <f t="shared" si="1"/>
        <v>Monor</v>
      </c>
      <c r="N200" s="1" t="str">
        <f t="shared" si="2"/>
        <v>onit</v>
      </c>
    </row>
    <row r="201" spans="1:14" x14ac:dyDescent="0.3">
      <c r="A201" s="1" t="s">
        <v>29</v>
      </c>
      <c r="B201" s="1" t="s">
        <v>31</v>
      </c>
      <c r="C201" s="1" t="s">
        <v>34</v>
      </c>
      <c r="D201" s="1" t="s">
        <v>45</v>
      </c>
      <c r="E201" s="1">
        <v>13</v>
      </c>
      <c r="F201" s="1">
        <v>69422</v>
      </c>
      <c r="G201" s="1">
        <v>0</v>
      </c>
      <c r="H201" s="2">
        <v>46134</v>
      </c>
      <c r="I201" s="2">
        <v>46143</v>
      </c>
      <c r="J201" s="1" t="s">
        <v>29</v>
      </c>
      <c r="K201" s="1">
        <v>1200</v>
      </c>
      <c r="L201" s="1" t="str">
        <f t="shared" si="0"/>
        <v>Pri1200</v>
      </c>
      <c r="M201" s="1" t="str">
        <f t="shared" si="1"/>
        <v>Monor</v>
      </c>
      <c r="N201" s="1" t="str">
        <f t="shared" si="2"/>
        <v>onit</v>
      </c>
    </row>
    <row r="202" spans="1:14" x14ac:dyDescent="0.3">
      <c r="A202" s="1" t="s">
        <v>54</v>
      </c>
      <c r="B202" s="1" t="s">
        <v>31</v>
      </c>
      <c r="C202" s="1" t="s">
        <v>13</v>
      </c>
      <c r="D202" s="1" t="s">
        <v>53</v>
      </c>
      <c r="E202" s="1">
        <v>18</v>
      </c>
      <c r="F202" s="1">
        <v>139</v>
      </c>
      <c r="G202" s="1">
        <v>12</v>
      </c>
      <c r="H202" s="2">
        <v>46075</v>
      </c>
      <c r="I202" s="2">
        <v>46076</v>
      </c>
      <c r="J202" s="1" t="s">
        <v>20</v>
      </c>
      <c r="K202" s="1">
        <v>1201</v>
      </c>
      <c r="L202" s="1" t="str">
        <f t="shared" si="0"/>
        <v>Man1201</v>
      </c>
      <c r="M202" s="1" t="str">
        <f t="shared" si="1"/>
        <v>Diary</v>
      </c>
      <c r="N202" s="1" t="str">
        <f t="shared" si="2"/>
        <v>iary</v>
      </c>
    </row>
    <row r="203" spans="1:14" x14ac:dyDescent="0.3">
      <c r="A203" s="1" t="s">
        <v>57</v>
      </c>
      <c r="B203" s="1" t="s">
        <v>22</v>
      </c>
      <c r="C203" s="1" t="s">
        <v>34</v>
      </c>
      <c r="D203" s="1" t="s">
        <v>35</v>
      </c>
      <c r="E203" s="1">
        <v>2</v>
      </c>
      <c r="F203" s="1">
        <v>20312</v>
      </c>
      <c r="G203" s="1">
        <v>12</v>
      </c>
      <c r="H203" s="2">
        <v>46082</v>
      </c>
      <c r="I203" s="2">
        <v>46091</v>
      </c>
      <c r="J203" s="1" t="s">
        <v>15</v>
      </c>
      <c r="K203" s="1">
        <v>1202</v>
      </c>
      <c r="L203" s="1" t="str">
        <f t="shared" si="0"/>
        <v>Sar1202</v>
      </c>
      <c r="M203" s="1" t="str">
        <f t="shared" si="1"/>
        <v>Prier</v>
      </c>
      <c r="N203" s="1" t="str">
        <f t="shared" si="2"/>
        <v>rint</v>
      </c>
    </row>
    <row r="204" spans="1:14" x14ac:dyDescent="0.3">
      <c r="A204" s="1" t="s">
        <v>40</v>
      </c>
      <c r="B204" s="1" t="s">
        <v>22</v>
      </c>
      <c r="C204" s="1" t="s">
        <v>18</v>
      </c>
      <c r="D204" s="1" t="s">
        <v>23</v>
      </c>
      <c r="E204" s="1">
        <v>17</v>
      </c>
      <c r="F204" s="1">
        <v>6695</v>
      </c>
      <c r="G204" s="1">
        <v>2</v>
      </c>
      <c r="H204" s="2">
        <v>46119</v>
      </c>
      <c r="I204" s="2">
        <v>46122</v>
      </c>
      <c r="J204" s="1" t="s">
        <v>51</v>
      </c>
      <c r="K204" s="1">
        <v>1203</v>
      </c>
      <c r="L204" s="1" t="str">
        <f t="shared" si="0"/>
        <v>Dee1203</v>
      </c>
      <c r="M204" s="1" t="str">
        <f t="shared" si="1"/>
        <v>Table</v>
      </c>
      <c r="N204" s="1" t="str">
        <f t="shared" si="2"/>
        <v>able</v>
      </c>
    </row>
    <row r="205" spans="1:14" x14ac:dyDescent="0.3">
      <c r="A205" s="1" t="s">
        <v>16</v>
      </c>
      <c r="B205" s="1" t="s">
        <v>31</v>
      </c>
      <c r="C205" s="1" t="s">
        <v>13</v>
      </c>
      <c r="D205" s="1" t="s">
        <v>37</v>
      </c>
      <c r="E205" s="1">
        <v>13</v>
      </c>
      <c r="F205" s="1">
        <v>416</v>
      </c>
      <c r="G205" s="1">
        <v>10</v>
      </c>
      <c r="H205" s="2">
        <v>46123</v>
      </c>
      <c r="I205" s="2">
        <v>46132</v>
      </c>
      <c r="J205" s="1" t="s">
        <v>20</v>
      </c>
      <c r="K205" s="1">
        <v>1204</v>
      </c>
      <c r="L205" s="1" t="str">
        <f t="shared" si="0"/>
        <v>Poo1204</v>
      </c>
      <c r="M205" s="1" t="str">
        <f t="shared" si="1"/>
        <v>Penck</v>
      </c>
      <c r="N205" s="1" t="str">
        <f t="shared" si="2"/>
        <v>en P</v>
      </c>
    </row>
    <row r="206" spans="1:14" x14ac:dyDescent="0.3">
      <c r="A206" s="1" t="s">
        <v>21</v>
      </c>
      <c r="B206" s="1" t="s">
        <v>38</v>
      </c>
      <c r="C206" s="1" t="s">
        <v>13</v>
      </c>
      <c r="D206" s="1" t="s">
        <v>36</v>
      </c>
      <c r="E206" s="1">
        <v>1</v>
      </c>
      <c r="F206" s="1">
        <v>112</v>
      </c>
      <c r="G206" s="1">
        <v>7</v>
      </c>
      <c r="H206" s="2">
        <v>46033</v>
      </c>
      <c r="I206" s="2">
        <v>46040</v>
      </c>
      <c r="J206" s="1" t="s">
        <v>51</v>
      </c>
      <c r="K206" s="1">
        <v>1205</v>
      </c>
      <c r="L206" s="1" t="str">
        <f t="shared" si="0"/>
        <v>Mee1205</v>
      </c>
      <c r="M206" s="1" t="str">
        <f t="shared" si="1"/>
        <v>Staer</v>
      </c>
      <c r="N206" s="1" t="str">
        <f t="shared" si="2"/>
        <v>tapl</v>
      </c>
    </row>
    <row r="207" spans="1:14" x14ac:dyDescent="0.3">
      <c r="A207" s="1" t="s">
        <v>55</v>
      </c>
      <c r="B207" s="1" t="s">
        <v>33</v>
      </c>
      <c r="C207" s="1" t="s">
        <v>13</v>
      </c>
      <c r="D207" s="1" t="s">
        <v>14</v>
      </c>
      <c r="E207" s="1">
        <v>9</v>
      </c>
      <c r="F207" s="1">
        <v>60</v>
      </c>
      <c r="G207" s="1">
        <v>0</v>
      </c>
      <c r="H207" s="2">
        <v>46166</v>
      </c>
      <c r="I207" s="2">
        <v>46174</v>
      </c>
      <c r="J207" s="1" t="s">
        <v>15</v>
      </c>
      <c r="K207" s="1">
        <v>1206</v>
      </c>
      <c r="L207" s="1" t="str">
        <f t="shared" si="0"/>
        <v>Sne1206</v>
      </c>
      <c r="M207" s="1" t="str">
        <f t="shared" si="1"/>
        <v>Notok</v>
      </c>
      <c r="N207" s="1" t="str">
        <f t="shared" si="2"/>
        <v>oteb</v>
      </c>
    </row>
    <row r="208" spans="1:14" x14ac:dyDescent="0.3">
      <c r="A208" s="1" t="s">
        <v>55</v>
      </c>
      <c r="B208" s="1" t="s">
        <v>25</v>
      </c>
      <c r="C208" s="1" t="s">
        <v>13</v>
      </c>
      <c r="D208" s="1" t="s">
        <v>53</v>
      </c>
      <c r="E208" s="1">
        <v>7</v>
      </c>
      <c r="F208" s="1">
        <v>244</v>
      </c>
      <c r="G208" s="1">
        <v>2</v>
      </c>
      <c r="H208" s="2">
        <v>46164</v>
      </c>
      <c r="I208" s="2">
        <v>46173</v>
      </c>
      <c r="J208" s="1" t="s">
        <v>24</v>
      </c>
      <c r="K208" s="1">
        <v>1207</v>
      </c>
      <c r="L208" s="1" t="str">
        <f t="shared" si="0"/>
        <v>Sne1207</v>
      </c>
      <c r="M208" s="1" t="str">
        <f t="shared" si="1"/>
        <v>Diary</v>
      </c>
      <c r="N208" s="1" t="str">
        <f t="shared" si="2"/>
        <v>iary</v>
      </c>
    </row>
    <row r="209" spans="1:14" x14ac:dyDescent="0.3">
      <c r="A209" s="1" t="s">
        <v>54</v>
      </c>
      <c r="B209" s="1" t="s">
        <v>43</v>
      </c>
      <c r="C209" s="1" t="s">
        <v>18</v>
      </c>
      <c r="D209" s="1" t="s">
        <v>44</v>
      </c>
      <c r="E209" s="1">
        <v>6</v>
      </c>
      <c r="F209" s="1">
        <v>7627</v>
      </c>
      <c r="G209" s="1">
        <v>10</v>
      </c>
      <c r="H209" s="2">
        <v>46042</v>
      </c>
      <c r="I209" s="2">
        <v>46047</v>
      </c>
      <c r="J209" s="1" t="s">
        <v>20</v>
      </c>
      <c r="K209" s="1">
        <v>1208</v>
      </c>
      <c r="L209" s="1" t="str">
        <f t="shared" si="0"/>
        <v>Man1208</v>
      </c>
      <c r="M209" s="1" t="str">
        <f t="shared" si="1"/>
        <v>Boolf</v>
      </c>
      <c r="N209" s="1" t="str">
        <f t="shared" si="2"/>
        <v>ooks</v>
      </c>
    </row>
    <row r="210" spans="1:14" x14ac:dyDescent="0.3">
      <c r="A210" s="1" t="s">
        <v>48</v>
      </c>
      <c r="B210" s="1" t="s">
        <v>38</v>
      </c>
      <c r="C210" s="1" t="s">
        <v>34</v>
      </c>
      <c r="D210" s="1" t="s">
        <v>35</v>
      </c>
      <c r="E210" s="1">
        <v>19</v>
      </c>
      <c r="F210" s="1">
        <v>20284</v>
      </c>
      <c r="G210" s="1">
        <v>10</v>
      </c>
      <c r="H210" s="2">
        <v>46103</v>
      </c>
      <c r="I210" s="2">
        <v>46110</v>
      </c>
      <c r="J210" s="1" t="s">
        <v>20</v>
      </c>
      <c r="K210" s="1">
        <v>1209</v>
      </c>
      <c r="L210" s="1" t="str">
        <f t="shared" si="0"/>
        <v>Nit1209</v>
      </c>
      <c r="M210" s="1" t="str">
        <f t="shared" si="1"/>
        <v>Prier</v>
      </c>
      <c r="N210" s="1" t="str">
        <f t="shared" si="2"/>
        <v>rint</v>
      </c>
    </row>
    <row r="211" spans="1:14" x14ac:dyDescent="0.3">
      <c r="A211" s="1" t="s">
        <v>30</v>
      </c>
      <c r="B211" s="1" t="s">
        <v>31</v>
      </c>
      <c r="C211" s="1" t="s">
        <v>13</v>
      </c>
      <c r="D211" s="1" t="s">
        <v>53</v>
      </c>
      <c r="E211" s="1">
        <v>10</v>
      </c>
      <c r="F211" s="1">
        <v>349</v>
      </c>
      <c r="G211" s="1">
        <v>0</v>
      </c>
      <c r="H211" s="2">
        <v>46052</v>
      </c>
      <c r="I211" s="2">
        <v>46060</v>
      </c>
      <c r="J211" s="1" t="s">
        <v>29</v>
      </c>
      <c r="K211" s="1">
        <v>1210</v>
      </c>
      <c r="L211" s="1" t="str">
        <f t="shared" si="0"/>
        <v>Neh1210</v>
      </c>
      <c r="M211" s="1" t="str">
        <f t="shared" si="1"/>
        <v>Diary</v>
      </c>
      <c r="N211" s="1" t="str">
        <f t="shared" si="2"/>
        <v>iary</v>
      </c>
    </row>
    <row r="212" spans="1:14" x14ac:dyDescent="0.3">
      <c r="A212" s="1" t="s">
        <v>48</v>
      </c>
      <c r="B212" s="1" t="s">
        <v>17</v>
      </c>
      <c r="C212" s="1" t="s">
        <v>34</v>
      </c>
      <c r="D212" s="1" t="s">
        <v>35</v>
      </c>
      <c r="E212" s="1">
        <v>3</v>
      </c>
      <c r="F212" s="1">
        <v>5962</v>
      </c>
      <c r="G212" s="1">
        <v>7</v>
      </c>
      <c r="H212" s="2">
        <v>46175</v>
      </c>
      <c r="I212" s="2">
        <v>46183</v>
      </c>
      <c r="J212" s="1" t="s">
        <v>15</v>
      </c>
      <c r="K212" s="1">
        <v>1211</v>
      </c>
      <c r="L212" s="1" t="str">
        <f t="shared" si="0"/>
        <v>Nit1211</v>
      </c>
      <c r="M212" s="1" t="str">
        <f t="shared" si="1"/>
        <v>Prier</v>
      </c>
      <c r="N212" s="1" t="str">
        <f t="shared" si="2"/>
        <v>rint</v>
      </c>
    </row>
    <row r="213" spans="1:14" x14ac:dyDescent="0.3">
      <c r="A213" s="1" t="s">
        <v>59</v>
      </c>
      <c r="B213" s="1" t="s">
        <v>25</v>
      </c>
      <c r="C213" s="1" t="s">
        <v>34</v>
      </c>
      <c r="D213" s="1" t="s">
        <v>60</v>
      </c>
      <c r="E213" s="1">
        <v>10</v>
      </c>
      <c r="F213" s="1">
        <v>34380</v>
      </c>
      <c r="G213" s="1">
        <v>7</v>
      </c>
      <c r="H213" s="2">
        <v>46194</v>
      </c>
      <c r="I213" s="2">
        <v>46195</v>
      </c>
      <c r="J213" s="1" t="s">
        <v>29</v>
      </c>
      <c r="K213" s="1">
        <v>1212</v>
      </c>
      <c r="L213" s="1" t="str">
        <f t="shared" si="0"/>
        <v>Ani1212</v>
      </c>
      <c r="M213" s="1" t="str">
        <f t="shared" si="1"/>
        <v>Lapop</v>
      </c>
      <c r="N213" s="1" t="str">
        <f t="shared" si="2"/>
        <v>apto</v>
      </c>
    </row>
    <row r="214" spans="1:14" x14ac:dyDescent="0.3">
      <c r="A214" s="1" t="s">
        <v>32</v>
      </c>
      <c r="B214" s="1" t="s">
        <v>38</v>
      </c>
      <c r="C214" s="1" t="s">
        <v>34</v>
      </c>
      <c r="D214" s="1" t="s">
        <v>45</v>
      </c>
      <c r="E214" s="1">
        <v>16</v>
      </c>
      <c r="F214" s="1">
        <v>27741</v>
      </c>
      <c r="G214" s="1">
        <v>12</v>
      </c>
      <c r="H214" s="2">
        <v>46116</v>
      </c>
      <c r="I214" s="2">
        <v>46119</v>
      </c>
      <c r="J214" s="1" t="s">
        <v>15</v>
      </c>
      <c r="K214" s="1">
        <v>1213</v>
      </c>
      <c r="L214" s="1" t="str">
        <f t="shared" si="0"/>
        <v>Ash1213</v>
      </c>
      <c r="M214" s="1" t="str">
        <f t="shared" si="1"/>
        <v>Monor</v>
      </c>
      <c r="N214" s="1" t="str">
        <f t="shared" si="2"/>
        <v>onit</v>
      </c>
    </row>
    <row r="215" spans="1:14" x14ac:dyDescent="0.3">
      <c r="A215" s="1" t="s">
        <v>42</v>
      </c>
      <c r="B215" s="1" t="s">
        <v>25</v>
      </c>
      <c r="C215" s="1" t="s">
        <v>18</v>
      </c>
      <c r="D215" s="1" t="s">
        <v>28</v>
      </c>
      <c r="E215" s="1">
        <v>19</v>
      </c>
      <c r="F215" s="1">
        <v>13832</v>
      </c>
      <c r="G215" s="1">
        <v>0</v>
      </c>
      <c r="H215" s="2">
        <v>46140</v>
      </c>
      <c r="I215" s="2">
        <v>46145</v>
      </c>
      <c r="J215" s="1" t="s">
        <v>51</v>
      </c>
      <c r="K215" s="1">
        <v>1214</v>
      </c>
      <c r="L215" s="1" t="str">
        <f t="shared" si="0"/>
        <v>Nis1214</v>
      </c>
      <c r="M215" s="1" t="str">
        <f t="shared" si="1"/>
        <v>Chair</v>
      </c>
      <c r="N215" s="1" t="str">
        <f t="shared" si="2"/>
        <v>hair</v>
      </c>
    </row>
    <row r="216" spans="1:14" x14ac:dyDescent="0.3">
      <c r="A216" s="1" t="s">
        <v>27</v>
      </c>
      <c r="B216" s="1" t="s">
        <v>12</v>
      </c>
      <c r="C216" s="1" t="s">
        <v>18</v>
      </c>
      <c r="D216" s="1" t="s">
        <v>28</v>
      </c>
      <c r="E216" s="1">
        <v>6</v>
      </c>
      <c r="F216" s="1">
        <v>1254</v>
      </c>
      <c r="G216" s="1">
        <v>0</v>
      </c>
      <c r="H216" s="2">
        <v>46131</v>
      </c>
      <c r="I216" s="2">
        <v>46136</v>
      </c>
      <c r="J216" s="1" t="s">
        <v>29</v>
      </c>
      <c r="K216" s="1">
        <v>1215</v>
      </c>
      <c r="L216" s="1" t="str">
        <f t="shared" si="0"/>
        <v>Arj1215</v>
      </c>
      <c r="M216" s="1" t="str">
        <f t="shared" si="1"/>
        <v>Chair</v>
      </c>
      <c r="N216" s="1" t="str">
        <f t="shared" si="2"/>
        <v>hair</v>
      </c>
    </row>
    <row r="217" spans="1:14" x14ac:dyDescent="0.3">
      <c r="A217" s="1" t="s">
        <v>40</v>
      </c>
      <c r="B217" s="1" t="s">
        <v>22</v>
      </c>
      <c r="C217" s="1" t="s">
        <v>34</v>
      </c>
      <c r="D217" s="1" t="s">
        <v>45</v>
      </c>
      <c r="E217" s="1">
        <v>10</v>
      </c>
      <c r="F217" s="1">
        <v>56709</v>
      </c>
      <c r="G217" s="1">
        <v>15</v>
      </c>
      <c r="H217" s="2">
        <v>46135</v>
      </c>
      <c r="I217" s="2">
        <v>46139</v>
      </c>
      <c r="J217" s="1" t="s">
        <v>29</v>
      </c>
      <c r="K217" s="1">
        <v>1216</v>
      </c>
      <c r="L217" s="1" t="str">
        <f t="shared" si="0"/>
        <v>Dee1216</v>
      </c>
      <c r="M217" s="1" t="str">
        <f t="shared" si="1"/>
        <v>Monor</v>
      </c>
      <c r="N217" s="1" t="str">
        <f t="shared" si="2"/>
        <v>onit</v>
      </c>
    </row>
    <row r="218" spans="1:14" x14ac:dyDescent="0.3">
      <c r="A218" s="1" t="s">
        <v>30</v>
      </c>
      <c r="B218" s="1" t="s">
        <v>22</v>
      </c>
      <c r="C218" s="1" t="s">
        <v>13</v>
      </c>
      <c r="D218" s="1" t="s">
        <v>50</v>
      </c>
      <c r="E218" s="1">
        <v>18</v>
      </c>
      <c r="F218" s="1">
        <v>60</v>
      </c>
      <c r="G218" s="1">
        <v>0</v>
      </c>
      <c r="H218" s="2">
        <v>46171</v>
      </c>
      <c r="I218" s="2">
        <v>46172</v>
      </c>
      <c r="J218" s="1" t="s">
        <v>29</v>
      </c>
      <c r="K218" s="1">
        <v>1217</v>
      </c>
      <c r="L218" s="1" t="str">
        <f t="shared" si="0"/>
        <v>Neh1217</v>
      </c>
      <c r="M218" s="1" t="str">
        <f t="shared" si="1"/>
        <v>Marer</v>
      </c>
      <c r="N218" s="1" t="str">
        <f t="shared" si="2"/>
        <v>arke</v>
      </c>
    </row>
    <row r="219" spans="1:14" x14ac:dyDescent="0.3">
      <c r="A219" s="1" t="s">
        <v>55</v>
      </c>
      <c r="B219" s="1" t="s">
        <v>38</v>
      </c>
      <c r="C219" s="1" t="s">
        <v>13</v>
      </c>
      <c r="D219" s="1" t="s">
        <v>14</v>
      </c>
      <c r="E219" s="1">
        <v>1</v>
      </c>
      <c r="F219" s="1">
        <v>134</v>
      </c>
      <c r="G219" s="1">
        <v>10</v>
      </c>
      <c r="H219" s="2">
        <v>46143</v>
      </c>
      <c r="I219" s="2">
        <v>46151</v>
      </c>
      <c r="J219" s="1" t="s">
        <v>51</v>
      </c>
      <c r="K219" s="1">
        <v>1218</v>
      </c>
      <c r="L219" s="1" t="str">
        <f t="shared" si="0"/>
        <v>Sne1218</v>
      </c>
      <c r="M219" s="1" t="str">
        <f t="shared" si="1"/>
        <v>Notok</v>
      </c>
      <c r="N219" s="1" t="str">
        <f t="shared" si="2"/>
        <v>oteb</v>
      </c>
    </row>
    <row r="220" spans="1:14" x14ac:dyDescent="0.3">
      <c r="A220" s="1" t="s">
        <v>46</v>
      </c>
      <c r="B220" s="1" t="s">
        <v>22</v>
      </c>
      <c r="C220" s="1" t="s">
        <v>13</v>
      </c>
      <c r="D220" s="1" t="s">
        <v>14</v>
      </c>
      <c r="E220" s="1">
        <v>4</v>
      </c>
      <c r="F220" s="1">
        <v>117</v>
      </c>
      <c r="G220" s="1">
        <v>15</v>
      </c>
      <c r="H220" s="2">
        <v>46202</v>
      </c>
      <c r="I220" s="2">
        <v>46206</v>
      </c>
      <c r="J220" s="1" t="s">
        <v>29</v>
      </c>
      <c r="K220" s="1">
        <v>1219</v>
      </c>
      <c r="L220" s="1" t="str">
        <f t="shared" si="0"/>
        <v>Kir1219</v>
      </c>
      <c r="M220" s="1" t="str">
        <f t="shared" si="1"/>
        <v>Notok</v>
      </c>
      <c r="N220" s="1" t="str">
        <f t="shared" si="2"/>
        <v>oteb</v>
      </c>
    </row>
    <row r="221" spans="1:14" x14ac:dyDescent="0.3">
      <c r="A221" s="1" t="s">
        <v>11</v>
      </c>
      <c r="B221" s="1" t="s">
        <v>25</v>
      </c>
      <c r="C221" s="1" t="s">
        <v>18</v>
      </c>
      <c r="D221" s="1" t="s">
        <v>56</v>
      </c>
      <c r="E221" s="1">
        <v>2</v>
      </c>
      <c r="F221" s="1">
        <v>8861</v>
      </c>
      <c r="G221" s="1">
        <v>2</v>
      </c>
      <c r="H221" s="2">
        <v>46170</v>
      </c>
      <c r="I221" s="2">
        <v>46174</v>
      </c>
      <c r="J221" s="1" t="s">
        <v>24</v>
      </c>
      <c r="K221" s="1">
        <v>1220</v>
      </c>
      <c r="L221" s="1" t="str">
        <f t="shared" si="0"/>
        <v>Rit1220</v>
      </c>
      <c r="M221" s="1" t="str">
        <f t="shared" si="1"/>
        <v>Cabet</v>
      </c>
      <c r="N221" s="1" t="str">
        <f t="shared" si="2"/>
        <v>abin</v>
      </c>
    </row>
    <row r="222" spans="1:14" x14ac:dyDescent="0.3">
      <c r="A222" s="1" t="s">
        <v>11</v>
      </c>
      <c r="B222" s="1" t="s">
        <v>31</v>
      </c>
      <c r="C222" s="1" t="s">
        <v>18</v>
      </c>
      <c r="D222" s="1" t="s">
        <v>56</v>
      </c>
      <c r="E222" s="1">
        <v>18</v>
      </c>
      <c r="F222" s="1">
        <v>2681</v>
      </c>
      <c r="G222" s="1">
        <v>10</v>
      </c>
      <c r="H222" s="2">
        <v>46122</v>
      </c>
      <c r="I222" s="2">
        <v>46125</v>
      </c>
      <c r="J222" s="1" t="s">
        <v>51</v>
      </c>
      <c r="K222" s="1">
        <v>1221</v>
      </c>
      <c r="L222" s="1" t="str">
        <f t="shared" si="0"/>
        <v>Rit1221</v>
      </c>
      <c r="M222" s="1" t="str">
        <f t="shared" si="1"/>
        <v>Cabet</v>
      </c>
      <c r="N222" s="1" t="str">
        <f t="shared" si="2"/>
        <v>abin</v>
      </c>
    </row>
    <row r="223" spans="1:14" x14ac:dyDescent="0.3">
      <c r="A223" s="1" t="s">
        <v>30</v>
      </c>
      <c r="B223" s="1" t="s">
        <v>33</v>
      </c>
      <c r="C223" s="1" t="s">
        <v>18</v>
      </c>
      <c r="D223" s="1" t="s">
        <v>23</v>
      </c>
      <c r="E223" s="1">
        <v>9</v>
      </c>
      <c r="F223" s="1">
        <v>2712</v>
      </c>
      <c r="G223" s="1">
        <v>12</v>
      </c>
      <c r="H223" s="2">
        <v>46154</v>
      </c>
      <c r="I223" s="2">
        <v>46163</v>
      </c>
      <c r="J223" s="1" t="s">
        <v>15</v>
      </c>
      <c r="K223" s="1">
        <v>1222</v>
      </c>
      <c r="L223" s="1" t="str">
        <f t="shared" si="0"/>
        <v>Neh1222</v>
      </c>
      <c r="M223" s="1" t="str">
        <f t="shared" si="1"/>
        <v>Table</v>
      </c>
      <c r="N223" s="1" t="str">
        <f t="shared" si="2"/>
        <v>able</v>
      </c>
    </row>
    <row r="224" spans="1:14" x14ac:dyDescent="0.3">
      <c r="A224" s="1" t="s">
        <v>59</v>
      </c>
      <c r="B224" s="1" t="s">
        <v>17</v>
      </c>
      <c r="C224" s="1" t="s">
        <v>18</v>
      </c>
      <c r="D224" s="1" t="s">
        <v>23</v>
      </c>
      <c r="E224" s="1">
        <v>4</v>
      </c>
      <c r="F224" s="1">
        <v>2249</v>
      </c>
      <c r="G224" s="1">
        <v>7</v>
      </c>
      <c r="H224" s="2">
        <v>46077</v>
      </c>
      <c r="I224" s="2">
        <v>46084</v>
      </c>
      <c r="J224" s="1" t="s">
        <v>15</v>
      </c>
      <c r="K224" s="1">
        <v>1223</v>
      </c>
      <c r="L224" s="1" t="str">
        <f t="shared" si="0"/>
        <v>Ani1223</v>
      </c>
      <c r="M224" s="1" t="str">
        <f t="shared" si="1"/>
        <v>Table</v>
      </c>
      <c r="N224" s="1" t="str">
        <f t="shared" si="2"/>
        <v>able</v>
      </c>
    </row>
    <row r="225" spans="1:14" x14ac:dyDescent="0.3">
      <c r="A225" s="1" t="s">
        <v>30</v>
      </c>
      <c r="B225" s="1" t="s">
        <v>38</v>
      </c>
      <c r="C225" s="1" t="s">
        <v>34</v>
      </c>
      <c r="D225" s="1" t="s">
        <v>45</v>
      </c>
      <c r="E225" s="1">
        <v>16</v>
      </c>
      <c r="F225" s="1">
        <v>18378</v>
      </c>
      <c r="G225" s="1">
        <v>10</v>
      </c>
      <c r="H225" s="2">
        <v>46045</v>
      </c>
      <c r="I225" s="2">
        <v>46052</v>
      </c>
      <c r="J225" s="1" t="s">
        <v>24</v>
      </c>
      <c r="K225" s="1">
        <v>1224</v>
      </c>
      <c r="L225" s="1" t="str">
        <f t="shared" si="0"/>
        <v>Neh1224</v>
      </c>
      <c r="M225" s="1" t="str">
        <f t="shared" si="1"/>
        <v>Monor</v>
      </c>
      <c r="N225" s="1" t="str">
        <f t="shared" si="2"/>
        <v>onit</v>
      </c>
    </row>
    <row r="226" spans="1:14" x14ac:dyDescent="0.3">
      <c r="A226" s="1" t="s">
        <v>42</v>
      </c>
      <c r="B226" s="1" t="s">
        <v>31</v>
      </c>
      <c r="C226" s="1" t="s">
        <v>34</v>
      </c>
      <c r="D226" s="1" t="s">
        <v>35</v>
      </c>
      <c r="E226" s="1">
        <v>16</v>
      </c>
      <c r="F226" s="1">
        <v>32262</v>
      </c>
      <c r="G226" s="1">
        <v>12</v>
      </c>
      <c r="H226" s="2">
        <v>46125</v>
      </c>
      <c r="I226" s="2">
        <v>46126</v>
      </c>
      <c r="J226" s="1" t="s">
        <v>20</v>
      </c>
      <c r="K226" s="1">
        <v>1225</v>
      </c>
      <c r="L226" s="1" t="str">
        <f t="shared" si="0"/>
        <v>Nis1225</v>
      </c>
      <c r="M226" s="1" t="str">
        <f t="shared" si="1"/>
        <v>Prier</v>
      </c>
      <c r="N226" s="1" t="str">
        <f t="shared" si="2"/>
        <v>rint</v>
      </c>
    </row>
    <row r="227" spans="1:14" x14ac:dyDescent="0.3">
      <c r="A227" s="1" t="s">
        <v>29</v>
      </c>
      <c r="B227" s="1" t="s">
        <v>31</v>
      </c>
      <c r="C227" s="1" t="s">
        <v>34</v>
      </c>
      <c r="D227" s="1" t="s">
        <v>41</v>
      </c>
      <c r="E227" s="1">
        <v>13</v>
      </c>
      <c r="F227" s="1">
        <v>21332</v>
      </c>
      <c r="G227" s="1">
        <v>0</v>
      </c>
      <c r="H227" s="2">
        <v>46044</v>
      </c>
      <c r="I227" s="2">
        <v>46048</v>
      </c>
      <c r="J227" s="1" t="s">
        <v>29</v>
      </c>
      <c r="K227" s="1">
        <v>1226</v>
      </c>
      <c r="L227" s="1" t="str">
        <f t="shared" si="0"/>
        <v>Pri1226</v>
      </c>
      <c r="M227" s="1" t="str">
        <f t="shared" si="1"/>
        <v>Heaet</v>
      </c>
      <c r="N227" s="1" t="str">
        <f t="shared" si="2"/>
        <v>eads</v>
      </c>
    </row>
    <row r="228" spans="1:14" x14ac:dyDescent="0.3">
      <c r="A228" s="1" t="s">
        <v>58</v>
      </c>
      <c r="B228" s="1" t="s">
        <v>22</v>
      </c>
      <c r="C228" s="1" t="s">
        <v>34</v>
      </c>
      <c r="D228" s="1" t="s">
        <v>45</v>
      </c>
      <c r="E228" s="1">
        <v>16</v>
      </c>
      <c r="F228" s="1">
        <v>1321</v>
      </c>
      <c r="G228" s="1">
        <v>12</v>
      </c>
      <c r="H228" s="2">
        <v>46113</v>
      </c>
      <c r="I228" s="2">
        <v>46116</v>
      </c>
      <c r="J228" s="1" t="s">
        <v>15</v>
      </c>
      <c r="K228" s="1">
        <v>1227</v>
      </c>
      <c r="L228" s="1" t="str">
        <f t="shared" si="0"/>
        <v>Roh1227</v>
      </c>
      <c r="M228" s="1" t="str">
        <f t="shared" si="1"/>
        <v>Monor</v>
      </c>
      <c r="N228" s="1" t="str">
        <f t="shared" si="2"/>
        <v>onit</v>
      </c>
    </row>
    <row r="229" spans="1:14" x14ac:dyDescent="0.3">
      <c r="A229" s="1" t="s">
        <v>29</v>
      </c>
      <c r="B229" s="1" t="s">
        <v>25</v>
      </c>
      <c r="C229" s="1" t="s">
        <v>34</v>
      </c>
      <c r="D229" s="1" t="s">
        <v>45</v>
      </c>
      <c r="E229" s="1">
        <v>16</v>
      </c>
      <c r="F229" s="1">
        <v>17477</v>
      </c>
      <c r="G229" s="1">
        <v>10</v>
      </c>
      <c r="H229" s="2">
        <v>46041</v>
      </c>
      <c r="I229" s="2">
        <v>46043</v>
      </c>
      <c r="J229" s="1" t="s">
        <v>24</v>
      </c>
      <c r="K229" s="1">
        <v>1228</v>
      </c>
      <c r="L229" s="1" t="str">
        <f t="shared" si="0"/>
        <v>Pri1228</v>
      </c>
      <c r="M229" s="1" t="str">
        <f t="shared" si="1"/>
        <v>Monor</v>
      </c>
      <c r="N229" s="1" t="str">
        <f t="shared" si="2"/>
        <v>onit</v>
      </c>
    </row>
    <row r="230" spans="1:14" x14ac:dyDescent="0.3">
      <c r="A230" s="1" t="s">
        <v>57</v>
      </c>
      <c r="B230" s="1" t="s">
        <v>12</v>
      </c>
      <c r="C230" s="1" t="s">
        <v>18</v>
      </c>
      <c r="D230" s="1" t="s">
        <v>56</v>
      </c>
      <c r="E230" s="1">
        <v>14</v>
      </c>
      <c r="F230" s="1">
        <v>5859</v>
      </c>
      <c r="G230" s="1">
        <v>12</v>
      </c>
      <c r="H230" s="2">
        <v>46027</v>
      </c>
      <c r="I230" s="2">
        <v>46036</v>
      </c>
      <c r="J230" s="1" t="s">
        <v>20</v>
      </c>
      <c r="K230" s="1">
        <v>1229</v>
      </c>
      <c r="L230" s="1" t="str">
        <f t="shared" si="0"/>
        <v>Sar1229</v>
      </c>
      <c r="M230" s="1" t="str">
        <f t="shared" si="1"/>
        <v>Cabet</v>
      </c>
      <c r="N230" s="1" t="str">
        <f t="shared" si="2"/>
        <v>abin</v>
      </c>
    </row>
    <row r="231" spans="1:14" x14ac:dyDescent="0.3">
      <c r="A231" s="1" t="s">
        <v>59</v>
      </c>
      <c r="B231" s="1" t="s">
        <v>33</v>
      </c>
      <c r="C231" s="1" t="s">
        <v>34</v>
      </c>
      <c r="D231" s="1" t="s">
        <v>60</v>
      </c>
      <c r="E231" s="1">
        <v>7</v>
      </c>
      <c r="F231" s="1">
        <v>2932</v>
      </c>
      <c r="G231" s="1">
        <v>7</v>
      </c>
      <c r="H231" s="2">
        <v>46050</v>
      </c>
      <c r="I231" s="2">
        <v>46059</v>
      </c>
      <c r="J231" s="1" t="s">
        <v>24</v>
      </c>
      <c r="K231" s="1">
        <v>1230</v>
      </c>
      <c r="L231" s="1" t="str">
        <f t="shared" si="0"/>
        <v>Ani1230</v>
      </c>
      <c r="M231" s="1" t="str">
        <f t="shared" si="1"/>
        <v>Lapop</v>
      </c>
      <c r="N231" s="1" t="str">
        <f t="shared" si="2"/>
        <v>apto</v>
      </c>
    </row>
    <row r="232" spans="1:14" x14ac:dyDescent="0.3">
      <c r="A232" s="1" t="s">
        <v>48</v>
      </c>
      <c r="B232" s="1" t="s">
        <v>38</v>
      </c>
      <c r="C232" s="1" t="s">
        <v>18</v>
      </c>
      <c r="D232" s="1" t="s">
        <v>19</v>
      </c>
      <c r="E232" s="1">
        <v>13</v>
      </c>
      <c r="F232" s="1">
        <v>10297</v>
      </c>
      <c r="G232" s="1">
        <v>12</v>
      </c>
      <c r="H232" s="2">
        <v>46178</v>
      </c>
      <c r="I232" s="2">
        <v>46186</v>
      </c>
      <c r="J232" s="1" t="s">
        <v>20</v>
      </c>
      <c r="K232" s="1">
        <v>1231</v>
      </c>
      <c r="L232" s="1" t="str">
        <f t="shared" si="0"/>
        <v>Nit1231</v>
      </c>
      <c r="M232" s="1" t="str">
        <f t="shared" si="1"/>
        <v>Dessk</v>
      </c>
      <c r="N232" s="1" t="str">
        <f t="shared" si="2"/>
        <v>esk</v>
      </c>
    </row>
    <row r="233" spans="1:14" x14ac:dyDescent="0.3">
      <c r="A233" s="1" t="s">
        <v>21</v>
      </c>
      <c r="B233" s="1" t="s">
        <v>12</v>
      </c>
      <c r="C233" s="1" t="s">
        <v>34</v>
      </c>
      <c r="D233" s="1" t="s">
        <v>60</v>
      </c>
      <c r="E233" s="1">
        <v>3</v>
      </c>
      <c r="F233" s="1">
        <v>13272</v>
      </c>
      <c r="G233" s="1">
        <v>2</v>
      </c>
      <c r="H233" s="2">
        <v>46060</v>
      </c>
      <c r="I233" s="2">
        <v>46065</v>
      </c>
      <c r="J233" s="1" t="s">
        <v>15</v>
      </c>
      <c r="K233" s="1">
        <v>1232</v>
      </c>
      <c r="L233" s="1" t="str">
        <f t="shared" si="0"/>
        <v>Mee1232</v>
      </c>
      <c r="M233" s="1" t="str">
        <f t="shared" si="1"/>
        <v>Lapop</v>
      </c>
      <c r="N233" s="1" t="str">
        <f t="shared" si="2"/>
        <v>apto</v>
      </c>
    </row>
    <row r="234" spans="1:14" x14ac:dyDescent="0.3">
      <c r="A234" s="1" t="s">
        <v>58</v>
      </c>
      <c r="B234" s="1" t="s">
        <v>22</v>
      </c>
      <c r="C234" s="1" t="s">
        <v>18</v>
      </c>
      <c r="D234" s="1" t="s">
        <v>19</v>
      </c>
      <c r="E234" s="1">
        <v>20</v>
      </c>
      <c r="F234" s="1">
        <v>13941</v>
      </c>
      <c r="G234" s="1">
        <v>15</v>
      </c>
      <c r="H234" s="2">
        <v>46198</v>
      </c>
      <c r="I234" s="2">
        <v>46202</v>
      </c>
      <c r="J234" s="1" t="s">
        <v>24</v>
      </c>
      <c r="K234" s="1">
        <v>1233</v>
      </c>
      <c r="L234" s="1" t="str">
        <f t="shared" si="0"/>
        <v>Roh1233</v>
      </c>
      <c r="M234" s="1" t="str">
        <f t="shared" si="1"/>
        <v>Dessk</v>
      </c>
      <c r="N234" s="1" t="str">
        <f t="shared" si="2"/>
        <v>esk</v>
      </c>
    </row>
    <row r="235" spans="1:14" x14ac:dyDescent="0.3">
      <c r="A235" s="1" t="s">
        <v>11</v>
      </c>
      <c r="B235" s="1" t="s">
        <v>25</v>
      </c>
      <c r="C235" s="1" t="s">
        <v>18</v>
      </c>
      <c r="D235" s="1" t="s">
        <v>28</v>
      </c>
      <c r="E235" s="1">
        <v>1</v>
      </c>
      <c r="F235" s="1">
        <v>14320</v>
      </c>
      <c r="G235" s="1">
        <v>12</v>
      </c>
      <c r="H235" s="2">
        <v>46114</v>
      </c>
      <c r="I235" s="2">
        <v>46121</v>
      </c>
      <c r="J235" s="1" t="s">
        <v>51</v>
      </c>
      <c r="K235" s="1">
        <v>1234</v>
      </c>
      <c r="L235" s="1" t="str">
        <f t="shared" si="0"/>
        <v>Rit1234</v>
      </c>
      <c r="M235" s="1" t="str">
        <f t="shared" si="1"/>
        <v>Chair</v>
      </c>
      <c r="N235" s="1" t="str">
        <f t="shared" si="2"/>
        <v>hair</v>
      </c>
    </row>
    <row r="236" spans="1:14" x14ac:dyDescent="0.3">
      <c r="A236" s="1" t="s">
        <v>57</v>
      </c>
      <c r="B236" s="1" t="s">
        <v>25</v>
      </c>
      <c r="C236" s="1" t="s">
        <v>13</v>
      </c>
      <c r="D236" s="1" t="s">
        <v>50</v>
      </c>
      <c r="E236" s="1">
        <v>15</v>
      </c>
      <c r="F236" s="1">
        <v>267</v>
      </c>
      <c r="G236" s="1">
        <v>15</v>
      </c>
      <c r="H236" s="2">
        <v>46172</v>
      </c>
      <c r="I236" s="2">
        <v>46177</v>
      </c>
      <c r="J236" s="1" t="s">
        <v>29</v>
      </c>
      <c r="K236" s="1">
        <v>1235</v>
      </c>
      <c r="L236" s="1" t="str">
        <f t="shared" si="0"/>
        <v>Sar1235</v>
      </c>
      <c r="M236" s="1" t="str">
        <f t="shared" si="1"/>
        <v>Marer</v>
      </c>
      <c r="N236" s="1" t="str">
        <f t="shared" si="2"/>
        <v>arke</v>
      </c>
    </row>
    <row r="237" spans="1:14" x14ac:dyDescent="0.3">
      <c r="A237" s="1" t="s">
        <v>54</v>
      </c>
      <c r="B237" s="1" t="s">
        <v>43</v>
      </c>
      <c r="C237" s="1" t="s">
        <v>13</v>
      </c>
      <c r="D237" s="1" t="s">
        <v>37</v>
      </c>
      <c r="E237" s="1">
        <v>12</v>
      </c>
      <c r="F237" s="1">
        <v>189</v>
      </c>
      <c r="G237" s="1">
        <v>7</v>
      </c>
      <c r="H237" s="2">
        <v>46164</v>
      </c>
      <c r="I237" s="2">
        <v>46169</v>
      </c>
      <c r="J237" s="1" t="s">
        <v>29</v>
      </c>
      <c r="K237" s="1">
        <v>1236</v>
      </c>
      <c r="L237" s="1" t="str">
        <f t="shared" si="0"/>
        <v>Man1236</v>
      </c>
      <c r="M237" s="1" t="str">
        <f t="shared" si="1"/>
        <v>Penck</v>
      </c>
      <c r="N237" s="1" t="str">
        <f t="shared" si="2"/>
        <v>en P</v>
      </c>
    </row>
    <row r="238" spans="1:14" x14ac:dyDescent="0.3">
      <c r="A238" s="1" t="s">
        <v>46</v>
      </c>
      <c r="B238" s="1" t="s">
        <v>38</v>
      </c>
      <c r="C238" s="1" t="s">
        <v>18</v>
      </c>
      <c r="D238" s="1" t="s">
        <v>56</v>
      </c>
      <c r="E238" s="1">
        <v>8</v>
      </c>
      <c r="F238" s="1">
        <v>12123</v>
      </c>
      <c r="G238" s="1">
        <v>2</v>
      </c>
      <c r="H238" s="2">
        <v>46137</v>
      </c>
      <c r="I238" s="2">
        <v>46145</v>
      </c>
      <c r="J238" s="1" t="s">
        <v>15</v>
      </c>
      <c r="K238" s="1">
        <v>1237</v>
      </c>
      <c r="L238" s="1" t="str">
        <f t="shared" si="0"/>
        <v>Kir1237</v>
      </c>
      <c r="M238" s="1" t="str">
        <f t="shared" si="1"/>
        <v>Cabet</v>
      </c>
      <c r="N238" s="1" t="str">
        <f t="shared" si="2"/>
        <v>abin</v>
      </c>
    </row>
    <row r="239" spans="1:14" x14ac:dyDescent="0.3">
      <c r="A239" s="1" t="s">
        <v>30</v>
      </c>
      <c r="B239" s="1" t="s">
        <v>31</v>
      </c>
      <c r="C239" s="1" t="s">
        <v>13</v>
      </c>
      <c r="D239" s="1" t="s">
        <v>14</v>
      </c>
      <c r="E239" s="1">
        <v>6</v>
      </c>
      <c r="F239" s="1">
        <v>180</v>
      </c>
      <c r="G239" s="1">
        <v>12</v>
      </c>
      <c r="H239" s="2">
        <v>46096</v>
      </c>
      <c r="I239" s="2">
        <v>46097</v>
      </c>
      <c r="J239" s="1" t="s">
        <v>51</v>
      </c>
      <c r="K239" s="1">
        <v>1238</v>
      </c>
      <c r="L239" s="1" t="str">
        <f t="shared" si="0"/>
        <v>Neh1238</v>
      </c>
      <c r="M239" s="1" t="str">
        <f t="shared" si="1"/>
        <v>Notok</v>
      </c>
      <c r="N239" s="1" t="str">
        <f t="shared" si="2"/>
        <v>oteb</v>
      </c>
    </row>
    <row r="240" spans="1:14" x14ac:dyDescent="0.3">
      <c r="A240" s="1" t="s">
        <v>48</v>
      </c>
      <c r="B240" s="1" t="s">
        <v>17</v>
      </c>
      <c r="C240" s="1" t="s">
        <v>18</v>
      </c>
      <c r="D240" s="1" t="s">
        <v>56</v>
      </c>
      <c r="E240" s="1">
        <v>2</v>
      </c>
      <c r="F240" s="1">
        <v>12330</v>
      </c>
      <c r="G240" s="1">
        <v>12</v>
      </c>
      <c r="H240" s="2">
        <v>46122</v>
      </c>
      <c r="I240" s="2">
        <v>46125</v>
      </c>
      <c r="J240" s="1" t="s">
        <v>15</v>
      </c>
      <c r="K240" s="1">
        <v>1239</v>
      </c>
      <c r="L240" s="1" t="str">
        <f t="shared" si="0"/>
        <v>Nit1239</v>
      </c>
      <c r="M240" s="1" t="str">
        <f t="shared" si="1"/>
        <v>Cabet</v>
      </c>
      <c r="N240" s="1" t="str">
        <f t="shared" si="2"/>
        <v>abin</v>
      </c>
    </row>
    <row r="241" spans="1:14" x14ac:dyDescent="0.3">
      <c r="A241" s="1" t="s">
        <v>55</v>
      </c>
      <c r="B241" s="1" t="s">
        <v>33</v>
      </c>
      <c r="C241" s="1" t="s">
        <v>18</v>
      </c>
      <c r="D241" s="1" t="s">
        <v>23</v>
      </c>
      <c r="E241" s="1">
        <v>2</v>
      </c>
      <c r="F241" s="1">
        <v>5475</v>
      </c>
      <c r="G241" s="1">
        <v>2</v>
      </c>
      <c r="H241" s="2">
        <v>46142</v>
      </c>
      <c r="I241" s="2">
        <v>46146</v>
      </c>
      <c r="J241" s="1" t="s">
        <v>29</v>
      </c>
      <c r="K241" s="1">
        <v>1240</v>
      </c>
      <c r="L241" s="1" t="str">
        <f t="shared" si="0"/>
        <v>Sne1240</v>
      </c>
      <c r="M241" s="1" t="str">
        <f t="shared" si="1"/>
        <v>Table</v>
      </c>
      <c r="N241" s="1" t="str">
        <f t="shared" si="2"/>
        <v>able</v>
      </c>
    </row>
    <row r="242" spans="1:14" x14ac:dyDescent="0.3">
      <c r="A242" s="1" t="s">
        <v>46</v>
      </c>
      <c r="B242" s="1" t="s">
        <v>31</v>
      </c>
      <c r="C242" s="1" t="s">
        <v>18</v>
      </c>
      <c r="D242" s="1" t="s">
        <v>44</v>
      </c>
      <c r="E242" s="1">
        <v>1</v>
      </c>
      <c r="F242" s="1">
        <v>12537</v>
      </c>
      <c r="G242" s="1">
        <v>0</v>
      </c>
      <c r="H242" s="2">
        <v>46119</v>
      </c>
      <c r="I242" s="2">
        <v>46122</v>
      </c>
      <c r="J242" s="1" t="s">
        <v>15</v>
      </c>
      <c r="K242" s="1">
        <v>1241</v>
      </c>
      <c r="L242" s="1" t="str">
        <f t="shared" si="0"/>
        <v>Kir1241</v>
      </c>
      <c r="M242" s="1" t="str">
        <f t="shared" si="1"/>
        <v>Boolf</v>
      </c>
      <c r="N242" s="1" t="str">
        <f t="shared" si="2"/>
        <v>ooks</v>
      </c>
    </row>
    <row r="243" spans="1:14" x14ac:dyDescent="0.3">
      <c r="A243" s="1" t="s">
        <v>54</v>
      </c>
      <c r="B243" s="1" t="s">
        <v>38</v>
      </c>
      <c r="C243" s="1" t="s">
        <v>13</v>
      </c>
      <c r="D243" s="1" t="s">
        <v>50</v>
      </c>
      <c r="E243" s="1">
        <v>7</v>
      </c>
      <c r="F243" s="1">
        <v>168</v>
      </c>
      <c r="G243" s="1">
        <v>10</v>
      </c>
      <c r="H243" s="2">
        <v>46191</v>
      </c>
      <c r="I243" s="2">
        <v>46196</v>
      </c>
      <c r="J243" s="1" t="s">
        <v>51</v>
      </c>
      <c r="K243" s="1">
        <v>1242</v>
      </c>
      <c r="L243" s="1" t="str">
        <f t="shared" si="0"/>
        <v>Man1242</v>
      </c>
      <c r="M243" s="1" t="str">
        <f t="shared" si="1"/>
        <v>Marer</v>
      </c>
      <c r="N243" s="1" t="str">
        <f t="shared" si="2"/>
        <v>arke</v>
      </c>
    </row>
    <row r="244" spans="1:14" x14ac:dyDescent="0.3">
      <c r="A244" s="1" t="s">
        <v>30</v>
      </c>
      <c r="B244" s="1" t="s">
        <v>31</v>
      </c>
      <c r="C244" s="1" t="s">
        <v>34</v>
      </c>
      <c r="D244" s="1" t="s">
        <v>41</v>
      </c>
      <c r="E244" s="1">
        <v>5</v>
      </c>
      <c r="F244" s="1">
        <v>11570</v>
      </c>
      <c r="G244" s="1">
        <v>15</v>
      </c>
      <c r="H244" s="2">
        <v>46069</v>
      </c>
      <c r="I244" s="2">
        <v>46077</v>
      </c>
      <c r="J244" s="1" t="s">
        <v>24</v>
      </c>
      <c r="K244" s="1">
        <v>1243</v>
      </c>
      <c r="L244" s="1" t="str">
        <f t="shared" si="0"/>
        <v>Neh1243</v>
      </c>
      <c r="M244" s="1" t="str">
        <f t="shared" si="1"/>
        <v>Heaet</v>
      </c>
      <c r="N244" s="1" t="str">
        <f t="shared" si="2"/>
        <v>eads</v>
      </c>
    </row>
    <row r="245" spans="1:14" x14ac:dyDescent="0.3">
      <c r="A245" s="1" t="s">
        <v>57</v>
      </c>
      <c r="B245" s="1" t="s">
        <v>38</v>
      </c>
      <c r="C245" s="1" t="s">
        <v>18</v>
      </c>
      <c r="D245" s="1" t="s">
        <v>28</v>
      </c>
      <c r="E245" s="1">
        <v>10</v>
      </c>
      <c r="F245" s="1">
        <v>6339</v>
      </c>
      <c r="G245" s="1">
        <v>12</v>
      </c>
      <c r="H245" s="2">
        <v>46200</v>
      </c>
      <c r="I245" s="2">
        <v>46205</v>
      </c>
      <c r="J245" s="1" t="s">
        <v>15</v>
      </c>
      <c r="K245" s="1">
        <v>1244</v>
      </c>
      <c r="L245" s="1" t="str">
        <f t="shared" si="0"/>
        <v>Sar1244</v>
      </c>
      <c r="M245" s="1" t="str">
        <f t="shared" si="1"/>
        <v>Chair</v>
      </c>
      <c r="N245" s="1" t="str">
        <f t="shared" si="2"/>
        <v>hair</v>
      </c>
    </row>
    <row r="246" spans="1:14" x14ac:dyDescent="0.3">
      <c r="A246" s="1" t="s">
        <v>55</v>
      </c>
      <c r="B246" s="1" t="s">
        <v>43</v>
      </c>
      <c r="C246" s="1" t="s">
        <v>34</v>
      </c>
      <c r="D246" s="1" t="s">
        <v>41</v>
      </c>
      <c r="E246" s="1">
        <v>19</v>
      </c>
      <c r="F246" s="1">
        <v>69029</v>
      </c>
      <c r="G246" s="1">
        <v>7</v>
      </c>
      <c r="H246" s="2">
        <v>46176</v>
      </c>
      <c r="I246" s="2">
        <v>46179</v>
      </c>
      <c r="J246" s="1" t="s">
        <v>29</v>
      </c>
      <c r="K246" s="1">
        <v>1245</v>
      </c>
      <c r="L246" s="1" t="str">
        <f t="shared" si="0"/>
        <v>Sne1245</v>
      </c>
      <c r="M246" s="1" t="str">
        <f t="shared" si="1"/>
        <v>Heaet</v>
      </c>
      <c r="N246" s="1" t="str">
        <f t="shared" si="2"/>
        <v>eads</v>
      </c>
    </row>
    <row r="247" spans="1:14" x14ac:dyDescent="0.3">
      <c r="A247" s="1" t="s">
        <v>55</v>
      </c>
      <c r="B247" s="1" t="s">
        <v>22</v>
      </c>
      <c r="C247" s="1" t="s">
        <v>34</v>
      </c>
      <c r="D247" s="1" t="s">
        <v>35</v>
      </c>
      <c r="E247" s="1">
        <v>13</v>
      </c>
      <c r="F247" s="1">
        <v>1825</v>
      </c>
      <c r="G247" s="1">
        <v>2</v>
      </c>
      <c r="H247" s="2">
        <v>46039</v>
      </c>
      <c r="I247" s="2">
        <v>46045</v>
      </c>
      <c r="J247" s="1" t="s">
        <v>51</v>
      </c>
      <c r="K247" s="1">
        <v>1246</v>
      </c>
      <c r="L247" s="1" t="str">
        <f t="shared" si="0"/>
        <v>Sne1246</v>
      </c>
      <c r="M247" s="1" t="str">
        <f t="shared" si="1"/>
        <v>Prier</v>
      </c>
      <c r="N247" s="1" t="str">
        <f t="shared" si="2"/>
        <v>rint</v>
      </c>
    </row>
    <row r="248" spans="1:14" x14ac:dyDescent="0.3">
      <c r="A248" s="1" t="s">
        <v>26</v>
      </c>
      <c r="B248" s="1" t="s">
        <v>12</v>
      </c>
      <c r="C248" s="1" t="s">
        <v>13</v>
      </c>
      <c r="D248" s="1" t="s">
        <v>50</v>
      </c>
      <c r="E248" s="1">
        <v>10</v>
      </c>
      <c r="F248" s="1">
        <v>336</v>
      </c>
      <c r="G248" s="1">
        <v>7</v>
      </c>
      <c r="H248" s="2">
        <v>46173</v>
      </c>
      <c r="I248" s="2">
        <v>46175</v>
      </c>
      <c r="J248" s="1" t="s">
        <v>20</v>
      </c>
      <c r="K248" s="1">
        <v>1247</v>
      </c>
      <c r="L248" s="1" t="str">
        <f t="shared" si="0"/>
        <v>Vik1247</v>
      </c>
      <c r="M248" s="1" t="str">
        <f t="shared" si="1"/>
        <v>Marer</v>
      </c>
      <c r="N248" s="1" t="str">
        <f t="shared" si="2"/>
        <v>arke</v>
      </c>
    </row>
    <row r="249" spans="1:14" x14ac:dyDescent="0.3">
      <c r="A249" s="1" t="s">
        <v>27</v>
      </c>
      <c r="B249" s="1" t="s">
        <v>43</v>
      </c>
      <c r="C249" s="1" t="s">
        <v>13</v>
      </c>
      <c r="D249" s="1" t="s">
        <v>37</v>
      </c>
      <c r="E249" s="1">
        <v>5</v>
      </c>
      <c r="F249" s="1">
        <v>398</v>
      </c>
      <c r="G249" s="1">
        <v>7</v>
      </c>
      <c r="H249" s="2">
        <v>46161</v>
      </c>
      <c r="I249" s="2">
        <v>46171</v>
      </c>
      <c r="J249" s="1" t="s">
        <v>29</v>
      </c>
      <c r="K249" s="1">
        <v>1248</v>
      </c>
      <c r="L249" s="1" t="str">
        <f t="shared" si="0"/>
        <v>Arj1248</v>
      </c>
      <c r="M249" s="1" t="str">
        <f t="shared" si="1"/>
        <v>Penck</v>
      </c>
      <c r="N249" s="1" t="str">
        <f t="shared" si="2"/>
        <v>en P</v>
      </c>
    </row>
    <row r="250" spans="1:14" x14ac:dyDescent="0.3">
      <c r="A250" s="1" t="s">
        <v>16</v>
      </c>
      <c r="B250" s="1" t="s">
        <v>25</v>
      </c>
      <c r="C250" s="1" t="s">
        <v>34</v>
      </c>
      <c r="D250" s="1" t="s">
        <v>41</v>
      </c>
      <c r="E250" s="1">
        <v>18</v>
      </c>
      <c r="F250" s="1">
        <v>6360</v>
      </c>
      <c r="G250" s="1">
        <v>12</v>
      </c>
      <c r="H250" s="2">
        <v>46163</v>
      </c>
      <c r="I250" s="2">
        <v>46165</v>
      </c>
      <c r="J250" s="1" t="s">
        <v>20</v>
      </c>
      <c r="K250" s="1">
        <v>1249</v>
      </c>
      <c r="L250" s="1" t="str">
        <f t="shared" si="0"/>
        <v>Poo1249</v>
      </c>
      <c r="M250" s="1" t="str">
        <f t="shared" si="1"/>
        <v>Heaet</v>
      </c>
      <c r="N250" s="1" t="str">
        <f t="shared" si="2"/>
        <v>eads</v>
      </c>
    </row>
    <row r="251" spans="1:14" x14ac:dyDescent="0.3">
      <c r="A251" s="1" t="s">
        <v>11</v>
      </c>
      <c r="B251" s="1" t="s">
        <v>17</v>
      </c>
      <c r="C251" s="1" t="s">
        <v>34</v>
      </c>
      <c r="D251" s="1" t="s">
        <v>45</v>
      </c>
      <c r="E251" s="1">
        <v>2</v>
      </c>
      <c r="F251" s="1">
        <v>65953</v>
      </c>
      <c r="G251" s="1">
        <v>7</v>
      </c>
      <c r="H251" s="2">
        <v>46051</v>
      </c>
      <c r="I251" s="2">
        <v>46053</v>
      </c>
      <c r="J251" s="1" t="s">
        <v>29</v>
      </c>
      <c r="K251" s="1">
        <v>1250</v>
      </c>
      <c r="L251" s="1" t="str">
        <f t="shared" si="0"/>
        <v>Rit1250</v>
      </c>
      <c r="M251" s="1" t="str">
        <f t="shared" si="1"/>
        <v>Monor</v>
      </c>
      <c r="N251" s="1" t="str">
        <f t="shared" si="2"/>
        <v>onit</v>
      </c>
    </row>
    <row r="252" spans="1:14" x14ac:dyDescent="0.3">
      <c r="A252" s="1" t="s">
        <v>55</v>
      </c>
      <c r="B252" s="1" t="s">
        <v>38</v>
      </c>
      <c r="C252" s="1" t="s">
        <v>34</v>
      </c>
      <c r="D252" s="1" t="s">
        <v>61</v>
      </c>
      <c r="E252" s="1">
        <v>19</v>
      </c>
      <c r="F252" s="1">
        <v>48548</v>
      </c>
      <c r="G252" s="1">
        <v>0</v>
      </c>
      <c r="H252" s="2">
        <v>46112</v>
      </c>
      <c r="I252" s="2">
        <v>46121</v>
      </c>
      <c r="J252" s="1" t="s">
        <v>51</v>
      </c>
      <c r="K252" s="1">
        <v>1251</v>
      </c>
      <c r="L252" s="1" t="str">
        <f t="shared" si="0"/>
        <v>Sne1251</v>
      </c>
      <c r="M252" s="1" t="str">
        <f t="shared" si="1"/>
        <v>Mouse</v>
      </c>
      <c r="N252" s="1" t="str">
        <f t="shared" si="2"/>
        <v>ouse</v>
      </c>
    </row>
    <row r="253" spans="1:14" x14ac:dyDescent="0.3">
      <c r="A253" s="1" t="s">
        <v>47</v>
      </c>
      <c r="B253" s="1" t="s">
        <v>25</v>
      </c>
      <c r="C253" s="1" t="s">
        <v>13</v>
      </c>
      <c r="D253" s="1" t="s">
        <v>36</v>
      </c>
      <c r="E253" s="1">
        <v>15</v>
      </c>
      <c r="F253" s="1">
        <v>257</v>
      </c>
      <c r="G253" s="1">
        <v>5</v>
      </c>
      <c r="H253" s="2">
        <v>46166</v>
      </c>
      <c r="I253" s="2">
        <v>46173</v>
      </c>
      <c r="J253" s="1" t="s">
        <v>20</v>
      </c>
      <c r="K253" s="1">
        <v>1252</v>
      </c>
      <c r="L253" s="1" t="str">
        <f t="shared" si="0"/>
        <v>Yas1252</v>
      </c>
      <c r="M253" s="1" t="str">
        <f t="shared" si="1"/>
        <v>Staer</v>
      </c>
      <c r="N253" s="1" t="str">
        <f t="shared" si="2"/>
        <v>tapl</v>
      </c>
    </row>
    <row r="254" spans="1:14" x14ac:dyDescent="0.3">
      <c r="A254" s="1" t="s">
        <v>21</v>
      </c>
      <c r="B254" s="1" t="s">
        <v>31</v>
      </c>
      <c r="C254" s="1" t="s">
        <v>34</v>
      </c>
      <c r="D254" s="1" t="s">
        <v>45</v>
      </c>
      <c r="E254" s="1">
        <v>20</v>
      </c>
      <c r="F254" s="1">
        <v>47880</v>
      </c>
      <c r="G254" s="1">
        <v>7</v>
      </c>
      <c r="H254" s="2">
        <v>46074</v>
      </c>
      <c r="I254" s="2">
        <v>46075</v>
      </c>
      <c r="J254" s="1" t="s">
        <v>29</v>
      </c>
      <c r="K254" s="1">
        <v>1253</v>
      </c>
      <c r="L254" s="1" t="str">
        <f t="shared" si="0"/>
        <v>Mee1253</v>
      </c>
      <c r="M254" s="1" t="str">
        <f t="shared" si="1"/>
        <v>Monor</v>
      </c>
      <c r="N254" s="1" t="str">
        <f t="shared" si="2"/>
        <v>onit</v>
      </c>
    </row>
    <row r="255" spans="1:14" x14ac:dyDescent="0.3">
      <c r="A255" s="1" t="s">
        <v>52</v>
      </c>
      <c r="B255" s="1" t="s">
        <v>22</v>
      </c>
      <c r="C255" s="1" t="s">
        <v>13</v>
      </c>
      <c r="D255" s="1" t="s">
        <v>50</v>
      </c>
      <c r="E255" s="1">
        <v>18</v>
      </c>
      <c r="F255" s="1">
        <v>447</v>
      </c>
      <c r="G255" s="1">
        <v>15</v>
      </c>
      <c r="H255" s="2">
        <v>46141</v>
      </c>
      <c r="I255" s="2">
        <v>46149</v>
      </c>
      <c r="J255" s="1" t="s">
        <v>24</v>
      </c>
      <c r="K255" s="1">
        <v>1254</v>
      </c>
      <c r="L255" s="1" t="str">
        <f t="shared" si="0"/>
        <v>Kom1254</v>
      </c>
      <c r="M255" s="1" t="str">
        <f t="shared" si="1"/>
        <v>Marer</v>
      </c>
      <c r="N255" s="1" t="str">
        <f t="shared" si="2"/>
        <v>arke</v>
      </c>
    </row>
    <row r="256" spans="1:14" x14ac:dyDescent="0.3">
      <c r="A256" s="1" t="s">
        <v>32</v>
      </c>
      <c r="B256" s="1" t="s">
        <v>17</v>
      </c>
      <c r="C256" s="1" t="s">
        <v>18</v>
      </c>
      <c r="D256" s="1" t="s">
        <v>19</v>
      </c>
      <c r="E256" s="1">
        <v>1</v>
      </c>
      <c r="F256" s="1">
        <v>2240</v>
      </c>
      <c r="G256" s="1">
        <v>5</v>
      </c>
      <c r="H256" s="2">
        <v>46091</v>
      </c>
      <c r="I256" s="2">
        <v>46095</v>
      </c>
      <c r="J256" s="1" t="s">
        <v>20</v>
      </c>
      <c r="K256" s="1">
        <v>1255</v>
      </c>
      <c r="L256" s="1" t="str">
        <f t="shared" si="0"/>
        <v>Ash1255</v>
      </c>
      <c r="M256" s="1" t="str">
        <f t="shared" si="1"/>
        <v>Dessk</v>
      </c>
      <c r="N256" s="1" t="str">
        <f t="shared" si="2"/>
        <v>esk</v>
      </c>
    </row>
    <row r="257" spans="1:14" x14ac:dyDescent="0.3">
      <c r="A257" s="1" t="s">
        <v>48</v>
      </c>
      <c r="B257" s="1" t="s">
        <v>31</v>
      </c>
      <c r="C257" s="1" t="s">
        <v>13</v>
      </c>
      <c r="D257" s="1" t="s">
        <v>50</v>
      </c>
      <c r="E257" s="1">
        <v>19</v>
      </c>
      <c r="F257" s="1">
        <v>406</v>
      </c>
      <c r="G257" s="1">
        <v>7</v>
      </c>
      <c r="H257" s="2">
        <v>46057</v>
      </c>
      <c r="I257" s="2">
        <v>46061</v>
      </c>
      <c r="J257" s="1" t="s">
        <v>15</v>
      </c>
      <c r="K257" s="1">
        <v>1256</v>
      </c>
      <c r="L257" s="1" t="str">
        <f t="shared" ref="L257:L401" si="3">LEFT(A257,3)&amp;K257</f>
        <v>Nit1256</v>
      </c>
      <c r="M257" s="1" t="str">
        <f t="shared" ref="M257:M401" si="4">LEFT(D257,3)&amp;RIGHT(D257,2)</f>
        <v>Marer</v>
      </c>
      <c r="N257" s="1" t="str">
        <f t="shared" ref="N257:N401" si="5">MID(D257,2,4)</f>
        <v>arke</v>
      </c>
    </row>
    <row r="258" spans="1:14" x14ac:dyDescent="0.3">
      <c r="A258" s="1" t="s">
        <v>54</v>
      </c>
      <c r="B258" s="1" t="s">
        <v>25</v>
      </c>
      <c r="C258" s="1" t="s">
        <v>34</v>
      </c>
      <c r="D258" s="1" t="s">
        <v>61</v>
      </c>
      <c r="E258" s="1">
        <v>7</v>
      </c>
      <c r="F258" s="1">
        <v>53243</v>
      </c>
      <c r="G258" s="1">
        <v>12</v>
      </c>
      <c r="H258" s="2">
        <v>46161</v>
      </c>
      <c r="I258" s="2">
        <v>46171</v>
      </c>
      <c r="J258" s="1" t="s">
        <v>15</v>
      </c>
      <c r="K258" s="1">
        <v>1257</v>
      </c>
      <c r="L258" s="1" t="str">
        <f t="shared" si="3"/>
        <v>Man1257</v>
      </c>
      <c r="M258" s="1" t="str">
        <f t="shared" si="4"/>
        <v>Mouse</v>
      </c>
      <c r="N258" s="1" t="str">
        <f t="shared" si="5"/>
        <v>ouse</v>
      </c>
    </row>
    <row r="259" spans="1:14" x14ac:dyDescent="0.3">
      <c r="A259" s="1" t="s">
        <v>32</v>
      </c>
      <c r="B259" s="1" t="s">
        <v>31</v>
      </c>
      <c r="C259" s="1" t="s">
        <v>34</v>
      </c>
      <c r="D259" s="1" t="s">
        <v>60</v>
      </c>
      <c r="E259" s="1">
        <v>1</v>
      </c>
      <c r="F259" s="1">
        <v>10600</v>
      </c>
      <c r="G259" s="1">
        <v>5</v>
      </c>
      <c r="H259" s="2">
        <v>46137</v>
      </c>
      <c r="I259" s="2">
        <v>46138</v>
      </c>
      <c r="J259" s="1" t="s">
        <v>29</v>
      </c>
      <c r="K259" s="1">
        <v>1258</v>
      </c>
      <c r="L259" s="1" t="str">
        <f t="shared" si="3"/>
        <v>Ash1258</v>
      </c>
      <c r="M259" s="1" t="str">
        <f t="shared" si="4"/>
        <v>Lapop</v>
      </c>
      <c r="N259" s="1" t="str">
        <f t="shared" si="5"/>
        <v>apto</v>
      </c>
    </row>
    <row r="260" spans="1:14" x14ac:dyDescent="0.3">
      <c r="A260" s="1" t="s">
        <v>42</v>
      </c>
      <c r="B260" s="1" t="s">
        <v>22</v>
      </c>
      <c r="C260" s="1" t="s">
        <v>34</v>
      </c>
      <c r="D260" s="1" t="s">
        <v>45</v>
      </c>
      <c r="E260" s="1">
        <v>10</v>
      </c>
      <c r="F260" s="1">
        <v>38771</v>
      </c>
      <c r="G260" s="1">
        <v>15</v>
      </c>
      <c r="H260" s="2">
        <v>46172</v>
      </c>
      <c r="I260" s="2">
        <v>46182</v>
      </c>
      <c r="J260" s="1" t="s">
        <v>15</v>
      </c>
      <c r="K260" s="1">
        <v>1259</v>
      </c>
      <c r="L260" s="1" t="str">
        <f t="shared" si="3"/>
        <v>Nis1259</v>
      </c>
      <c r="M260" s="1" t="str">
        <f t="shared" si="4"/>
        <v>Monor</v>
      </c>
      <c r="N260" s="1" t="str">
        <f t="shared" si="5"/>
        <v>onit</v>
      </c>
    </row>
    <row r="261" spans="1:14" x14ac:dyDescent="0.3">
      <c r="A261" s="1" t="s">
        <v>54</v>
      </c>
      <c r="B261" s="1" t="s">
        <v>38</v>
      </c>
      <c r="C261" s="1" t="s">
        <v>34</v>
      </c>
      <c r="D261" s="1" t="s">
        <v>41</v>
      </c>
      <c r="E261" s="1">
        <v>19</v>
      </c>
      <c r="F261" s="1">
        <v>54981</v>
      </c>
      <c r="G261" s="1">
        <v>10</v>
      </c>
      <c r="H261" s="2">
        <v>46040</v>
      </c>
      <c r="I261" s="2">
        <v>46045</v>
      </c>
      <c r="J261" s="1" t="s">
        <v>29</v>
      </c>
      <c r="K261" s="1">
        <v>1260</v>
      </c>
      <c r="L261" s="1" t="str">
        <f t="shared" si="3"/>
        <v>Man1260</v>
      </c>
      <c r="M261" s="1" t="str">
        <f t="shared" si="4"/>
        <v>Heaet</v>
      </c>
      <c r="N261" s="1" t="str">
        <f t="shared" si="5"/>
        <v>eads</v>
      </c>
    </row>
    <row r="262" spans="1:14" x14ac:dyDescent="0.3">
      <c r="A262" s="1" t="s">
        <v>40</v>
      </c>
      <c r="B262" s="1" t="s">
        <v>17</v>
      </c>
      <c r="C262" s="1" t="s">
        <v>13</v>
      </c>
      <c r="D262" s="1" t="s">
        <v>50</v>
      </c>
      <c r="E262" s="1">
        <v>20</v>
      </c>
      <c r="F262" s="1">
        <v>162</v>
      </c>
      <c r="G262" s="1">
        <v>7</v>
      </c>
      <c r="H262" s="2">
        <v>46119</v>
      </c>
      <c r="I262" s="2">
        <v>46120</v>
      </c>
      <c r="J262" s="1" t="s">
        <v>51</v>
      </c>
      <c r="K262" s="1">
        <v>1261</v>
      </c>
      <c r="L262" s="1" t="str">
        <f t="shared" si="3"/>
        <v>Dee1261</v>
      </c>
      <c r="M262" s="1" t="str">
        <f t="shared" si="4"/>
        <v>Marer</v>
      </c>
      <c r="N262" s="1" t="str">
        <f t="shared" si="5"/>
        <v>arke</v>
      </c>
    </row>
    <row r="263" spans="1:14" x14ac:dyDescent="0.3">
      <c r="A263" s="1" t="s">
        <v>16</v>
      </c>
      <c r="B263" s="1" t="s">
        <v>22</v>
      </c>
      <c r="C263" s="1" t="s">
        <v>18</v>
      </c>
      <c r="D263" s="1" t="s">
        <v>28</v>
      </c>
      <c r="E263" s="1">
        <v>9</v>
      </c>
      <c r="F263" s="1">
        <v>2231</v>
      </c>
      <c r="G263" s="1">
        <v>15</v>
      </c>
      <c r="H263" s="2">
        <v>46174</v>
      </c>
      <c r="I263" s="2">
        <v>46183</v>
      </c>
      <c r="J263" s="1" t="s">
        <v>15</v>
      </c>
      <c r="K263" s="1">
        <v>1262</v>
      </c>
      <c r="L263" s="1" t="str">
        <f t="shared" si="3"/>
        <v>Poo1262</v>
      </c>
      <c r="M263" s="1" t="str">
        <f t="shared" si="4"/>
        <v>Chair</v>
      </c>
      <c r="N263" s="1" t="str">
        <f t="shared" si="5"/>
        <v>hair</v>
      </c>
    </row>
    <row r="264" spans="1:14" x14ac:dyDescent="0.3">
      <c r="A264" s="1" t="s">
        <v>29</v>
      </c>
      <c r="B264" s="1" t="s">
        <v>38</v>
      </c>
      <c r="C264" s="1" t="s">
        <v>18</v>
      </c>
      <c r="D264" s="1" t="s">
        <v>28</v>
      </c>
      <c r="E264" s="1">
        <v>10</v>
      </c>
      <c r="F264" s="1">
        <v>1505</v>
      </c>
      <c r="G264" s="1">
        <v>0</v>
      </c>
      <c r="H264" s="2">
        <v>46130</v>
      </c>
      <c r="I264" s="2">
        <v>46138</v>
      </c>
      <c r="J264" s="1" t="s">
        <v>51</v>
      </c>
      <c r="K264" s="1">
        <v>1263</v>
      </c>
      <c r="L264" s="1" t="str">
        <f t="shared" si="3"/>
        <v>Pri1263</v>
      </c>
      <c r="M264" s="1" t="str">
        <f t="shared" si="4"/>
        <v>Chair</v>
      </c>
      <c r="N264" s="1" t="str">
        <f t="shared" si="5"/>
        <v>hair</v>
      </c>
    </row>
    <row r="265" spans="1:14" x14ac:dyDescent="0.3">
      <c r="A265" s="1" t="s">
        <v>11</v>
      </c>
      <c r="B265" s="1" t="s">
        <v>22</v>
      </c>
      <c r="C265" s="1" t="s">
        <v>18</v>
      </c>
      <c r="D265" s="1" t="s">
        <v>28</v>
      </c>
      <c r="E265" s="1">
        <v>15</v>
      </c>
      <c r="F265" s="1">
        <v>6365</v>
      </c>
      <c r="G265" s="1">
        <v>10</v>
      </c>
      <c r="H265" s="2">
        <v>46200</v>
      </c>
      <c r="I265" s="2">
        <v>46206</v>
      </c>
      <c r="J265" s="1" t="s">
        <v>20</v>
      </c>
      <c r="K265" s="1">
        <v>1264</v>
      </c>
      <c r="L265" s="1" t="str">
        <f t="shared" si="3"/>
        <v>Rit1264</v>
      </c>
      <c r="M265" s="1" t="str">
        <f t="shared" si="4"/>
        <v>Chair</v>
      </c>
      <c r="N265" s="1" t="str">
        <f t="shared" si="5"/>
        <v>hair</v>
      </c>
    </row>
    <row r="266" spans="1:14" x14ac:dyDescent="0.3">
      <c r="A266" s="1" t="s">
        <v>58</v>
      </c>
      <c r="B266" s="1" t="s">
        <v>22</v>
      </c>
      <c r="C266" s="1" t="s">
        <v>18</v>
      </c>
      <c r="D266" s="1" t="s">
        <v>19</v>
      </c>
      <c r="E266" s="1">
        <v>1</v>
      </c>
      <c r="F266" s="1">
        <v>1052</v>
      </c>
      <c r="G266" s="1">
        <v>7</v>
      </c>
      <c r="H266" s="2">
        <v>46117</v>
      </c>
      <c r="I266" s="2">
        <v>46127</v>
      </c>
      <c r="J266" s="1" t="s">
        <v>51</v>
      </c>
      <c r="K266" s="1">
        <v>1265</v>
      </c>
      <c r="L266" s="1" t="str">
        <f t="shared" si="3"/>
        <v>Roh1265</v>
      </c>
      <c r="M266" s="1" t="str">
        <f t="shared" si="4"/>
        <v>Dessk</v>
      </c>
      <c r="N266" s="1" t="str">
        <f t="shared" si="5"/>
        <v>esk</v>
      </c>
    </row>
    <row r="267" spans="1:14" x14ac:dyDescent="0.3">
      <c r="A267" s="1" t="s">
        <v>29</v>
      </c>
      <c r="B267" s="1" t="s">
        <v>33</v>
      </c>
      <c r="C267" s="1" t="s">
        <v>13</v>
      </c>
      <c r="D267" s="1" t="s">
        <v>14</v>
      </c>
      <c r="E267" s="1">
        <v>17</v>
      </c>
      <c r="F267" s="1">
        <v>365</v>
      </c>
      <c r="G267" s="1">
        <v>2</v>
      </c>
      <c r="H267" s="2">
        <v>46096</v>
      </c>
      <c r="I267" s="2">
        <v>46104</v>
      </c>
      <c r="J267" s="1" t="s">
        <v>51</v>
      </c>
      <c r="K267" s="1">
        <v>1266</v>
      </c>
      <c r="L267" s="1" t="str">
        <f t="shared" si="3"/>
        <v>Pri1266</v>
      </c>
      <c r="M267" s="1" t="str">
        <f t="shared" si="4"/>
        <v>Notok</v>
      </c>
      <c r="N267" s="1" t="str">
        <f t="shared" si="5"/>
        <v>oteb</v>
      </c>
    </row>
    <row r="268" spans="1:14" x14ac:dyDescent="0.3">
      <c r="A268" s="1" t="s">
        <v>27</v>
      </c>
      <c r="B268" s="1" t="s">
        <v>38</v>
      </c>
      <c r="C268" s="1" t="s">
        <v>13</v>
      </c>
      <c r="D268" s="1" t="s">
        <v>50</v>
      </c>
      <c r="E268" s="1">
        <v>1</v>
      </c>
      <c r="F268" s="1">
        <v>50</v>
      </c>
      <c r="G268" s="1">
        <v>0</v>
      </c>
      <c r="H268" s="2">
        <v>46129</v>
      </c>
      <c r="I268" s="2">
        <v>46138</v>
      </c>
      <c r="J268" s="1" t="s">
        <v>20</v>
      </c>
      <c r="K268" s="1">
        <v>1267</v>
      </c>
      <c r="L268" s="1" t="str">
        <f t="shared" si="3"/>
        <v>Arj1267</v>
      </c>
      <c r="M268" s="1" t="str">
        <f t="shared" si="4"/>
        <v>Marer</v>
      </c>
      <c r="N268" s="1" t="str">
        <f t="shared" si="5"/>
        <v>arke</v>
      </c>
    </row>
    <row r="269" spans="1:14" x14ac:dyDescent="0.3">
      <c r="A269" s="1" t="s">
        <v>42</v>
      </c>
      <c r="B269" s="1" t="s">
        <v>38</v>
      </c>
      <c r="C269" s="1" t="s">
        <v>34</v>
      </c>
      <c r="D269" s="1" t="s">
        <v>45</v>
      </c>
      <c r="E269" s="1">
        <v>10</v>
      </c>
      <c r="F269" s="1">
        <v>46291</v>
      </c>
      <c r="G269" s="1">
        <v>12</v>
      </c>
      <c r="H269" s="2">
        <v>46199</v>
      </c>
      <c r="I269" s="2">
        <v>46202</v>
      </c>
      <c r="J269" s="1" t="s">
        <v>20</v>
      </c>
      <c r="K269" s="1">
        <v>1268</v>
      </c>
      <c r="L269" s="1" t="str">
        <f t="shared" si="3"/>
        <v>Nis1268</v>
      </c>
      <c r="M269" s="1" t="str">
        <f t="shared" si="4"/>
        <v>Monor</v>
      </c>
      <c r="N269" s="1" t="str">
        <f t="shared" si="5"/>
        <v>onit</v>
      </c>
    </row>
    <row r="270" spans="1:14" x14ac:dyDescent="0.3">
      <c r="A270" s="1" t="s">
        <v>52</v>
      </c>
      <c r="B270" s="1" t="s">
        <v>43</v>
      </c>
      <c r="C270" s="1" t="s">
        <v>18</v>
      </c>
      <c r="D270" s="1" t="s">
        <v>19</v>
      </c>
      <c r="E270" s="1">
        <v>14</v>
      </c>
      <c r="F270" s="1">
        <v>5704</v>
      </c>
      <c r="G270" s="1">
        <v>2</v>
      </c>
      <c r="H270" s="2">
        <v>46129</v>
      </c>
      <c r="I270" s="2">
        <v>46131</v>
      </c>
      <c r="J270" s="1" t="s">
        <v>15</v>
      </c>
      <c r="K270" s="1">
        <v>1269</v>
      </c>
      <c r="L270" s="1" t="str">
        <f t="shared" si="3"/>
        <v>Kom1269</v>
      </c>
      <c r="M270" s="1" t="str">
        <f t="shared" si="4"/>
        <v>Dessk</v>
      </c>
      <c r="N270" s="1" t="str">
        <f t="shared" si="5"/>
        <v>esk</v>
      </c>
    </row>
    <row r="271" spans="1:14" x14ac:dyDescent="0.3">
      <c r="A271" s="1" t="s">
        <v>49</v>
      </c>
      <c r="B271" s="1" t="s">
        <v>43</v>
      </c>
      <c r="C271" s="1" t="s">
        <v>34</v>
      </c>
      <c r="D271" s="1" t="s">
        <v>35</v>
      </c>
      <c r="E271" s="1">
        <v>16</v>
      </c>
      <c r="F271" s="1">
        <v>62941</v>
      </c>
      <c r="G271" s="1">
        <v>7</v>
      </c>
      <c r="H271" s="2">
        <v>46135</v>
      </c>
      <c r="I271" s="2">
        <v>46141</v>
      </c>
      <c r="J271" s="1" t="s">
        <v>51</v>
      </c>
      <c r="K271" s="1">
        <v>1270</v>
      </c>
      <c r="L271" s="1" t="str">
        <f t="shared" si="3"/>
        <v>Aja1270</v>
      </c>
      <c r="M271" s="1" t="str">
        <f t="shared" si="4"/>
        <v>Prier</v>
      </c>
      <c r="N271" s="1" t="str">
        <f t="shared" si="5"/>
        <v>rint</v>
      </c>
    </row>
    <row r="272" spans="1:14" x14ac:dyDescent="0.3">
      <c r="A272" s="1" t="s">
        <v>40</v>
      </c>
      <c r="B272" s="1" t="s">
        <v>33</v>
      </c>
      <c r="C272" s="1" t="s">
        <v>34</v>
      </c>
      <c r="D272" s="1" t="s">
        <v>60</v>
      </c>
      <c r="E272" s="1">
        <v>20</v>
      </c>
      <c r="F272" s="1">
        <v>36941</v>
      </c>
      <c r="G272" s="1">
        <v>15</v>
      </c>
      <c r="H272" s="2">
        <v>46083</v>
      </c>
      <c r="I272" s="2">
        <v>46085</v>
      </c>
      <c r="J272" s="1" t="s">
        <v>29</v>
      </c>
      <c r="K272" s="1">
        <v>1271</v>
      </c>
      <c r="L272" s="1" t="str">
        <f t="shared" si="3"/>
        <v>Dee1271</v>
      </c>
      <c r="M272" s="1" t="str">
        <f t="shared" si="4"/>
        <v>Lapop</v>
      </c>
      <c r="N272" s="1" t="str">
        <f t="shared" si="5"/>
        <v>apto</v>
      </c>
    </row>
    <row r="273" spans="1:14" x14ac:dyDescent="0.3">
      <c r="A273" s="1" t="s">
        <v>52</v>
      </c>
      <c r="B273" s="1" t="s">
        <v>38</v>
      </c>
      <c r="C273" s="1" t="s">
        <v>34</v>
      </c>
      <c r="D273" s="1" t="s">
        <v>41</v>
      </c>
      <c r="E273" s="1">
        <v>13</v>
      </c>
      <c r="F273" s="1">
        <v>42179</v>
      </c>
      <c r="G273" s="1">
        <v>0</v>
      </c>
      <c r="H273" s="2">
        <v>46078</v>
      </c>
      <c r="I273" s="2">
        <v>46084</v>
      </c>
      <c r="J273" s="1" t="s">
        <v>20</v>
      </c>
      <c r="K273" s="1">
        <v>1272</v>
      </c>
      <c r="L273" s="1" t="str">
        <f t="shared" si="3"/>
        <v>Kom1272</v>
      </c>
      <c r="M273" s="1" t="str">
        <f t="shared" si="4"/>
        <v>Heaet</v>
      </c>
      <c r="N273" s="1" t="str">
        <f t="shared" si="5"/>
        <v>eads</v>
      </c>
    </row>
    <row r="274" spans="1:14" x14ac:dyDescent="0.3">
      <c r="A274" s="1" t="s">
        <v>46</v>
      </c>
      <c r="B274" s="1" t="s">
        <v>25</v>
      </c>
      <c r="C274" s="1" t="s">
        <v>34</v>
      </c>
      <c r="D274" s="1" t="s">
        <v>39</v>
      </c>
      <c r="E274" s="1">
        <v>12</v>
      </c>
      <c r="F274" s="1">
        <v>20618</v>
      </c>
      <c r="G274" s="1">
        <v>12</v>
      </c>
      <c r="H274" s="2">
        <v>46172</v>
      </c>
      <c r="I274" s="2">
        <v>46174</v>
      </c>
      <c r="J274" s="1" t="s">
        <v>20</v>
      </c>
      <c r="K274" s="1">
        <v>1273</v>
      </c>
      <c r="L274" s="1" t="str">
        <f t="shared" si="3"/>
        <v>Kir1273</v>
      </c>
      <c r="M274" s="1" t="str">
        <f t="shared" si="4"/>
        <v>Keyrd</v>
      </c>
      <c r="N274" s="1" t="str">
        <f t="shared" si="5"/>
        <v>eybo</v>
      </c>
    </row>
    <row r="275" spans="1:14" x14ac:dyDescent="0.3">
      <c r="A275" s="1" t="s">
        <v>26</v>
      </c>
      <c r="B275" s="1" t="s">
        <v>25</v>
      </c>
      <c r="C275" s="1" t="s">
        <v>34</v>
      </c>
      <c r="D275" s="1" t="s">
        <v>41</v>
      </c>
      <c r="E275" s="1">
        <v>13</v>
      </c>
      <c r="F275" s="1">
        <v>36652</v>
      </c>
      <c r="G275" s="1">
        <v>12</v>
      </c>
      <c r="H275" s="2">
        <v>46179</v>
      </c>
      <c r="I275" s="2">
        <v>46186</v>
      </c>
      <c r="J275" s="1" t="s">
        <v>20</v>
      </c>
      <c r="K275" s="1">
        <v>1274</v>
      </c>
      <c r="L275" s="1" t="str">
        <f t="shared" si="3"/>
        <v>Vik1274</v>
      </c>
      <c r="M275" s="1" t="str">
        <f t="shared" si="4"/>
        <v>Heaet</v>
      </c>
      <c r="N275" s="1" t="str">
        <f t="shared" si="5"/>
        <v>eads</v>
      </c>
    </row>
    <row r="276" spans="1:14" x14ac:dyDescent="0.3">
      <c r="A276" s="1" t="s">
        <v>16</v>
      </c>
      <c r="B276" s="1" t="s">
        <v>31</v>
      </c>
      <c r="C276" s="1" t="s">
        <v>13</v>
      </c>
      <c r="D276" s="1" t="s">
        <v>50</v>
      </c>
      <c r="E276" s="1">
        <v>20</v>
      </c>
      <c r="F276" s="1">
        <v>451</v>
      </c>
      <c r="G276" s="1">
        <v>15</v>
      </c>
      <c r="H276" s="2">
        <v>46092</v>
      </c>
      <c r="I276" s="2">
        <v>46094</v>
      </c>
      <c r="J276" s="1" t="s">
        <v>20</v>
      </c>
      <c r="K276" s="1">
        <v>1275</v>
      </c>
      <c r="L276" s="1" t="str">
        <f t="shared" si="3"/>
        <v>Poo1275</v>
      </c>
      <c r="M276" s="1" t="str">
        <f t="shared" si="4"/>
        <v>Marer</v>
      </c>
      <c r="N276" s="1" t="str">
        <f t="shared" si="5"/>
        <v>arke</v>
      </c>
    </row>
    <row r="277" spans="1:14" x14ac:dyDescent="0.3">
      <c r="A277" s="1" t="s">
        <v>40</v>
      </c>
      <c r="B277" s="1" t="s">
        <v>12</v>
      </c>
      <c r="C277" s="1" t="s">
        <v>18</v>
      </c>
      <c r="D277" s="1" t="s">
        <v>19</v>
      </c>
      <c r="E277" s="1">
        <v>1</v>
      </c>
      <c r="F277" s="1">
        <v>13437</v>
      </c>
      <c r="G277" s="1">
        <v>15</v>
      </c>
      <c r="H277" s="2">
        <v>46097</v>
      </c>
      <c r="I277" s="2">
        <v>46099</v>
      </c>
      <c r="J277" s="1" t="s">
        <v>24</v>
      </c>
      <c r="K277" s="1">
        <v>1276</v>
      </c>
      <c r="L277" s="1" t="str">
        <f t="shared" si="3"/>
        <v>Dee1276</v>
      </c>
      <c r="M277" s="1" t="str">
        <f t="shared" si="4"/>
        <v>Dessk</v>
      </c>
      <c r="N277" s="1" t="str">
        <f t="shared" si="5"/>
        <v>esk</v>
      </c>
    </row>
    <row r="278" spans="1:14" x14ac:dyDescent="0.3">
      <c r="A278" s="1" t="s">
        <v>59</v>
      </c>
      <c r="B278" s="1" t="s">
        <v>17</v>
      </c>
      <c r="C278" s="1" t="s">
        <v>13</v>
      </c>
      <c r="D278" s="1" t="s">
        <v>36</v>
      </c>
      <c r="E278" s="1">
        <v>14</v>
      </c>
      <c r="F278" s="1">
        <v>276</v>
      </c>
      <c r="G278" s="1">
        <v>0</v>
      </c>
      <c r="H278" s="2">
        <v>46086</v>
      </c>
      <c r="I278" s="2">
        <v>46089</v>
      </c>
      <c r="J278" s="1" t="s">
        <v>15</v>
      </c>
      <c r="K278" s="1">
        <v>1277</v>
      </c>
      <c r="L278" s="1" t="str">
        <f t="shared" si="3"/>
        <v>Ani1277</v>
      </c>
      <c r="M278" s="1" t="str">
        <f t="shared" si="4"/>
        <v>Staer</v>
      </c>
      <c r="N278" s="1" t="str">
        <f t="shared" si="5"/>
        <v>tapl</v>
      </c>
    </row>
    <row r="279" spans="1:14" x14ac:dyDescent="0.3">
      <c r="A279" s="1" t="s">
        <v>47</v>
      </c>
      <c r="B279" s="1" t="s">
        <v>22</v>
      </c>
      <c r="C279" s="1" t="s">
        <v>34</v>
      </c>
      <c r="D279" s="1" t="s">
        <v>61</v>
      </c>
      <c r="E279" s="1">
        <v>4</v>
      </c>
      <c r="F279" s="1">
        <v>20639</v>
      </c>
      <c r="G279" s="1">
        <v>7</v>
      </c>
      <c r="H279" s="2">
        <v>46180</v>
      </c>
      <c r="I279" s="2">
        <v>46186</v>
      </c>
      <c r="J279" s="1" t="s">
        <v>20</v>
      </c>
      <c r="K279" s="1">
        <v>1278</v>
      </c>
      <c r="L279" s="1" t="str">
        <f t="shared" si="3"/>
        <v>Yas1278</v>
      </c>
      <c r="M279" s="1" t="str">
        <f t="shared" si="4"/>
        <v>Mouse</v>
      </c>
      <c r="N279" s="1" t="str">
        <f t="shared" si="5"/>
        <v>ouse</v>
      </c>
    </row>
    <row r="280" spans="1:14" x14ac:dyDescent="0.3">
      <c r="A280" s="1" t="s">
        <v>55</v>
      </c>
      <c r="B280" s="1" t="s">
        <v>33</v>
      </c>
      <c r="C280" s="1" t="s">
        <v>34</v>
      </c>
      <c r="D280" s="1" t="s">
        <v>45</v>
      </c>
      <c r="E280" s="1">
        <v>20</v>
      </c>
      <c r="F280" s="1">
        <v>49042</v>
      </c>
      <c r="G280" s="1">
        <v>2</v>
      </c>
      <c r="H280" s="2">
        <v>46124</v>
      </c>
      <c r="I280" s="2">
        <v>46126</v>
      </c>
      <c r="J280" s="1" t="s">
        <v>15</v>
      </c>
      <c r="K280" s="1">
        <v>1279</v>
      </c>
      <c r="L280" s="1" t="str">
        <f t="shared" si="3"/>
        <v>Sne1279</v>
      </c>
      <c r="M280" s="1" t="str">
        <f t="shared" si="4"/>
        <v>Monor</v>
      </c>
      <c r="N280" s="1" t="str">
        <f t="shared" si="5"/>
        <v>onit</v>
      </c>
    </row>
    <row r="281" spans="1:14" x14ac:dyDescent="0.3">
      <c r="A281" s="1" t="s">
        <v>59</v>
      </c>
      <c r="B281" s="1" t="s">
        <v>38</v>
      </c>
      <c r="C281" s="1" t="s">
        <v>13</v>
      </c>
      <c r="D281" s="1" t="s">
        <v>53</v>
      </c>
      <c r="E281" s="1">
        <v>9</v>
      </c>
      <c r="F281" s="1">
        <v>50</v>
      </c>
      <c r="G281" s="1">
        <v>7</v>
      </c>
      <c r="H281" s="2">
        <v>46085</v>
      </c>
      <c r="I281" s="2">
        <v>46095</v>
      </c>
      <c r="J281" s="1" t="s">
        <v>51</v>
      </c>
      <c r="K281" s="1">
        <v>1280</v>
      </c>
      <c r="L281" s="1" t="str">
        <f t="shared" si="3"/>
        <v>Ani1280</v>
      </c>
      <c r="M281" s="1" t="str">
        <f t="shared" si="4"/>
        <v>Diary</v>
      </c>
      <c r="N281" s="1" t="str">
        <f t="shared" si="5"/>
        <v>iary</v>
      </c>
    </row>
    <row r="282" spans="1:14" x14ac:dyDescent="0.3">
      <c r="A282" s="1" t="s">
        <v>55</v>
      </c>
      <c r="B282" s="1" t="s">
        <v>17</v>
      </c>
      <c r="C282" s="1" t="s">
        <v>13</v>
      </c>
      <c r="D282" s="1" t="s">
        <v>50</v>
      </c>
      <c r="E282" s="1">
        <v>6</v>
      </c>
      <c r="F282" s="1">
        <v>253</v>
      </c>
      <c r="G282" s="1">
        <v>0</v>
      </c>
      <c r="H282" s="2">
        <v>46055</v>
      </c>
      <c r="I282" s="2">
        <v>46063</v>
      </c>
      <c r="J282" s="1" t="s">
        <v>24</v>
      </c>
      <c r="K282" s="1">
        <v>1281</v>
      </c>
      <c r="L282" s="1" t="str">
        <f t="shared" si="3"/>
        <v>Sne1281</v>
      </c>
      <c r="M282" s="1" t="str">
        <f t="shared" si="4"/>
        <v>Marer</v>
      </c>
      <c r="N282" s="1" t="str">
        <f t="shared" si="5"/>
        <v>arke</v>
      </c>
    </row>
    <row r="283" spans="1:14" x14ac:dyDescent="0.3">
      <c r="A283" s="1" t="s">
        <v>57</v>
      </c>
      <c r="B283" s="1" t="s">
        <v>43</v>
      </c>
      <c r="C283" s="1" t="s">
        <v>18</v>
      </c>
      <c r="D283" s="1" t="s">
        <v>44</v>
      </c>
      <c r="E283" s="1">
        <v>12</v>
      </c>
      <c r="F283" s="1">
        <v>3178</v>
      </c>
      <c r="G283" s="1">
        <v>10</v>
      </c>
      <c r="H283" s="2">
        <v>46176</v>
      </c>
      <c r="I283" s="2">
        <v>46177</v>
      </c>
      <c r="J283" s="1" t="s">
        <v>29</v>
      </c>
      <c r="K283" s="1">
        <v>1282</v>
      </c>
      <c r="L283" s="1" t="str">
        <f t="shared" si="3"/>
        <v>Sar1282</v>
      </c>
      <c r="M283" s="1" t="str">
        <f t="shared" si="4"/>
        <v>Boolf</v>
      </c>
      <c r="N283" s="1" t="str">
        <f t="shared" si="5"/>
        <v>ooks</v>
      </c>
    </row>
    <row r="284" spans="1:14" x14ac:dyDescent="0.3">
      <c r="A284" s="1" t="s">
        <v>40</v>
      </c>
      <c r="B284" s="1" t="s">
        <v>12</v>
      </c>
      <c r="C284" s="1" t="s">
        <v>18</v>
      </c>
      <c r="D284" s="1" t="s">
        <v>23</v>
      </c>
      <c r="E284" s="1">
        <v>6</v>
      </c>
      <c r="F284" s="1">
        <v>1167</v>
      </c>
      <c r="G284" s="1">
        <v>2</v>
      </c>
      <c r="H284" s="2">
        <v>46100</v>
      </c>
      <c r="I284" s="2">
        <v>46106</v>
      </c>
      <c r="J284" s="1" t="s">
        <v>15</v>
      </c>
      <c r="K284" s="1">
        <v>1283</v>
      </c>
      <c r="L284" s="1" t="str">
        <f t="shared" si="3"/>
        <v>Dee1283</v>
      </c>
      <c r="M284" s="1" t="str">
        <f t="shared" si="4"/>
        <v>Table</v>
      </c>
      <c r="N284" s="1" t="str">
        <f t="shared" si="5"/>
        <v>able</v>
      </c>
    </row>
    <row r="285" spans="1:14" x14ac:dyDescent="0.3">
      <c r="A285" s="1" t="s">
        <v>40</v>
      </c>
      <c r="B285" s="1" t="s">
        <v>25</v>
      </c>
      <c r="C285" s="1" t="s">
        <v>13</v>
      </c>
      <c r="D285" s="1" t="s">
        <v>37</v>
      </c>
      <c r="E285" s="1">
        <v>16</v>
      </c>
      <c r="F285" s="1">
        <v>419</v>
      </c>
      <c r="G285" s="1">
        <v>2</v>
      </c>
      <c r="H285" s="2">
        <v>46082</v>
      </c>
      <c r="I285" s="2">
        <v>46090</v>
      </c>
      <c r="J285" s="1" t="s">
        <v>15</v>
      </c>
      <c r="K285" s="1">
        <v>1284</v>
      </c>
      <c r="L285" s="1" t="str">
        <f t="shared" si="3"/>
        <v>Dee1284</v>
      </c>
      <c r="M285" s="1" t="str">
        <f t="shared" si="4"/>
        <v>Penck</v>
      </c>
      <c r="N285" s="1" t="str">
        <f t="shared" si="5"/>
        <v>en P</v>
      </c>
    </row>
    <row r="286" spans="1:14" x14ac:dyDescent="0.3">
      <c r="A286" s="1" t="s">
        <v>32</v>
      </c>
      <c r="B286" s="1" t="s">
        <v>38</v>
      </c>
      <c r="C286" s="1" t="s">
        <v>13</v>
      </c>
      <c r="D286" s="1" t="s">
        <v>36</v>
      </c>
      <c r="E286" s="1">
        <v>7</v>
      </c>
      <c r="F286" s="1">
        <v>439</v>
      </c>
      <c r="G286" s="1">
        <v>15</v>
      </c>
      <c r="H286" s="2">
        <v>46055</v>
      </c>
      <c r="I286" s="2">
        <v>46058</v>
      </c>
      <c r="J286" s="1" t="s">
        <v>20</v>
      </c>
      <c r="K286" s="1">
        <v>1285</v>
      </c>
      <c r="L286" s="1" t="str">
        <f t="shared" si="3"/>
        <v>Ash1285</v>
      </c>
      <c r="M286" s="1" t="str">
        <f t="shared" si="4"/>
        <v>Staer</v>
      </c>
      <c r="N286" s="1" t="str">
        <f t="shared" si="5"/>
        <v>tapl</v>
      </c>
    </row>
    <row r="287" spans="1:14" x14ac:dyDescent="0.3">
      <c r="A287" s="1" t="s">
        <v>46</v>
      </c>
      <c r="B287" s="1" t="s">
        <v>17</v>
      </c>
      <c r="C287" s="1" t="s">
        <v>18</v>
      </c>
      <c r="D287" s="1" t="s">
        <v>56</v>
      </c>
      <c r="E287" s="1">
        <v>9</v>
      </c>
      <c r="F287" s="1">
        <v>1340</v>
      </c>
      <c r="G287" s="1">
        <v>2</v>
      </c>
      <c r="H287" s="2">
        <v>46168</v>
      </c>
      <c r="I287" s="2">
        <v>46173</v>
      </c>
      <c r="J287" s="1" t="s">
        <v>15</v>
      </c>
      <c r="K287" s="1">
        <v>1286</v>
      </c>
      <c r="L287" s="1" t="str">
        <f t="shared" si="3"/>
        <v>Kir1286</v>
      </c>
      <c r="M287" s="1" t="str">
        <f t="shared" si="4"/>
        <v>Cabet</v>
      </c>
      <c r="N287" s="1" t="str">
        <f t="shared" si="5"/>
        <v>abin</v>
      </c>
    </row>
    <row r="288" spans="1:14" x14ac:dyDescent="0.3">
      <c r="A288" s="1" t="s">
        <v>59</v>
      </c>
      <c r="B288" s="1" t="s">
        <v>31</v>
      </c>
      <c r="C288" s="1" t="s">
        <v>13</v>
      </c>
      <c r="D288" s="1" t="s">
        <v>14</v>
      </c>
      <c r="E288" s="1">
        <v>15</v>
      </c>
      <c r="F288" s="1">
        <v>251</v>
      </c>
      <c r="G288" s="1">
        <v>2</v>
      </c>
      <c r="H288" s="2">
        <v>46116</v>
      </c>
      <c r="I288" s="2">
        <v>46122</v>
      </c>
      <c r="J288" s="1" t="s">
        <v>51</v>
      </c>
      <c r="K288" s="1">
        <v>1287</v>
      </c>
      <c r="L288" s="1" t="str">
        <f t="shared" si="3"/>
        <v>Ani1287</v>
      </c>
      <c r="M288" s="1" t="str">
        <f t="shared" si="4"/>
        <v>Notok</v>
      </c>
      <c r="N288" s="1" t="str">
        <f t="shared" si="5"/>
        <v>oteb</v>
      </c>
    </row>
    <row r="289" spans="1:14" x14ac:dyDescent="0.3">
      <c r="A289" s="1" t="s">
        <v>54</v>
      </c>
      <c r="B289" s="1" t="s">
        <v>22</v>
      </c>
      <c r="C289" s="1" t="s">
        <v>34</v>
      </c>
      <c r="D289" s="1" t="s">
        <v>60</v>
      </c>
      <c r="E289" s="1">
        <v>14</v>
      </c>
      <c r="F289" s="1">
        <v>35601</v>
      </c>
      <c r="G289" s="1">
        <v>10</v>
      </c>
      <c r="H289" s="2">
        <v>46179</v>
      </c>
      <c r="I289" s="2">
        <v>46187</v>
      </c>
      <c r="J289" s="1" t="s">
        <v>29</v>
      </c>
      <c r="K289" s="1">
        <v>1288</v>
      </c>
      <c r="L289" s="1" t="str">
        <f t="shared" si="3"/>
        <v>Man1288</v>
      </c>
      <c r="M289" s="1" t="str">
        <f t="shared" si="4"/>
        <v>Lapop</v>
      </c>
      <c r="N289" s="1" t="str">
        <f t="shared" si="5"/>
        <v>apto</v>
      </c>
    </row>
    <row r="290" spans="1:14" x14ac:dyDescent="0.3">
      <c r="A290" s="1" t="s">
        <v>26</v>
      </c>
      <c r="B290" s="1" t="s">
        <v>22</v>
      </c>
      <c r="C290" s="1" t="s">
        <v>34</v>
      </c>
      <c r="D290" s="1" t="s">
        <v>45</v>
      </c>
      <c r="E290" s="1">
        <v>19</v>
      </c>
      <c r="F290" s="1">
        <v>25336</v>
      </c>
      <c r="G290" s="1">
        <v>2</v>
      </c>
      <c r="H290" s="2">
        <v>46122</v>
      </c>
      <c r="I290" s="2">
        <v>46130</v>
      </c>
      <c r="J290" s="1" t="s">
        <v>24</v>
      </c>
      <c r="K290" s="1">
        <v>1289</v>
      </c>
      <c r="L290" s="1" t="str">
        <f t="shared" si="3"/>
        <v>Vik1289</v>
      </c>
      <c r="M290" s="1" t="str">
        <f t="shared" si="4"/>
        <v>Monor</v>
      </c>
      <c r="N290" s="1" t="str">
        <f t="shared" si="5"/>
        <v>onit</v>
      </c>
    </row>
    <row r="291" spans="1:14" x14ac:dyDescent="0.3">
      <c r="A291" s="1" t="s">
        <v>26</v>
      </c>
      <c r="B291" s="1" t="s">
        <v>22</v>
      </c>
      <c r="C291" s="1" t="s">
        <v>34</v>
      </c>
      <c r="D291" s="1" t="s">
        <v>35</v>
      </c>
      <c r="E291" s="1">
        <v>3</v>
      </c>
      <c r="F291" s="1">
        <v>69793</v>
      </c>
      <c r="G291" s="1">
        <v>15</v>
      </c>
      <c r="H291" s="2">
        <v>46110</v>
      </c>
      <c r="I291" s="2">
        <v>46111</v>
      </c>
      <c r="J291" s="1" t="s">
        <v>29</v>
      </c>
      <c r="K291" s="1">
        <v>1290</v>
      </c>
      <c r="L291" s="1" t="str">
        <f t="shared" si="3"/>
        <v>Vik1290</v>
      </c>
      <c r="M291" s="1" t="str">
        <f t="shared" si="4"/>
        <v>Prier</v>
      </c>
      <c r="N291" s="1" t="str">
        <f t="shared" si="5"/>
        <v>rint</v>
      </c>
    </row>
    <row r="292" spans="1:14" x14ac:dyDescent="0.3">
      <c r="A292" s="1" t="s">
        <v>21</v>
      </c>
      <c r="B292" s="1" t="s">
        <v>17</v>
      </c>
      <c r="C292" s="1" t="s">
        <v>13</v>
      </c>
      <c r="D292" s="1" t="s">
        <v>36</v>
      </c>
      <c r="E292" s="1">
        <v>17</v>
      </c>
      <c r="F292" s="1">
        <v>415</v>
      </c>
      <c r="G292" s="1">
        <v>5</v>
      </c>
      <c r="H292" s="2">
        <v>46137</v>
      </c>
      <c r="I292" s="2">
        <v>46141</v>
      </c>
      <c r="J292" s="1" t="s">
        <v>20</v>
      </c>
      <c r="K292" s="1">
        <v>1291</v>
      </c>
      <c r="L292" s="1" t="str">
        <f t="shared" si="3"/>
        <v>Mee1291</v>
      </c>
      <c r="M292" s="1" t="str">
        <f t="shared" si="4"/>
        <v>Staer</v>
      </c>
      <c r="N292" s="1" t="str">
        <f t="shared" si="5"/>
        <v>tapl</v>
      </c>
    </row>
    <row r="293" spans="1:14" x14ac:dyDescent="0.3">
      <c r="A293" s="1" t="s">
        <v>54</v>
      </c>
      <c r="B293" s="1" t="s">
        <v>33</v>
      </c>
      <c r="C293" s="1" t="s">
        <v>34</v>
      </c>
      <c r="D293" s="1" t="s">
        <v>61</v>
      </c>
      <c r="E293" s="1">
        <v>11</v>
      </c>
      <c r="F293" s="1">
        <v>25158</v>
      </c>
      <c r="G293" s="1">
        <v>5</v>
      </c>
      <c r="H293" s="2">
        <v>46186</v>
      </c>
      <c r="I293" s="2">
        <v>46193</v>
      </c>
      <c r="J293" s="1" t="s">
        <v>20</v>
      </c>
      <c r="K293" s="1">
        <v>1292</v>
      </c>
      <c r="L293" s="1" t="str">
        <f t="shared" si="3"/>
        <v>Man1292</v>
      </c>
      <c r="M293" s="1" t="str">
        <f t="shared" si="4"/>
        <v>Mouse</v>
      </c>
      <c r="N293" s="1" t="str">
        <f t="shared" si="5"/>
        <v>ouse</v>
      </c>
    </row>
    <row r="294" spans="1:14" x14ac:dyDescent="0.3">
      <c r="A294" s="1" t="s">
        <v>49</v>
      </c>
      <c r="B294" s="1" t="s">
        <v>43</v>
      </c>
      <c r="C294" s="1" t="s">
        <v>18</v>
      </c>
      <c r="D294" s="1" t="s">
        <v>23</v>
      </c>
      <c r="E294" s="1">
        <v>7</v>
      </c>
      <c r="F294" s="1">
        <v>11481</v>
      </c>
      <c r="G294" s="1">
        <v>15</v>
      </c>
      <c r="H294" s="2">
        <v>46045</v>
      </c>
      <c r="I294" s="2">
        <v>46050</v>
      </c>
      <c r="J294" s="1" t="s">
        <v>20</v>
      </c>
      <c r="K294" s="1">
        <v>1293</v>
      </c>
      <c r="L294" s="1" t="str">
        <f t="shared" si="3"/>
        <v>Aja1293</v>
      </c>
      <c r="M294" s="1" t="str">
        <f t="shared" si="4"/>
        <v>Table</v>
      </c>
      <c r="N294" s="1" t="str">
        <f t="shared" si="5"/>
        <v>able</v>
      </c>
    </row>
    <row r="295" spans="1:14" x14ac:dyDescent="0.3">
      <c r="A295" s="1" t="s">
        <v>21</v>
      </c>
      <c r="B295" s="1" t="s">
        <v>12</v>
      </c>
      <c r="C295" s="1" t="s">
        <v>18</v>
      </c>
      <c r="D295" s="1" t="s">
        <v>19</v>
      </c>
      <c r="E295" s="1">
        <v>8</v>
      </c>
      <c r="F295" s="1">
        <v>14448</v>
      </c>
      <c r="G295" s="1">
        <v>10</v>
      </c>
      <c r="H295" s="2">
        <v>46181</v>
      </c>
      <c r="I295" s="2">
        <v>46189</v>
      </c>
      <c r="J295" s="1" t="s">
        <v>15</v>
      </c>
      <c r="K295" s="1">
        <v>1294</v>
      </c>
      <c r="L295" s="1" t="str">
        <f t="shared" si="3"/>
        <v>Mee1294</v>
      </c>
      <c r="M295" s="1" t="str">
        <f t="shared" si="4"/>
        <v>Dessk</v>
      </c>
      <c r="N295" s="1" t="str">
        <f t="shared" si="5"/>
        <v>esk</v>
      </c>
    </row>
    <row r="296" spans="1:14" x14ac:dyDescent="0.3">
      <c r="A296" s="1" t="s">
        <v>52</v>
      </c>
      <c r="B296" s="1" t="s">
        <v>38</v>
      </c>
      <c r="C296" s="1" t="s">
        <v>18</v>
      </c>
      <c r="D296" s="1" t="s">
        <v>28</v>
      </c>
      <c r="E296" s="1">
        <v>16</v>
      </c>
      <c r="F296" s="1">
        <v>11935</v>
      </c>
      <c r="G296" s="1">
        <v>12</v>
      </c>
      <c r="H296" s="2">
        <v>46157</v>
      </c>
      <c r="I296" s="2">
        <v>46162</v>
      </c>
      <c r="J296" s="1" t="s">
        <v>15</v>
      </c>
      <c r="K296" s="1">
        <v>1295</v>
      </c>
      <c r="L296" s="1" t="str">
        <f t="shared" si="3"/>
        <v>Kom1295</v>
      </c>
      <c r="M296" s="1" t="str">
        <f t="shared" si="4"/>
        <v>Chair</v>
      </c>
      <c r="N296" s="1" t="str">
        <f t="shared" si="5"/>
        <v>hair</v>
      </c>
    </row>
    <row r="297" spans="1:14" x14ac:dyDescent="0.3">
      <c r="A297" s="1" t="s">
        <v>26</v>
      </c>
      <c r="B297" s="1" t="s">
        <v>38</v>
      </c>
      <c r="C297" s="1" t="s">
        <v>13</v>
      </c>
      <c r="D297" s="1" t="s">
        <v>50</v>
      </c>
      <c r="E297" s="1">
        <v>6</v>
      </c>
      <c r="F297" s="1">
        <v>201</v>
      </c>
      <c r="G297" s="1">
        <v>0</v>
      </c>
      <c r="H297" s="2">
        <v>46063</v>
      </c>
      <c r="I297" s="2">
        <v>46072</v>
      </c>
      <c r="J297" s="1" t="s">
        <v>51</v>
      </c>
      <c r="K297" s="1">
        <v>1296</v>
      </c>
      <c r="L297" s="1" t="str">
        <f t="shared" si="3"/>
        <v>Vik1296</v>
      </c>
      <c r="M297" s="1" t="str">
        <f t="shared" si="4"/>
        <v>Marer</v>
      </c>
      <c r="N297" s="1" t="str">
        <f t="shared" si="5"/>
        <v>arke</v>
      </c>
    </row>
    <row r="298" spans="1:14" x14ac:dyDescent="0.3">
      <c r="A298" s="1" t="s">
        <v>54</v>
      </c>
      <c r="B298" s="1" t="s">
        <v>25</v>
      </c>
      <c r="C298" s="1" t="s">
        <v>34</v>
      </c>
      <c r="D298" s="1" t="s">
        <v>35</v>
      </c>
      <c r="E298" s="1">
        <v>14</v>
      </c>
      <c r="F298" s="1">
        <v>24524</v>
      </c>
      <c r="G298" s="1">
        <v>10</v>
      </c>
      <c r="H298" s="2">
        <v>46178</v>
      </c>
      <c r="I298" s="2">
        <v>46187</v>
      </c>
      <c r="J298" s="1" t="s">
        <v>29</v>
      </c>
      <c r="K298" s="1">
        <v>1297</v>
      </c>
      <c r="L298" s="1" t="str">
        <f t="shared" si="3"/>
        <v>Man1297</v>
      </c>
      <c r="M298" s="1" t="str">
        <f t="shared" si="4"/>
        <v>Prier</v>
      </c>
      <c r="N298" s="1" t="str">
        <f t="shared" si="5"/>
        <v>rint</v>
      </c>
    </row>
    <row r="299" spans="1:14" x14ac:dyDescent="0.3">
      <c r="A299" s="1" t="s">
        <v>21</v>
      </c>
      <c r="B299" s="1" t="s">
        <v>12</v>
      </c>
      <c r="C299" s="1" t="s">
        <v>34</v>
      </c>
      <c r="D299" s="1" t="s">
        <v>61</v>
      </c>
      <c r="E299" s="1">
        <v>19</v>
      </c>
      <c r="F299" s="1">
        <v>20745</v>
      </c>
      <c r="G299" s="1">
        <v>2</v>
      </c>
      <c r="H299" s="2">
        <v>46083</v>
      </c>
      <c r="I299" s="2">
        <v>46093</v>
      </c>
      <c r="J299" s="1" t="s">
        <v>24</v>
      </c>
      <c r="K299" s="1">
        <v>1298</v>
      </c>
      <c r="L299" s="1" t="str">
        <f t="shared" si="3"/>
        <v>Mee1298</v>
      </c>
      <c r="M299" s="1" t="str">
        <f t="shared" si="4"/>
        <v>Mouse</v>
      </c>
      <c r="N299" s="1" t="str">
        <f t="shared" si="5"/>
        <v>ouse</v>
      </c>
    </row>
    <row r="300" spans="1:14" x14ac:dyDescent="0.3">
      <c r="A300" s="1" t="s">
        <v>26</v>
      </c>
      <c r="B300" s="1" t="s">
        <v>17</v>
      </c>
      <c r="C300" s="1" t="s">
        <v>18</v>
      </c>
      <c r="D300" s="1" t="s">
        <v>56</v>
      </c>
      <c r="E300" s="1">
        <v>8</v>
      </c>
      <c r="F300" s="1">
        <v>8783</v>
      </c>
      <c r="G300" s="1">
        <v>2</v>
      </c>
      <c r="H300" s="2">
        <v>46123</v>
      </c>
      <c r="I300" s="2">
        <v>46132</v>
      </c>
      <c r="J300" s="1" t="s">
        <v>15</v>
      </c>
      <c r="K300" s="1">
        <v>1299</v>
      </c>
      <c r="L300" s="1" t="str">
        <f t="shared" si="3"/>
        <v>Vik1299</v>
      </c>
      <c r="M300" s="1" t="str">
        <f t="shared" si="4"/>
        <v>Cabet</v>
      </c>
      <c r="N300" s="1" t="str">
        <f t="shared" si="5"/>
        <v>abin</v>
      </c>
    </row>
    <row r="301" spans="1:14" x14ac:dyDescent="0.3">
      <c r="A301" s="1" t="s">
        <v>47</v>
      </c>
      <c r="B301" s="1" t="s">
        <v>33</v>
      </c>
      <c r="C301" s="1" t="s">
        <v>34</v>
      </c>
      <c r="D301" s="1" t="s">
        <v>45</v>
      </c>
      <c r="E301" s="1">
        <v>20</v>
      </c>
      <c r="F301" s="1">
        <v>1392</v>
      </c>
      <c r="G301" s="1">
        <v>2</v>
      </c>
      <c r="H301" s="2">
        <v>46110</v>
      </c>
      <c r="I301" s="2">
        <v>46117</v>
      </c>
      <c r="J301" s="1" t="s">
        <v>24</v>
      </c>
      <c r="K301" s="1">
        <v>1300</v>
      </c>
      <c r="L301" s="1" t="str">
        <f t="shared" si="3"/>
        <v>Yas1300</v>
      </c>
      <c r="M301" s="1" t="str">
        <f t="shared" si="4"/>
        <v>Monor</v>
      </c>
      <c r="N301" s="1" t="str">
        <f t="shared" si="5"/>
        <v>onit</v>
      </c>
    </row>
    <row r="302" spans="1:14" x14ac:dyDescent="0.3">
      <c r="A302" s="1" t="s">
        <v>54</v>
      </c>
      <c r="B302" s="1" t="s">
        <v>17</v>
      </c>
      <c r="C302" s="1" t="s">
        <v>18</v>
      </c>
      <c r="D302" s="1" t="s">
        <v>28</v>
      </c>
      <c r="E302" s="1">
        <v>3</v>
      </c>
      <c r="F302" s="1">
        <v>7020</v>
      </c>
      <c r="G302" s="1">
        <v>10</v>
      </c>
      <c r="H302" s="2">
        <v>46028</v>
      </c>
      <c r="I302" s="2">
        <v>46038</v>
      </c>
      <c r="J302" s="1" t="s">
        <v>24</v>
      </c>
      <c r="K302" s="1">
        <v>1301</v>
      </c>
      <c r="L302" s="1" t="str">
        <f t="shared" si="3"/>
        <v>Man1301</v>
      </c>
      <c r="M302" s="1" t="str">
        <f t="shared" si="4"/>
        <v>Chair</v>
      </c>
      <c r="N302" s="1" t="str">
        <f t="shared" si="5"/>
        <v>hair</v>
      </c>
    </row>
    <row r="303" spans="1:14" x14ac:dyDescent="0.3">
      <c r="A303" s="1" t="s">
        <v>57</v>
      </c>
      <c r="B303" s="1" t="s">
        <v>12</v>
      </c>
      <c r="C303" s="1" t="s">
        <v>34</v>
      </c>
      <c r="D303" s="1" t="s">
        <v>35</v>
      </c>
      <c r="E303" s="1">
        <v>9</v>
      </c>
      <c r="F303" s="1">
        <v>8500</v>
      </c>
      <c r="G303" s="1">
        <v>15</v>
      </c>
      <c r="H303" s="2">
        <v>46163</v>
      </c>
      <c r="I303" s="2">
        <v>46172</v>
      </c>
      <c r="J303" s="1" t="s">
        <v>24</v>
      </c>
      <c r="K303" s="1">
        <v>1302</v>
      </c>
      <c r="L303" s="1" t="str">
        <f t="shared" si="3"/>
        <v>Sar1302</v>
      </c>
      <c r="M303" s="1" t="str">
        <f t="shared" si="4"/>
        <v>Prier</v>
      </c>
      <c r="N303" s="1" t="str">
        <f t="shared" si="5"/>
        <v>rint</v>
      </c>
    </row>
    <row r="304" spans="1:14" x14ac:dyDescent="0.3">
      <c r="A304" s="1" t="s">
        <v>57</v>
      </c>
      <c r="B304" s="1" t="s">
        <v>38</v>
      </c>
      <c r="C304" s="1" t="s">
        <v>34</v>
      </c>
      <c r="D304" s="1" t="s">
        <v>35</v>
      </c>
      <c r="E304" s="1">
        <v>13</v>
      </c>
      <c r="F304" s="1">
        <v>5170</v>
      </c>
      <c r="G304" s="1">
        <v>2</v>
      </c>
      <c r="H304" s="2">
        <v>46124</v>
      </c>
      <c r="I304" s="2">
        <v>46127</v>
      </c>
      <c r="J304" s="1" t="s">
        <v>15</v>
      </c>
      <c r="K304" s="1">
        <v>1303</v>
      </c>
      <c r="L304" s="1" t="str">
        <f t="shared" si="3"/>
        <v>Sar1303</v>
      </c>
      <c r="M304" s="1" t="str">
        <f t="shared" si="4"/>
        <v>Prier</v>
      </c>
      <c r="N304" s="1" t="str">
        <f t="shared" si="5"/>
        <v>rint</v>
      </c>
    </row>
    <row r="305" spans="1:14" x14ac:dyDescent="0.3">
      <c r="A305" s="1" t="s">
        <v>59</v>
      </c>
      <c r="B305" s="1" t="s">
        <v>25</v>
      </c>
      <c r="C305" s="1" t="s">
        <v>13</v>
      </c>
      <c r="D305" s="1" t="s">
        <v>36</v>
      </c>
      <c r="E305" s="1">
        <v>20</v>
      </c>
      <c r="F305" s="1">
        <v>368</v>
      </c>
      <c r="G305" s="1">
        <v>7</v>
      </c>
      <c r="H305" s="2">
        <v>46042</v>
      </c>
      <c r="I305" s="2">
        <v>46051</v>
      </c>
      <c r="J305" s="1" t="s">
        <v>51</v>
      </c>
      <c r="K305" s="1">
        <v>1304</v>
      </c>
      <c r="L305" s="1" t="str">
        <f t="shared" si="3"/>
        <v>Ani1304</v>
      </c>
      <c r="M305" s="1" t="str">
        <f t="shared" si="4"/>
        <v>Staer</v>
      </c>
      <c r="N305" s="1" t="str">
        <f t="shared" si="5"/>
        <v>tapl</v>
      </c>
    </row>
    <row r="306" spans="1:14" x14ac:dyDescent="0.3">
      <c r="A306" s="1" t="s">
        <v>58</v>
      </c>
      <c r="B306" s="1" t="s">
        <v>31</v>
      </c>
      <c r="C306" s="1" t="s">
        <v>34</v>
      </c>
      <c r="D306" s="1" t="s">
        <v>60</v>
      </c>
      <c r="E306" s="1">
        <v>20</v>
      </c>
      <c r="F306" s="1">
        <v>31406</v>
      </c>
      <c r="G306" s="1">
        <v>15</v>
      </c>
      <c r="H306" s="2">
        <v>46146</v>
      </c>
      <c r="I306" s="2">
        <v>46154</v>
      </c>
      <c r="J306" s="1" t="s">
        <v>51</v>
      </c>
      <c r="K306" s="1">
        <v>1305</v>
      </c>
      <c r="L306" s="1" t="str">
        <f t="shared" si="3"/>
        <v>Roh1305</v>
      </c>
      <c r="M306" s="1" t="str">
        <f t="shared" si="4"/>
        <v>Lapop</v>
      </c>
      <c r="N306" s="1" t="str">
        <f t="shared" si="5"/>
        <v>apto</v>
      </c>
    </row>
    <row r="307" spans="1:14" x14ac:dyDescent="0.3">
      <c r="A307" s="1" t="s">
        <v>54</v>
      </c>
      <c r="B307" s="1" t="s">
        <v>43</v>
      </c>
      <c r="C307" s="1" t="s">
        <v>13</v>
      </c>
      <c r="D307" s="1" t="s">
        <v>36</v>
      </c>
      <c r="E307" s="1">
        <v>1</v>
      </c>
      <c r="F307" s="1">
        <v>332</v>
      </c>
      <c r="G307" s="1">
        <v>0</v>
      </c>
      <c r="H307" s="2">
        <v>46191</v>
      </c>
      <c r="I307" s="2">
        <v>46194</v>
      </c>
      <c r="J307" s="1" t="s">
        <v>20</v>
      </c>
      <c r="K307" s="1">
        <v>1306</v>
      </c>
      <c r="L307" s="1" t="str">
        <f t="shared" si="3"/>
        <v>Man1306</v>
      </c>
      <c r="M307" s="1" t="str">
        <f t="shared" si="4"/>
        <v>Staer</v>
      </c>
      <c r="N307" s="1" t="str">
        <f t="shared" si="5"/>
        <v>tapl</v>
      </c>
    </row>
    <row r="308" spans="1:14" x14ac:dyDescent="0.3">
      <c r="A308" s="1" t="s">
        <v>57</v>
      </c>
      <c r="B308" s="1" t="s">
        <v>43</v>
      </c>
      <c r="C308" s="1" t="s">
        <v>34</v>
      </c>
      <c r="D308" s="1" t="s">
        <v>35</v>
      </c>
      <c r="E308" s="1">
        <v>18</v>
      </c>
      <c r="F308" s="1">
        <v>7541</v>
      </c>
      <c r="G308" s="1">
        <v>12</v>
      </c>
      <c r="H308" s="2">
        <v>46048</v>
      </c>
      <c r="I308" s="2">
        <v>46051</v>
      </c>
      <c r="J308" s="1" t="s">
        <v>51</v>
      </c>
      <c r="K308" s="1">
        <v>1307</v>
      </c>
      <c r="L308" s="1" t="str">
        <f t="shared" si="3"/>
        <v>Sar1307</v>
      </c>
      <c r="M308" s="1" t="str">
        <f t="shared" si="4"/>
        <v>Prier</v>
      </c>
      <c r="N308" s="1" t="str">
        <f t="shared" si="5"/>
        <v>rint</v>
      </c>
    </row>
    <row r="309" spans="1:14" x14ac:dyDescent="0.3">
      <c r="A309" s="1" t="s">
        <v>30</v>
      </c>
      <c r="B309" s="1" t="s">
        <v>22</v>
      </c>
      <c r="C309" s="1" t="s">
        <v>34</v>
      </c>
      <c r="D309" s="1" t="s">
        <v>41</v>
      </c>
      <c r="E309" s="1">
        <v>12</v>
      </c>
      <c r="F309" s="1">
        <v>66075</v>
      </c>
      <c r="G309" s="1">
        <v>5</v>
      </c>
      <c r="H309" s="2">
        <v>46129</v>
      </c>
      <c r="I309" s="2">
        <v>46135</v>
      </c>
      <c r="J309" s="1" t="s">
        <v>20</v>
      </c>
      <c r="K309" s="1">
        <v>1308</v>
      </c>
      <c r="L309" s="1" t="str">
        <f t="shared" si="3"/>
        <v>Neh1308</v>
      </c>
      <c r="M309" s="1" t="str">
        <f t="shared" si="4"/>
        <v>Heaet</v>
      </c>
      <c r="N309" s="1" t="str">
        <f t="shared" si="5"/>
        <v>eads</v>
      </c>
    </row>
    <row r="310" spans="1:14" x14ac:dyDescent="0.3">
      <c r="A310" s="1" t="s">
        <v>29</v>
      </c>
      <c r="B310" s="1" t="s">
        <v>31</v>
      </c>
      <c r="C310" s="1" t="s">
        <v>13</v>
      </c>
      <c r="D310" s="1" t="s">
        <v>50</v>
      </c>
      <c r="E310" s="1">
        <v>2</v>
      </c>
      <c r="F310" s="1">
        <v>35</v>
      </c>
      <c r="G310" s="1">
        <v>5</v>
      </c>
      <c r="H310" s="2">
        <v>46197</v>
      </c>
      <c r="I310" s="2">
        <v>46198</v>
      </c>
      <c r="J310" s="1" t="s">
        <v>24</v>
      </c>
      <c r="K310" s="1">
        <v>1309</v>
      </c>
      <c r="L310" s="1" t="str">
        <f t="shared" si="3"/>
        <v>Pri1309</v>
      </c>
      <c r="M310" s="1" t="str">
        <f t="shared" si="4"/>
        <v>Marer</v>
      </c>
      <c r="N310" s="1" t="str">
        <f t="shared" si="5"/>
        <v>arke</v>
      </c>
    </row>
    <row r="311" spans="1:14" x14ac:dyDescent="0.3">
      <c r="A311" s="1" t="s">
        <v>49</v>
      </c>
      <c r="B311" s="1" t="s">
        <v>17</v>
      </c>
      <c r="C311" s="1" t="s">
        <v>18</v>
      </c>
      <c r="D311" s="1" t="s">
        <v>56</v>
      </c>
      <c r="E311" s="1">
        <v>19</v>
      </c>
      <c r="F311" s="1">
        <v>12691</v>
      </c>
      <c r="G311" s="1">
        <v>0</v>
      </c>
      <c r="H311" s="2">
        <v>46181</v>
      </c>
      <c r="I311" s="2">
        <v>46189</v>
      </c>
      <c r="J311" s="1" t="s">
        <v>29</v>
      </c>
      <c r="K311" s="1">
        <v>1310</v>
      </c>
      <c r="L311" s="1" t="str">
        <f t="shared" si="3"/>
        <v>Aja1310</v>
      </c>
      <c r="M311" s="1" t="str">
        <f t="shared" si="4"/>
        <v>Cabet</v>
      </c>
      <c r="N311" s="1" t="str">
        <f t="shared" si="5"/>
        <v>abin</v>
      </c>
    </row>
    <row r="312" spans="1:14" x14ac:dyDescent="0.3">
      <c r="A312" s="1" t="s">
        <v>55</v>
      </c>
      <c r="B312" s="1" t="s">
        <v>12</v>
      </c>
      <c r="C312" s="1" t="s">
        <v>13</v>
      </c>
      <c r="D312" s="1" t="s">
        <v>14</v>
      </c>
      <c r="E312" s="1">
        <v>2</v>
      </c>
      <c r="F312" s="1">
        <v>209</v>
      </c>
      <c r="G312" s="1">
        <v>0</v>
      </c>
      <c r="H312" s="2">
        <v>46173</v>
      </c>
      <c r="I312" s="2">
        <v>46176</v>
      </c>
      <c r="J312" s="1" t="s">
        <v>20</v>
      </c>
      <c r="K312" s="1">
        <v>1311</v>
      </c>
      <c r="L312" s="1" t="str">
        <f t="shared" si="3"/>
        <v>Sne1311</v>
      </c>
      <c r="M312" s="1" t="str">
        <f t="shared" si="4"/>
        <v>Notok</v>
      </c>
      <c r="N312" s="1" t="str">
        <f t="shared" si="5"/>
        <v>oteb</v>
      </c>
    </row>
    <row r="313" spans="1:14" x14ac:dyDescent="0.3">
      <c r="A313" s="1" t="s">
        <v>57</v>
      </c>
      <c r="B313" s="1" t="s">
        <v>22</v>
      </c>
      <c r="C313" s="1" t="s">
        <v>18</v>
      </c>
      <c r="D313" s="1" t="s">
        <v>56</v>
      </c>
      <c r="E313" s="1">
        <v>20</v>
      </c>
      <c r="F313" s="1">
        <v>3274</v>
      </c>
      <c r="G313" s="1">
        <v>2</v>
      </c>
      <c r="H313" s="2">
        <v>46148</v>
      </c>
      <c r="I313" s="2">
        <v>46156</v>
      </c>
      <c r="J313" s="1" t="s">
        <v>24</v>
      </c>
      <c r="K313" s="1">
        <v>1312</v>
      </c>
      <c r="L313" s="1" t="str">
        <f t="shared" si="3"/>
        <v>Sar1312</v>
      </c>
      <c r="M313" s="1" t="str">
        <f t="shared" si="4"/>
        <v>Cabet</v>
      </c>
      <c r="N313" s="1" t="str">
        <f t="shared" si="5"/>
        <v>abin</v>
      </c>
    </row>
    <row r="314" spans="1:14" x14ac:dyDescent="0.3">
      <c r="A314" s="1" t="s">
        <v>59</v>
      </c>
      <c r="B314" s="1" t="s">
        <v>22</v>
      </c>
      <c r="C314" s="1" t="s">
        <v>18</v>
      </c>
      <c r="D314" s="1" t="s">
        <v>56</v>
      </c>
      <c r="E314" s="1">
        <v>6</v>
      </c>
      <c r="F314" s="1">
        <v>10864</v>
      </c>
      <c r="G314" s="1">
        <v>10</v>
      </c>
      <c r="H314" s="2">
        <v>46041</v>
      </c>
      <c r="I314" s="2">
        <v>46049</v>
      </c>
      <c r="J314" s="1" t="s">
        <v>15</v>
      </c>
      <c r="K314" s="1">
        <v>1313</v>
      </c>
      <c r="L314" s="1" t="str">
        <f t="shared" si="3"/>
        <v>Ani1313</v>
      </c>
      <c r="M314" s="1" t="str">
        <f t="shared" si="4"/>
        <v>Cabet</v>
      </c>
      <c r="N314" s="1" t="str">
        <f t="shared" si="5"/>
        <v>abin</v>
      </c>
    </row>
    <row r="315" spans="1:14" x14ac:dyDescent="0.3">
      <c r="A315" s="1" t="s">
        <v>52</v>
      </c>
      <c r="B315" s="1" t="s">
        <v>33</v>
      </c>
      <c r="C315" s="1" t="s">
        <v>18</v>
      </c>
      <c r="D315" s="1" t="s">
        <v>19</v>
      </c>
      <c r="E315" s="1">
        <v>10</v>
      </c>
      <c r="F315" s="1">
        <v>6328</v>
      </c>
      <c r="G315" s="1">
        <v>2</v>
      </c>
      <c r="H315" s="2">
        <v>46196</v>
      </c>
      <c r="I315" s="2">
        <v>46197</v>
      </c>
      <c r="J315" s="1" t="s">
        <v>29</v>
      </c>
      <c r="K315" s="1">
        <v>1314</v>
      </c>
      <c r="L315" s="1" t="str">
        <f t="shared" si="3"/>
        <v>Kom1314</v>
      </c>
      <c r="M315" s="1" t="str">
        <f t="shared" si="4"/>
        <v>Dessk</v>
      </c>
      <c r="N315" s="1" t="str">
        <f t="shared" si="5"/>
        <v>esk</v>
      </c>
    </row>
    <row r="316" spans="1:14" x14ac:dyDescent="0.3">
      <c r="A316" s="1" t="s">
        <v>49</v>
      </c>
      <c r="B316" s="1" t="s">
        <v>31</v>
      </c>
      <c r="C316" s="1" t="s">
        <v>34</v>
      </c>
      <c r="D316" s="1" t="s">
        <v>41</v>
      </c>
      <c r="E316" s="1">
        <v>14</v>
      </c>
      <c r="F316" s="1">
        <v>57670</v>
      </c>
      <c r="G316" s="1">
        <v>2</v>
      </c>
      <c r="H316" s="2">
        <v>46186</v>
      </c>
      <c r="I316" s="2">
        <v>46196</v>
      </c>
      <c r="J316" s="1" t="s">
        <v>15</v>
      </c>
      <c r="K316" s="1">
        <v>1315</v>
      </c>
      <c r="L316" s="1" t="str">
        <f t="shared" si="3"/>
        <v>Aja1315</v>
      </c>
      <c r="M316" s="1" t="str">
        <f t="shared" si="4"/>
        <v>Heaet</v>
      </c>
      <c r="N316" s="1" t="str">
        <f t="shared" si="5"/>
        <v>eads</v>
      </c>
    </row>
    <row r="317" spans="1:14" x14ac:dyDescent="0.3">
      <c r="A317" s="1" t="s">
        <v>46</v>
      </c>
      <c r="B317" s="1" t="s">
        <v>12</v>
      </c>
      <c r="C317" s="1" t="s">
        <v>18</v>
      </c>
      <c r="D317" s="1" t="s">
        <v>28</v>
      </c>
      <c r="E317" s="1">
        <v>7</v>
      </c>
      <c r="F317" s="1">
        <v>9838</v>
      </c>
      <c r="G317" s="1">
        <v>7</v>
      </c>
      <c r="H317" s="2">
        <v>46078</v>
      </c>
      <c r="I317" s="2">
        <v>46085</v>
      </c>
      <c r="J317" s="1" t="s">
        <v>20</v>
      </c>
      <c r="K317" s="1">
        <v>1316</v>
      </c>
      <c r="L317" s="1" t="str">
        <f t="shared" si="3"/>
        <v>Kir1316</v>
      </c>
      <c r="M317" s="1" t="str">
        <f t="shared" si="4"/>
        <v>Chair</v>
      </c>
      <c r="N317" s="1" t="str">
        <f t="shared" si="5"/>
        <v>hair</v>
      </c>
    </row>
    <row r="318" spans="1:14" x14ac:dyDescent="0.3">
      <c r="A318" s="1" t="s">
        <v>59</v>
      </c>
      <c r="B318" s="1" t="s">
        <v>33</v>
      </c>
      <c r="C318" s="1" t="s">
        <v>34</v>
      </c>
      <c r="D318" s="1" t="s">
        <v>41</v>
      </c>
      <c r="E318" s="1">
        <v>7</v>
      </c>
      <c r="F318" s="1">
        <v>67339</v>
      </c>
      <c r="G318" s="1">
        <v>5</v>
      </c>
      <c r="H318" s="2">
        <v>46159</v>
      </c>
      <c r="I318" s="2">
        <v>46169</v>
      </c>
      <c r="J318" s="1" t="s">
        <v>51</v>
      </c>
      <c r="K318" s="1">
        <v>1317</v>
      </c>
      <c r="L318" s="1" t="str">
        <f t="shared" si="3"/>
        <v>Ani1317</v>
      </c>
      <c r="M318" s="1" t="str">
        <f t="shared" si="4"/>
        <v>Heaet</v>
      </c>
      <c r="N318" s="1" t="str">
        <f t="shared" si="5"/>
        <v>eads</v>
      </c>
    </row>
    <row r="319" spans="1:14" x14ac:dyDescent="0.3">
      <c r="A319" s="1" t="s">
        <v>11</v>
      </c>
      <c r="B319" s="1" t="s">
        <v>43</v>
      </c>
      <c r="C319" s="1" t="s">
        <v>13</v>
      </c>
      <c r="D319" s="1" t="s">
        <v>50</v>
      </c>
      <c r="E319" s="1">
        <v>4</v>
      </c>
      <c r="F319" s="1">
        <v>38</v>
      </c>
      <c r="G319" s="1">
        <v>12</v>
      </c>
      <c r="H319" s="2">
        <v>46169</v>
      </c>
      <c r="I319" s="2">
        <v>46175</v>
      </c>
      <c r="J319" s="1" t="s">
        <v>29</v>
      </c>
      <c r="K319" s="1">
        <v>1318</v>
      </c>
      <c r="L319" s="1" t="str">
        <f t="shared" si="3"/>
        <v>Rit1318</v>
      </c>
      <c r="M319" s="1" t="str">
        <f t="shared" si="4"/>
        <v>Marer</v>
      </c>
      <c r="N319" s="1" t="str">
        <f t="shared" si="5"/>
        <v>arke</v>
      </c>
    </row>
    <row r="320" spans="1:14" x14ac:dyDescent="0.3">
      <c r="A320" s="1" t="s">
        <v>21</v>
      </c>
      <c r="B320" s="1" t="s">
        <v>17</v>
      </c>
      <c r="C320" s="1" t="s">
        <v>34</v>
      </c>
      <c r="D320" s="1" t="s">
        <v>61</v>
      </c>
      <c r="E320" s="1">
        <v>17</v>
      </c>
      <c r="F320" s="1">
        <v>58407</v>
      </c>
      <c r="G320" s="1">
        <v>7</v>
      </c>
      <c r="H320" s="2">
        <v>46094</v>
      </c>
      <c r="I320" s="2">
        <v>46102</v>
      </c>
      <c r="J320" s="1" t="s">
        <v>15</v>
      </c>
      <c r="K320" s="1">
        <v>1319</v>
      </c>
      <c r="L320" s="1" t="str">
        <f t="shared" si="3"/>
        <v>Mee1319</v>
      </c>
      <c r="M320" s="1" t="str">
        <f t="shared" si="4"/>
        <v>Mouse</v>
      </c>
      <c r="N320" s="1" t="str">
        <f t="shared" si="5"/>
        <v>ouse</v>
      </c>
    </row>
    <row r="321" spans="1:14" x14ac:dyDescent="0.3">
      <c r="A321" s="1" t="s">
        <v>47</v>
      </c>
      <c r="B321" s="1" t="s">
        <v>38</v>
      </c>
      <c r="C321" s="1" t="s">
        <v>13</v>
      </c>
      <c r="D321" s="1" t="s">
        <v>36</v>
      </c>
      <c r="E321" s="1">
        <v>20</v>
      </c>
      <c r="F321" s="1">
        <v>55</v>
      </c>
      <c r="G321" s="1">
        <v>7</v>
      </c>
      <c r="H321" s="2">
        <v>46183</v>
      </c>
      <c r="I321" s="2">
        <v>46186</v>
      </c>
      <c r="J321" s="1" t="s">
        <v>20</v>
      </c>
      <c r="K321" s="1">
        <v>1320</v>
      </c>
      <c r="L321" s="1" t="str">
        <f t="shared" si="3"/>
        <v>Yas1320</v>
      </c>
      <c r="M321" s="1" t="str">
        <f t="shared" si="4"/>
        <v>Staer</v>
      </c>
      <c r="N321" s="1" t="str">
        <f t="shared" si="5"/>
        <v>tapl</v>
      </c>
    </row>
    <row r="322" spans="1:14" x14ac:dyDescent="0.3">
      <c r="A322" s="1" t="s">
        <v>32</v>
      </c>
      <c r="B322" s="1" t="s">
        <v>22</v>
      </c>
      <c r="C322" s="1" t="s">
        <v>18</v>
      </c>
      <c r="D322" s="1" t="s">
        <v>19</v>
      </c>
      <c r="E322" s="1">
        <v>8</v>
      </c>
      <c r="F322" s="1">
        <v>5619</v>
      </c>
      <c r="G322" s="1">
        <v>7</v>
      </c>
      <c r="H322" s="2">
        <v>46107</v>
      </c>
      <c r="I322" s="2">
        <v>46109</v>
      </c>
      <c r="J322" s="1" t="s">
        <v>51</v>
      </c>
      <c r="K322" s="1">
        <v>1321</v>
      </c>
      <c r="L322" s="1" t="str">
        <f t="shared" si="3"/>
        <v>Ash1321</v>
      </c>
      <c r="M322" s="1" t="str">
        <f t="shared" si="4"/>
        <v>Dessk</v>
      </c>
      <c r="N322" s="1" t="str">
        <f t="shared" si="5"/>
        <v>esk</v>
      </c>
    </row>
    <row r="323" spans="1:14" x14ac:dyDescent="0.3">
      <c r="A323" s="1" t="s">
        <v>27</v>
      </c>
      <c r="B323" s="1" t="s">
        <v>12</v>
      </c>
      <c r="C323" s="1" t="s">
        <v>18</v>
      </c>
      <c r="D323" s="1" t="s">
        <v>23</v>
      </c>
      <c r="E323" s="1">
        <v>14</v>
      </c>
      <c r="F323" s="1">
        <v>9081</v>
      </c>
      <c r="G323" s="1">
        <v>15</v>
      </c>
      <c r="H323" s="2">
        <v>46141</v>
      </c>
      <c r="I323" s="2">
        <v>46146</v>
      </c>
      <c r="J323" s="1" t="s">
        <v>15</v>
      </c>
      <c r="K323" s="1">
        <v>1322</v>
      </c>
      <c r="L323" s="1" t="str">
        <f t="shared" si="3"/>
        <v>Arj1322</v>
      </c>
      <c r="M323" s="1" t="str">
        <f t="shared" si="4"/>
        <v>Table</v>
      </c>
      <c r="N323" s="1" t="str">
        <f t="shared" si="5"/>
        <v>able</v>
      </c>
    </row>
    <row r="324" spans="1:14" x14ac:dyDescent="0.3">
      <c r="A324" s="1" t="s">
        <v>57</v>
      </c>
      <c r="B324" s="1" t="s">
        <v>38</v>
      </c>
      <c r="C324" s="1" t="s">
        <v>34</v>
      </c>
      <c r="D324" s="1" t="s">
        <v>61</v>
      </c>
      <c r="E324" s="1">
        <v>2</v>
      </c>
      <c r="F324" s="1">
        <v>32074</v>
      </c>
      <c r="G324" s="1">
        <v>10</v>
      </c>
      <c r="H324" s="2">
        <v>46073</v>
      </c>
      <c r="I324" s="2">
        <v>46078</v>
      </c>
      <c r="J324" s="1" t="s">
        <v>15</v>
      </c>
      <c r="K324" s="1">
        <v>1323</v>
      </c>
      <c r="L324" s="1" t="str">
        <f t="shared" si="3"/>
        <v>Sar1323</v>
      </c>
      <c r="M324" s="1" t="str">
        <f t="shared" si="4"/>
        <v>Mouse</v>
      </c>
      <c r="N324" s="1" t="str">
        <f t="shared" si="5"/>
        <v>ouse</v>
      </c>
    </row>
    <row r="325" spans="1:14" x14ac:dyDescent="0.3">
      <c r="A325" s="1" t="s">
        <v>32</v>
      </c>
      <c r="B325" s="1" t="s">
        <v>22</v>
      </c>
      <c r="C325" s="1" t="s">
        <v>18</v>
      </c>
      <c r="D325" s="1" t="s">
        <v>19</v>
      </c>
      <c r="E325" s="1">
        <v>1</v>
      </c>
      <c r="F325" s="1">
        <v>4286</v>
      </c>
      <c r="G325" s="1">
        <v>15</v>
      </c>
      <c r="H325" s="2">
        <v>46053</v>
      </c>
      <c r="I325" s="2">
        <v>46056</v>
      </c>
      <c r="J325" s="1" t="s">
        <v>20</v>
      </c>
      <c r="K325" s="1">
        <v>1324</v>
      </c>
      <c r="L325" s="1" t="str">
        <f t="shared" si="3"/>
        <v>Ash1324</v>
      </c>
      <c r="M325" s="1" t="str">
        <f t="shared" si="4"/>
        <v>Dessk</v>
      </c>
      <c r="N325" s="1" t="str">
        <f t="shared" si="5"/>
        <v>esk</v>
      </c>
    </row>
    <row r="326" spans="1:14" x14ac:dyDescent="0.3">
      <c r="A326" s="1" t="s">
        <v>48</v>
      </c>
      <c r="B326" s="1" t="s">
        <v>43</v>
      </c>
      <c r="C326" s="1" t="s">
        <v>34</v>
      </c>
      <c r="D326" s="1" t="s">
        <v>39</v>
      </c>
      <c r="E326" s="1">
        <v>9</v>
      </c>
      <c r="F326" s="1">
        <v>58442</v>
      </c>
      <c r="G326" s="1">
        <v>12</v>
      </c>
      <c r="H326" s="2">
        <v>46076</v>
      </c>
      <c r="I326" s="2">
        <v>46085</v>
      </c>
      <c r="J326" s="1" t="s">
        <v>20</v>
      </c>
      <c r="K326" s="1">
        <v>1325</v>
      </c>
      <c r="L326" s="1" t="str">
        <f t="shared" si="3"/>
        <v>Nit1325</v>
      </c>
      <c r="M326" s="1" t="str">
        <f t="shared" si="4"/>
        <v>Keyrd</v>
      </c>
      <c r="N326" s="1" t="str">
        <f t="shared" si="5"/>
        <v>eybo</v>
      </c>
    </row>
    <row r="327" spans="1:14" x14ac:dyDescent="0.3">
      <c r="A327" s="1" t="s">
        <v>26</v>
      </c>
      <c r="B327" s="1" t="s">
        <v>17</v>
      </c>
      <c r="C327" s="1" t="s">
        <v>18</v>
      </c>
      <c r="D327" s="1" t="s">
        <v>44</v>
      </c>
      <c r="E327" s="1">
        <v>18</v>
      </c>
      <c r="F327" s="1">
        <v>1830</v>
      </c>
      <c r="G327" s="1">
        <v>10</v>
      </c>
      <c r="H327" s="2">
        <v>46165</v>
      </c>
      <c r="I327" s="2">
        <v>46172</v>
      </c>
      <c r="J327" s="1" t="s">
        <v>15</v>
      </c>
      <c r="K327" s="1">
        <v>1326</v>
      </c>
      <c r="L327" s="1" t="str">
        <f t="shared" si="3"/>
        <v>Vik1326</v>
      </c>
      <c r="M327" s="1" t="str">
        <f t="shared" si="4"/>
        <v>Boolf</v>
      </c>
      <c r="N327" s="1" t="str">
        <f t="shared" si="5"/>
        <v>ooks</v>
      </c>
    </row>
    <row r="328" spans="1:14" x14ac:dyDescent="0.3">
      <c r="A328" s="1" t="s">
        <v>48</v>
      </c>
      <c r="B328" s="1" t="s">
        <v>12</v>
      </c>
      <c r="C328" s="1" t="s">
        <v>13</v>
      </c>
      <c r="D328" s="1" t="s">
        <v>53</v>
      </c>
      <c r="E328" s="1">
        <v>15</v>
      </c>
      <c r="F328" s="1">
        <v>449</v>
      </c>
      <c r="G328" s="1">
        <v>5</v>
      </c>
      <c r="H328" s="2">
        <v>46152</v>
      </c>
      <c r="I328" s="2">
        <v>46153</v>
      </c>
      <c r="J328" s="1" t="s">
        <v>15</v>
      </c>
      <c r="K328" s="1">
        <v>1327</v>
      </c>
      <c r="L328" s="1" t="str">
        <f t="shared" si="3"/>
        <v>Nit1327</v>
      </c>
      <c r="M328" s="1" t="str">
        <f t="shared" si="4"/>
        <v>Diary</v>
      </c>
      <c r="N328" s="1" t="str">
        <f t="shared" si="5"/>
        <v>iary</v>
      </c>
    </row>
    <row r="329" spans="1:14" x14ac:dyDescent="0.3">
      <c r="A329" s="1" t="s">
        <v>16</v>
      </c>
      <c r="B329" s="1" t="s">
        <v>38</v>
      </c>
      <c r="C329" s="1" t="s">
        <v>13</v>
      </c>
      <c r="D329" s="1" t="s">
        <v>36</v>
      </c>
      <c r="E329" s="1">
        <v>4</v>
      </c>
      <c r="F329" s="1">
        <v>132</v>
      </c>
      <c r="G329" s="1">
        <v>0</v>
      </c>
      <c r="H329" s="2">
        <v>46109</v>
      </c>
      <c r="I329" s="2">
        <v>46114</v>
      </c>
      <c r="J329" s="1" t="s">
        <v>29</v>
      </c>
      <c r="K329" s="1">
        <v>1328</v>
      </c>
      <c r="L329" s="1" t="str">
        <f t="shared" si="3"/>
        <v>Poo1328</v>
      </c>
      <c r="M329" s="1" t="str">
        <f t="shared" si="4"/>
        <v>Staer</v>
      </c>
      <c r="N329" s="1" t="str">
        <f t="shared" si="5"/>
        <v>tapl</v>
      </c>
    </row>
    <row r="330" spans="1:14" x14ac:dyDescent="0.3">
      <c r="A330" s="1" t="s">
        <v>30</v>
      </c>
      <c r="B330" s="1" t="s">
        <v>43</v>
      </c>
      <c r="C330" s="1" t="s">
        <v>13</v>
      </c>
      <c r="D330" s="1" t="s">
        <v>53</v>
      </c>
      <c r="E330" s="1">
        <v>18</v>
      </c>
      <c r="F330" s="1">
        <v>227</v>
      </c>
      <c r="G330" s="1">
        <v>5</v>
      </c>
      <c r="H330" s="2">
        <v>46126</v>
      </c>
      <c r="I330" s="2">
        <v>46136</v>
      </c>
      <c r="J330" s="1" t="s">
        <v>29</v>
      </c>
      <c r="K330" s="1">
        <v>1329</v>
      </c>
      <c r="L330" s="1" t="str">
        <f t="shared" si="3"/>
        <v>Neh1329</v>
      </c>
      <c r="M330" s="1" t="str">
        <f t="shared" si="4"/>
        <v>Diary</v>
      </c>
      <c r="N330" s="1" t="str">
        <f t="shared" si="5"/>
        <v>iary</v>
      </c>
    </row>
    <row r="331" spans="1:14" x14ac:dyDescent="0.3">
      <c r="A331" s="1" t="s">
        <v>49</v>
      </c>
      <c r="B331" s="1" t="s">
        <v>17</v>
      </c>
      <c r="C331" s="1" t="s">
        <v>18</v>
      </c>
      <c r="D331" s="1" t="s">
        <v>19</v>
      </c>
      <c r="E331" s="1">
        <v>13</v>
      </c>
      <c r="F331" s="1">
        <v>12071</v>
      </c>
      <c r="G331" s="1">
        <v>0</v>
      </c>
      <c r="H331" s="2">
        <v>46032</v>
      </c>
      <c r="I331" s="2">
        <v>46036</v>
      </c>
      <c r="J331" s="1" t="s">
        <v>51</v>
      </c>
      <c r="K331" s="1">
        <v>1330</v>
      </c>
      <c r="L331" s="1" t="str">
        <f t="shared" si="3"/>
        <v>Aja1330</v>
      </c>
      <c r="M331" s="1" t="str">
        <f t="shared" si="4"/>
        <v>Dessk</v>
      </c>
      <c r="N331" s="1" t="str">
        <f t="shared" si="5"/>
        <v>esk</v>
      </c>
    </row>
    <row r="332" spans="1:14" x14ac:dyDescent="0.3">
      <c r="A332" s="1" t="s">
        <v>21</v>
      </c>
      <c r="B332" s="1" t="s">
        <v>25</v>
      </c>
      <c r="C332" s="1" t="s">
        <v>34</v>
      </c>
      <c r="D332" s="1" t="s">
        <v>61</v>
      </c>
      <c r="E332" s="1">
        <v>2</v>
      </c>
      <c r="F332" s="1">
        <v>43557</v>
      </c>
      <c r="G332" s="1">
        <v>2</v>
      </c>
      <c r="H332" s="2">
        <v>46190</v>
      </c>
      <c r="I332" s="2">
        <v>46200</v>
      </c>
      <c r="J332" s="1" t="s">
        <v>15</v>
      </c>
      <c r="K332" s="1">
        <v>1331</v>
      </c>
      <c r="L332" s="1" t="str">
        <f t="shared" si="3"/>
        <v>Mee1331</v>
      </c>
      <c r="M332" s="1" t="str">
        <f t="shared" si="4"/>
        <v>Mouse</v>
      </c>
      <c r="N332" s="1" t="str">
        <f t="shared" si="5"/>
        <v>ouse</v>
      </c>
    </row>
    <row r="333" spans="1:14" x14ac:dyDescent="0.3">
      <c r="A333" s="1" t="s">
        <v>29</v>
      </c>
      <c r="B333" s="1" t="s">
        <v>43</v>
      </c>
      <c r="C333" s="1" t="s">
        <v>13</v>
      </c>
      <c r="D333" s="1" t="s">
        <v>50</v>
      </c>
      <c r="E333" s="1">
        <v>7</v>
      </c>
      <c r="F333" s="1">
        <v>439</v>
      </c>
      <c r="G333" s="1">
        <v>2</v>
      </c>
      <c r="H333" s="2">
        <v>46154</v>
      </c>
      <c r="I333" s="2">
        <v>46157</v>
      </c>
      <c r="J333" s="1" t="s">
        <v>15</v>
      </c>
      <c r="K333" s="1">
        <v>1332</v>
      </c>
      <c r="L333" s="1" t="str">
        <f t="shared" si="3"/>
        <v>Pri1332</v>
      </c>
      <c r="M333" s="1" t="str">
        <f t="shared" si="4"/>
        <v>Marer</v>
      </c>
      <c r="N333" s="1" t="str">
        <f t="shared" si="5"/>
        <v>arke</v>
      </c>
    </row>
    <row r="334" spans="1:14" x14ac:dyDescent="0.3">
      <c r="A334" s="1" t="s">
        <v>29</v>
      </c>
      <c r="B334" s="1" t="s">
        <v>38</v>
      </c>
      <c r="C334" s="1" t="s">
        <v>13</v>
      </c>
      <c r="D334" s="1" t="s">
        <v>53</v>
      </c>
      <c r="E334" s="1">
        <v>20</v>
      </c>
      <c r="F334" s="1">
        <v>416</v>
      </c>
      <c r="G334" s="1">
        <v>12</v>
      </c>
      <c r="H334" s="2">
        <v>46145</v>
      </c>
      <c r="I334" s="2">
        <v>46146</v>
      </c>
      <c r="J334" s="1" t="s">
        <v>51</v>
      </c>
      <c r="K334" s="1">
        <v>1333</v>
      </c>
      <c r="L334" s="1" t="str">
        <f t="shared" si="3"/>
        <v>Pri1333</v>
      </c>
      <c r="M334" s="1" t="str">
        <f t="shared" si="4"/>
        <v>Diary</v>
      </c>
      <c r="N334" s="1" t="str">
        <f t="shared" si="5"/>
        <v>iary</v>
      </c>
    </row>
    <row r="335" spans="1:14" x14ac:dyDescent="0.3">
      <c r="A335" s="1" t="s">
        <v>40</v>
      </c>
      <c r="B335" s="1" t="s">
        <v>12</v>
      </c>
      <c r="C335" s="1" t="s">
        <v>34</v>
      </c>
      <c r="D335" s="1" t="s">
        <v>41</v>
      </c>
      <c r="E335" s="1">
        <v>15</v>
      </c>
      <c r="F335" s="1">
        <v>39853</v>
      </c>
      <c r="G335" s="1">
        <v>7</v>
      </c>
      <c r="H335" s="2">
        <v>46038</v>
      </c>
      <c r="I335" s="2">
        <v>46047</v>
      </c>
      <c r="J335" s="1" t="s">
        <v>51</v>
      </c>
      <c r="K335" s="1">
        <v>1334</v>
      </c>
      <c r="L335" s="1" t="str">
        <f t="shared" si="3"/>
        <v>Dee1334</v>
      </c>
      <c r="M335" s="1" t="str">
        <f t="shared" si="4"/>
        <v>Heaet</v>
      </c>
      <c r="N335" s="1" t="str">
        <f t="shared" si="5"/>
        <v>eads</v>
      </c>
    </row>
    <row r="336" spans="1:14" x14ac:dyDescent="0.3">
      <c r="A336" s="1" t="s">
        <v>47</v>
      </c>
      <c r="B336" s="1" t="s">
        <v>17</v>
      </c>
      <c r="C336" s="1" t="s">
        <v>18</v>
      </c>
      <c r="D336" s="1" t="s">
        <v>19</v>
      </c>
      <c r="E336" s="1">
        <v>9</v>
      </c>
      <c r="F336" s="1">
        <v>1495</v>
      </c>
      <c r="G336" s="1">
        <v>12</v>
      </c>
      <c r="H336" s="2">
        <v>46168</v>
      </c>
      <c r="I336" s="2">
        <v>46173</v>
      </c>
      <c r="J336" s="1" t="s">
        <v>15</v>
      </c>
      <c r="K336" s="1">
        <v>1335</v>
      </c>
      <c r="L336" s="1" t="str">
        <f t="shared" si="3"/>
        <v>Yas1335</v>
      </c>
      <c r="M336" s="1" t="str">
        <f t="shared" si="4"/>
        <v>Dessk</v>
      </c>
      <c r="N336" s="1" t="str">
        <f t="shared" si="5"/>
        <v>esk</v>
      </c>
    </row>
    <row r="337" spans="1:14" x14ac:dyDescent="0.3">
      <c r="A337" s="1" t="s">
        <v>16</v>
      </c>
      <c r="B337" s="1" t="s">
        <v>25</v>
      </c>
      <c r="C337" s="1" t="s">
        <v>18</v>
      </c>
      <c r="D337" s="1" t="s">
        <v>56</v>
      </c>
      <c r="E337" s="1">
        <v>10</v>
      </c>
      <c r="F337" s="1">
        <v>5624</v>
      </c>
      <c r="G337" s="1">
        <v>0</v>
      </c>
      <c r="H337" s="2">
        <v>46086</v>
      </c>
      <c r="I337" s="2">
        <v>46092</v>
      </c>
      <c r="J337" s="1" t="s">
        <v>29</v>
      </c>
      <c r="K337" s="1">
        <v>1336</v>
      </c>
      <c r="L337" s="1" t="str">
        <f t="shared" si="3"/>
        <v>Poo1336</v>
      </c>
      <c r="M337" s="1" t="str">
        <f t="shared" si="4"/>
        <v>Cabet</v>
      </c>
      <c r="N337" s="1" t="str">
        <f t="shared" si="5"/>
        <v>abin</v>
      </c>
    </row>
    <row r="338" spans="1:14" x14ac:dyDescent="0.3">
      <c r="A338" s="1" t="s">
        <v>16</v>
      </c>
      <c r="B338" s="1" t="s">
        <v>12</v>
      </c>
      <c r="C338" s="1" t="s">
        <v>13</v>
      </c>
      <c r="D338" s="1" t="s">
        <v>53</v>
      </c>
      <c r="E338" s="1">
        <v>14</v>
      </c>
      <c r="F338" s="1">
        <v>373</v>
      </c>
      <c r="G338" s="1">
        <v>10</v>
      </c>
      <c r="H338" s="2">
        <v>46074</v>
      </c>
      <c r="I338" s="2">
        <v>46080</v>
      </c>
      <c r="J338" s="1" t="s">
        <v>29</v>
      </c>
      <c r="K338" s="1">
        <v>1337</v>
      </c>
      <c r="L338" s="1" t="str">
        <f t="shared" si="3"/>
        <v>Poo1337</v>
      </c>
      <c r="M338" s="1" t="str">
        <f t="shared" si="4"/>
        <v>Diary</v>
      </c>
      <c r="N338" s="1" t="str">
        <f t="shared" si="5"/>
        <v>iary</v>
      </c>
    </row>
    <row r="339" spans="1:14" x14ac:dyDescent="0.3">
      <c r="A339" s="1" t="s">
        <v>59</v>
      </c>
      <c r="B339" s="1" t="s">
        <v>25</v>
      </c>
      <c r="C339" s="1" t="s">
        <v>34</v>
      </c>
      <c r="D339" s="1" t="s">
        <v>60</v>
      </c>
      <c r="E339" s="1">
        <v>10</v>
      </c>
      <c r="F339" s="1">
        <v>16719</v>
      </c>
      <c r="G339" s="1">
        <v>5</v>
      </c>
      <c r="H339" s="2">
        <v>46177</v>
      </c>
      <c r="I339" s="2">
        <v>46179</v>
      </c>
      <c r="J339" s="1" t="s">
        <v>15</v>
      </c>
      <c r="K339" s="1">
        <v>1338</v>
      </c>
      <c r="L339" s="1" t="str">
        <f t="shared" si="3"/>
        <v>Ani1338</v>
      </c>
      <c r="M339" s="1" t="str">
        <f t="shared" si="4"/>
        <v>Lapop</v>
      </c>
      <c r="N339" s="1" t="str">
        <f t="shared" si="5"/>
        <v>apto</v>
      </c>
    </row>
    <row r="340" spans="1:14" x14ac:dyDescent="0.3">
      <c r="A340" s="1" t="s">
        <v>32</v>
      </c>
      <c r="B340" s="1" t="s">
        <v>25</v>
      </c>
      <c r="C340" s="1" t="s">
        <v>13</v>
      </c>
      <c r="D340" s="1" t="s">
        <v>14</v>
      </c>
      <c r="E340" s="1">
        <v>6</v>
      </c>
      <c r="F340" s="1">
        <v>302</v>
      </c>
      <c r="G340" s="1">
        <v>5</v>
      </c>
      <c r="H340" s="2">
        <v>46142</v>
      </c>
      <c r="I340" s="2">
        <v>46148</v>
      </c>
      <c r="J340" s="1" t="s">
        <v>20</v>
      </c>
      <c r="K340" s="1">
        <v>1339</v>
      </c>
      <c r="L340" s="1" t="str">
        <f t="shared" si="3"/>
        <v>Ash1339</v>
      </c>
      <c r="M340" s="1" t="str">
        <f t="shared" si="4"/>
        <v>Notok</v>
      </c>
      <c r="N340" s="1" t="str">
        <f t="shared" si="5"/>
        <v>oteb</v>
      </c>
    </row>
    <row r="341" spans="1:14" x14ac:dyDescent="0.3">
      <c r="A341" s="1" t="s">
        <v>48</v>
      </c>
      <c r="B341" s="1" t="s">
        <v>17</v>
      </c>
      <c r="C341" s="1" t="s">
        <v>18</v>
      </c>
      <c r="D341" s="1" t="s">
        <v>19</v>
      </c>
      <c r="E341" s="1">
        <v>12</v>
      </c>
      <c r="F341" s="1">
        <v>3857</v>
      </c>
      <c r="G341" s="1">
        <v>12</v>
      </c>
      <c r="H341" s="2">
        <v>46196</v>
      </c>
      <c r="I341" s="2">
        <v>46198</v>
      </c>
      <c r="J341" s="1" t="s">
        <v>51</v>
      </c>
      <c r="K341" s="1">
        <v>1340</v>
      </c>
      <c r="L341" s="1" t="str">
        <f t="shared" si="3"/>
        <v>Nit1340</v>
      </c>
      <c r="M341" s="1" t="str">
        <f t="shared" si="4"/>
        <v>Dessk</v>
      </c>
      <c r="N341" s="1" t="str">
        <f t="shared" si="5"/>
        <v>esk</v>
      </c>
    </row>
    <row r="342" spans="1:14" x14ac:dyDescent="0.3">
      <c r="A342" s="1" t="s">
        <v>57</v>
      </c>
      <c r="B342" s="1" t="s">
        <v>38</v>
      </c>
      <c r="C342" s="1" t="s">
        <v>18</v>
      </c>
      <c r="D342" s="1" t="s">
        <v>19</v>
      </c>
      <c r="E342" s="1">
        <v>19</v>
      </c>
      <c r="F342" s="1">
        <v>6488</v>
      </c>
      <c r="G342" s="1">
        <v>15</v>
      </c>
      <c r="H342" s="2">
        <v>46026</v>
      </c>
      <c r="I342" s="2">
        <v>46030</v>
      </c>
      <c r="J342" s="1" t="s">
        <v>20</v>
      </c>
      <c r="K342" s="1">
        <v>1341</v>
      </c>
      <c r="L342" s="1" t="str">
        <f t="shared" si="3"/>
        <v>Sar1341</v>
      </c>
      <c r="M342" s="1" t="str">
        <f t="shared" si="4"/>
        <v>Dessk</v>
      </c>
      <c r="N342" s="1" t="str">
        <f t="shared" si="5"/>
        <v>esk</v>
      </c>
    </row>
    <row r="343" spans="1:14" x14ac:dyDescent="0.3">
      <c r="A343" s="1" t="s">
        <v>59</v>
      </c>
      <c r="B343" s="1" t="s">
        <v>31</v>
      </c>
      <c r="C343" s="1" t="s">
        <v>34</v>
      </c>
      <c r="D343" s="1" t="s">
        <v>35</v>
      </c>
      <c r="E343" s="1">
        <v>13</v>
      </c>
      <c r="F343" s="1">
        <v>47881</v>
      </c>
      <c r="G343" s="1">
        <v>15</v>
      </c>
      <c r="H343" s="2">
        <v>46132</v>
      </c>
      <c r="I343" s="2">
        <v>46139</v>
      </c>
      <c r="J343" s="1" t="s">
        <v>29</v>
      </c>
      <c r="K343" s="1">
        <v>1342</v>
      </c>
      <c r="L343" s="1" t="str">
        <f t="shared" si="3"/>
        <v>Ani1342</v>
      </c>
      <c r="M343" s="1" t="str">
        <f t="shared" si="4"/>
        <v>Prier</v>
      </c>
      <c r="N343" s="1" t="str">
        <f t="shared" si="5"/>
        <v>rint</v>
      </c>
    </row>
    <row r="344" spans="1:14" x14ac:dyDescent="0.3">
      <c r="A344" s="1" t="s">
        <v>59</v>
      </c>
      <c r="B344" s="1" t="s">
        <v>31</v>
      </c>
      <c r="C344" s="1" t="s">
        <v>34</v>
      </c>
      <c r="D344" s="1" t="s">
        <v>39</v>
      </c>
      <c r="E344" s="1">
        <v>14</v>
      </c>
      <c r="F344" s="1">
        <v>32719</v>
      </c>
      <c r="G344" s="1">
        <v>15</v>
      </c>
      <c r="H344" s="2">
        <v>46174</v>
      </c>
      <c r="I344" s="2">
        <v>46179</v>
      </c>
      <c r="J344" s="1" t="s">
        <v>15</v>
      </c>
      <c r="K344" s="1">
        <v>1343</v>
      </c>
      <c r="L344" s="1" t="str">
        <f t="shared" si="3"/>
        <v>Ani1343</v>
      </c>
      <c r="M344" s="1" t="str">
        <f t="shared" si="4"/>
        <v>Keyrd</v>
      </c>
      <c r="N344" s="1" t="str">
        <f t="shared" si="5"/>
        <v>eybo</v>
      </c>
    </row>
    <row r="345" spans="1:14" x14ac:dyDescent="0.3">
      <c r="A345" s="1" t="s">
        <v>30</v>
      </c>
      <c r="B345" s="1" t="s">
        <v>17</v>
      </c>
      <c r="C345" s="1" t="s">
        <v>13</v>
      </c>
      <c r="D345" s="1" t="s">
        <v>53</v>
      </c>
      <c r="E345" s="1">
        <v>18</v>
      </c>
      <c r="F345" s="1">
        <v>240</v>
      </c>
      <c r="G345" s="1">
        <v>10</v>
      </c>
      <c r="H345" s="2">
        <v>46155</v>
      </c>
      <c r="I345" s="2">
        <v>46156</v>
      </c>
      <c r="J345" s="1" t="s">
        <v>24</v>
      </c>
      <c r="K345" s="1">
        <v>1344</v>
      </c>
      <c r="L345" s="1" t="str">
        <f t="shared" si="3"/>
        <v>Neh1344</v>
      </c>
      <c r="M345" s="1" t="str">
        <f t="shared" si="4"/>
        <v>Diary</v>
      </c>
      <c r="N345" s="1" t="str">
        <f t="shared" si="5"/>
        <v>iary</v>
      </c>
    </row>
    <row r="346" spans="1:14" x14ac:dyDescent="0.3">
      <c r="A346" s="1" t="s">
        <v>32</v>
      </c>
      <c r="B346" s="1" t="s">
        <v>12</v>
      </c>
      <c r="C346" s="1" t="s">
        <v>34</v>
      </c>
      <c r="D346" s="1" t="s">
        <v>45</v>
      </c>
      <c r="E346" s="1">
        <v>12</v>
      </c>
      <c r="F346" s="1">
        <v>50544</v>
      </c>
      <c r="G346" s="1">
        <v>10</v>
      </c>
      <c r="H346" s="2">
        <v>46095</v>
      </c>
      <c r="I346" s="2">
        <v>46097</v>
      </c>
      <c r="J346" s="1" t="s">
        <v>29</v>
      </c>
      <c r="K346" s="1">
        <v>1345</v>
      </c>
      <c r="L346" s="1" t="str">
        <f t="shared" si="3"/>
        <v>Ash1345</v>
      </c>
      <c r="M346" s="1" t="str">
        <f t="shared" si="4"/>
        <v>Monor</v>
      </c>
      <c r="N346" s="1" t="str">
        <f t="shared" si="5"/>
        <v>onit</v>
      </c>
    </row>
    <row r="347" spans="1:14" x14ac:dyDescent="0.3">
      <c r="A347" s="1" t="s">
        <v>32</v>
      </c>
      <c r="B347" s="1" t="s">
        <v>22</v>
      </c>
      <c r="C347" s="1" t="s">
        <v>18</v>
      </c>
      <c r="D347" s="1" t="s">
        <v>19</v>
      </c>
      <c r="E347" s="1">
        <v>16</v>
      </c>
      <c r="F347" s="1">
        <v>6910</v>
      </c>
      <c r="G347" s="1">
        <v>15</v>
      </c>
      <c r="H347" s="2">
        <v>46140</v>
      </c>
      <c r="I347" s="2">
        <v>46142</v>
      </c>
      <c r="J347" s="1" t="s">
        <v>29</v>
      </c>
      <c r="K347" s="1">
        <v>1346</v>
      </c>
      <c r="L347" s="1" t="str">
        <f t="shared" si="3"/>
        <v>Ash1346</v>
      </c>
      <c r="M347" s="1" t="str">
        <f t="shared" si="4"/>
        <v>Dessk</v>
      </c>
      <c r="N347" s="1" t="str">
        <f t="shared" si="5"/>
        <v>esk</v>
      </c>
    </row>
    <row r="348" spans="1:14" x14ac:dyDescent="0.3">
      <c r="A348" s="1" t="s">
        <v>29</v>
      </c>
      <c r="B348" s="1" t="s">
        <v>22</v>
      </c>
      <c r="C348" s="1" t="s">
        <v>34</v>
      </c>
      <c r="D348" s="1" t="s">
        <v>35</v>
      </c>
      <c r="E348" s="1">
        <v>16</v>
      </c>
      <c r="F348" s="1">
        <v>6034</v>
      </c>
      <c r="G348" s="1">
        <v>15</v>
      </c>
      <c r="H348" s="2">
        <v>46037</v>
      </c>
      <c r="I348" s="2">
        <v>46044</v>
      </c>
      <c r="J348" s="1" t="s">
        <v>24</v>
      </c>
      <c r="K348" s="1">
        <v>1347</v>
      </c>
      <c r="L348" s="1" t="str">
        <f t="shared" si="3"/>
        <v>Pri1347</v>
      </c>
      <c r="M348" s="1" t="str">
        <f t="shared" si="4"/>
        <v>Prier</v>
      </c>
      <c r="N348" s="1" t="str">
        <f t="shared" si="5"/>
        <v>rint</v>
      </c>
    </row>
    <row r="349" spans="1:14" x14ac:dyDescent="0.3">
      <c r="A349" s="1" t="s">
        <v>11</v>
      </c>
      <c r="B349" s="1" t="s">
        <v>33</v>
      </c>
      <c r="C349" s="1" t="s">
        <v>13</v>
      </c>
      <c r="D349" s="1" t="s">
        <v>50</v>
      </c>
      <c r="E349" s="1">
        <v>12</v>
      </c>
      <c r="F349" s="1">
        <v>244</v>
      </c>
      <c r="G349" s="1">
        <v>7</v>
      </c>
      <c r="H349" s="2">
        <v>46048</v>
      </c>
      <c r="I349" s="2">
        <v>46053</v>
      </c>
      <c r="J349" s="1" t="s">
        <v>15</v>
      </c>
      <c r="K349" s="1">
        <v>1348</v>
      </c>
      <c r="L349" s="1" t="str">
        <f t="shared" si="3"/>
        <v>Rit1348</v>
      </c>
      <c r="M349" s="1" t="str">
        <f t="shared" si="4"/>
        <v>Marer</v>
      </c>
      <c r="N349" s="1" t="str">
        <f t="shared" si="5"/>
        <v>arke</v>
      </c>
    </row>
    <row r="350" spans="1:14" x14ac:dyDescent="0.3">
      <c r="A350" s="1" t="s">
        <v>40</v>
      </c>
      <c r="B350" s="1" t="s">
        <v>33</v>
      </c>
      <c r="C350" s="1" t="s">
        <v>34</v>
      </c>
      <c r="D350" s="1" t="s">
        <v>35</v>
      </c>
      <c r="E350" s="1">
        <v>20</v>
      </c>
      <c r="F350" s="1">
        <v>62721</v>
      </c>
      <c r="G350" s="1">
        <v>7</v>
      </c>
      <c r="H350" s="2">
        <v>46079</v>
      </c>
      <c r="I350" s="2">
        <v>46083</v>
      </c>
      <c r="J350" s="1" t="s">
        <v>20</v>
      </c>
      <c r="K350" s="1">
        <v>1349</v>
      </c>
      <c r="L350" s="1" t="str">
        <f t="shared" si="3"/>
        <v>Dee1349</v>
      </c>
      <c r="M350" s="1" t="str">
        <f t="shared" si="4"/>
        <v>Prier</v>
      </c>
      <c r="N350" s="1" t="str">
        <f t="shared" si="5"/>
        <v>rint</v>
      </c>
    </row>
    <row r="351" spans="1:14" x14ac:dyDescent="0.3">
      <c r="A351" s="1" t="s">
        <v>26</v>
      </c>
      <c r="B351" s="1" t="s">
        <v>43</v>
      </c>
      <c r="C351" s="1" t="s">
        <v>18</v>
      </c>
      <c r="D351" s="1" t="s">
        <v>28</v>
      </c>
      <c r="E351" s="1">
        <v>16</v>
      </c>
      <c r="F351" s="1">
        <v>11790</v>
      </c>
      <c r="G351" s="1">
        <v>12</v>
      </c>
      <c r="H351" s="2">
        <v>46185</v>
      </c>
      <c r="I351" s="2">
        <v>46190</v>
      </c>
      <c r="J351" s="1" t="s">
        <v>29</v>
      </c>
      <c r="K351" s="1">
        <v>1350</v>
      </c>
      <c r="L351" s="1" t="str">
        <f t="shared" si="3"/>
        <v>Vik1350</v>
      </c>
      <c r="M351" s="1" t="str">
        <f t="shared" si="4"/>
        <v>Chair</v>
      </c>
      <c r="N351" s="1" t="str">
        <f t="shared" si="5"/>
        <v>hair</v>
      </c>
    </row>
    <row r="352" spans="1:14" x14ac:dyDescent="0.3">
      <c r="A352" s="1" t="s">
        <v>42</v>
      </c>
      <c r="B352" s="1" t="s">
        <v>33</v>
      </c>
      <c r="C352" s="1" t="s">
        <v>34</v>
      </c>
      <c r="D352" s="1" t="s">
        <v>45</v>
      </c>
      <c r="E352" s="1">
        <v>12</v>
      </c>
      <c r="F352" s="1">
        <v>1272</v>
      </c>
      <c r="G352" s="1">
        <v>0</v>
      </c>
      <c r="H352" s="2">
        <v>46026</v>
      </c>
      <c r="I352" s="2">
        <v>46029</v>
      </c>
      <c r="J352" s="1" t="s">
        <v>15</v>
      </c>
      <c r="K352" s="1">
        <v>1351</v>
      </c>
      <c r="L352" s="1" t="str">
        <f t="shared" si="3"/>
        <v>Nis1351</v>
      </c>
      <c r="M352" s="1" t="str">
        <f t="shared" si="4"/>
        <v>Monor</v>
      </c>
      <c r="N352" s="1" t="str">
        <f t="shared" si="5"/>
        <v>onit</v>
      </c>
    </row>
    <row r="353" spans="1:14" x14ac:dyDescent="0.3">
      <c r="A353" s="1" t="s">
        <v>54</v>
      </c>
      <c r="B353" s="1" t="s">
        <v>22</v>
      </c>
      <c r="C353" s="1" t="s">
        <v>13</v>
      </c>
      <c r="D353" s="1" t="s">
        <v>14</v>
      </c>
      <c r="E353" s="1">
        <v>12</v>
      </c>
      <c r="F353" s="1">
        <v>203</v>
      </c>
      <c r="G353" s="1">
        <v>5</v>
      </c>
      <c r="H353" s="2">
        <v>46024</v>
      </c>
      <c r="I353" s="2">
        <v>46033</v>
      </c>
      <c r="J353" s="1" t="s">
        <v>15</v>
      </c>
      <c r="K353" s="1">
        <v>1352</v>
      </c>
      <c r="L353" s="1" t="str">
        <f t="shared" si="3"/>
        <v>Man1352</v>
      </c>
      <c r="M353" s="1" t="str">
        <f t="shared" si="4"/>
        <v>Notok</v>
      </c>
      <c r="N353" s="1" t="str">
        <f t="shared" si="5"/>
        <v>oteb</v>
      </c>
    </row>
    <row r="354" spans="1:14" x14ac:dyDescent="0.3">
      <c r="A354" s="1" t="s">
        <v>47</v>
      </c>
      <c r="B354" s="1" t="s">
        <v>43</v>
      </c>
      <c r="C354" s="1" t="s">
        <v>13</v>
      </c>
      <c r="D354" s="1" t="s">
        <v>14</v>
      </c>
      <c r="E354" s="1">
        <v>6</v>
      </c>
      <c r="F354" s="1">
        <v>495</v>
      </c>
      <c r="G354" s="1">
        <v>2</v>
      </c>
      <c r="H354" s="2">
        <v>46194</v>
      </c>
      <c r="I354" s="2">
        <v>46200</v>
      </c>
      <c r="J354" s="1" t="s">
        <v>24</v>
      </c>
      <c r="K354" s="1">
        <v>1353</v>
      </c>
      <c r="L354" s="1" t="str">
        <f t="shared" si="3"/>
        <v>Yas1353</v>
      </c>
      <c r="M354" s="1" t="str">
        <f t="shared" si="4"/>
        <v>Notok</v>
      </c>
      <c r="N354" s="1" t="str">
        <f t="shared" si="5"/>
        <v>oteb</v>
      </c>
    </row>
    <row r="355" spans="1:14" x14ac:dyDescent="0.3">
      <c r="A355" s="1" t="s">
        <v>47</v>
      </c>
      <c r="B355" s="1" t="s">
        <v>43</v>
      </c>
      <c r="C355" s="1" t="s">
        <v>34</v>
      </c>
      <c r="D355" s="1" t="s">
        <v>35</v>
      </c>
      <c r="E355" s="1">
        <v>15</v>
      </c>
      <c r="F355" s="1">
        <v>14927</v>
      </c>
      <c r="G355" s="1">
        <v>15</v>
      </c>
      <c r="H355" s="2">
        <v>46118</v>
      </c>
      <c r="I355" s="2">
        <v>46120</v>
      </c>
      <c r="J355" s="1" t="s">
        <v>51</v>
      </c>
      <c r="K355" s="1">
        <v>1354</v>
      </c>
      <c r="L355" s="1" t="str">
        <f t="shared" si="3"/>
        <v>Yas1354</v>
      </c>
      <c r="M355" s="1" t="str">
        <f t="shared" si="4"/>
        <v>Prier</v>
      </c>
      <c r="N355" s="1" t="str">
        <f t="shared" si="5"/>
        <v>rint</v>
      </c>
    </row>
    <row r="356" spans="1:14" x14ac:dyDescent="0.3">
      <c r="A356" s="1" t="s">
        <v>27</v>
      </c>
      <c r="B356" s="1" t="s">
        <v>12</v>
      </c>
      <c r="C356" s="1" t="s">
        <v>34</v>
      </c>
      <c r="D356" s="1" t="s">
        <v>60</v>
      </c>
      <c r="E356" s="1">
        <v>18</v>
      </c>
      <c r="F356" s="1">
        <v>35997</v>
      </c>
      <c r="G356" s="1">
        <v>2</v>
      </c>
      <c r="H356" s="2">
        <v>46024</v>
      </c>
      <c r="I356" s="2">
        <v>46031</v>
      </c>
      <c r="J356" s="1" t="s">
        <v>51</v>
      </c>
      <c r="K356" s="1">
        <v>1355</v>
      </c>
      <c r="L356" s="1" t="str">
        <f t="shared" si="3"/>
        <v>Arj1355</v>
      </c>
      <c r="M356" s="1" t="str">
        <f t="shared" si="4"/>
        <v>Lapop</v>
      </c>
      <c r="N356" s="1" t="str">
        <f t="shared" si="5"/>
        <v>apto</v>
      </c>
    </row>
    <row r="357" spans="1:14" x14ac:dyDescent="0.3">
      <c r="A357" s="1" t="s">
        <v>26</v>
      </c>
      <c r="B357" s="1" t="s">
        <v>38</v>
      </c>
      <c r="C357" s="1" t="s">
        <v>34</v>
      </c>
      <c r="D357" s="1" t="s">
        <v>60</v>
      </c>
      <c r="E357" s="1">
        <v>16</v>
      </c>
      <c r="F357" s="1">
        <v>53457</v>
      </c>
      <c r="G357" s="1">
        <v>10</v>
      </c>
      <c r="H357" s="2">
        <v>46201</v>
      </c>
      <c r="I357" s="2">
        <v>46204</v>
      </c>
      <c r="J357" s="1" t="s">
        <v>15</v>
      </c>
      <c r="K357" s="1">
        <v>1356</v>
      </c>
      <c r="L357" s="1" t="str">
        <f t="shared" si="3"/>
        <v>Vik1356</v>
      </c>
      <c r="M357" s="1" t="str">
        <f t="shared" si="4"/>
        <v>Lapop</v>
      </c>
      <c r="N357" s="1" t="str">
        <f t="shared" si="5"/>
        <v>apto</v>
      </c>
    </row>
    <row r="358" spans="1:14" x14ac:dyDescent="0.3">
      <c r="A358" s="1" t="s">
        <v>59</v>
      </c>
      <c r="B358" s="1" t="s">
        <v>25</v>
      </c>
      <c r="C358" s="1" t="s">
        <v>13</v>
      </c>
      <c r="D358" s="1" t="s">
        <v>37</v>
      </c>
      <c r="E358" s="1">
        <v>6</v>
      </c>
      <c r="F358" s="1">
        <v>365</v>
      </c>
      <c r="G358" s="1">
        <v>7</v>
      </c>
      <c r="H358" s="2">
        <v>46133</v>
      </c>
      <c r="I358" s="2">
        <v>46140</v>
      </c>
      <c r="J358" s="1" t="s">
        <v>51</v>
      </c>
      <c r="K358" s="1">
        <v>1357</v>
      </c>
      <c r="L358" s="1" t="str">
        <f t="shared" si="3"/>
        <v>Ani1357</v>
      </c>
      <c r="M358" s="1" t="str">
        <f t="shared" si="4"/>
        <v>Penck</v>
      </c>
      <c r="N358" s="1" t="str">
        <f t="shared" si="5"/>
        <v>en P</v>
      </c>
    </row>
    <row r="359" spans="1:14" x14ac:dyDescent="0.3">
      <c r="A359" s="1" t="s">
        <v>40</v>
      </c>
      <c r="B359" s="1" t="s">
        <v>38</v>
      </c>
      <c r="C359" s="1" t="s">
        <v>18</v>
      </c>
      <c r="D359" s="1" t="s">
        <v>19</v>
      </c>
      <c r="E359" s="1">
        <v>7</v>
      </c>
      <c r="F359" s="1">
        <v>6618</v>
      </c>
      <c r="G359" s="1">
        <v>0</v>
      </c>
      <c r="H359" s="2">
        <v>46127</v>
      </c>
      <c r="I359" s="2">
        <v>46129</v>
      </c>
      <c r="J359" s="1" t="s">
        <v>20</v>
      </c>
      <c r="K359" s="1">
        <v>1358</v>
      </c>
      <c r="L359" s="1" t="str">
        <f t="shared" si="3"/>
        <v>Dee1358</v>
      </c>
      <c r="M359" s="1" t="str">
        <f t="shared" si="4"/>
        <v>Dessk</v>
      </c>
      <c r="N359" s="1" t="str">
        <f t="shared" si="5"/>
        <v>esk</v>
      </c>
    </row>
    <row r="360" spans="1:14" x14ac:dyDescent="0.3">
      <c r="A360" s="1" t="s">
        <v>54</v>
      </c>
      <c r="B360" s="1" t="s">
        <v>12</v>
      </c>
      <c r="C360" s="1" t="s">
        <v>34</v>
      </c>
      <c r="D360" s="1" t="s">
        <v>61</v>
      </c>
      <c r="E360" s="1">
        <v>9</v>
      </c>
      <c r="F360" s="1">
        <v>38179</v>
      </c>
      <c r="G360" s="1">
        <v>0</v>
      </c>
      <c r="H360" s="2">
        <v>46096</v>
      </c>
      <c r="I360" s="2">
        <v>46099</v>
      </c>
      <c r="J360" s="1" t="s">
        <v>15</v>
      </c>
      <c r="K360" s="1">
        <v>1359</v>
      </c>
      <c r="L360" s="1" t="str">
        <f t="shared" si="3"/>
        <v>Man1359</v>
      </c>
      <c r="M360" s="1" t="str">
        <f t="shared" si="4"/>
        <v>Mouse</v>
      </c>
      <c r="N360" s="1" t="str">
        <f t="shared" si="5"/>
        <v>ouse</v>
      </c>
    </row>
    <row r="361" spans="1:14" x14ac:dyDescent="0.3">
      <c r="A361" s="1" t="s">
        <v>11</v>
      </c>
      <c r="B361" s="1" t="s">
        <v>43</v>
      </c>
      <c r="C361" s="1" t="s">
        <v>18</v>
      </c>
      <c r="D361" s="1" t="s">
        <v>23</v>
      </c>
      <c r="E361" s="1">
        <v>19</v>
      </c>
      <c r="F361" s="1">
        <v>6681</v>
      </c>
      <c r="G361" s="1">
        <v>2</v>
      </c>
      <c r="H361" s="2">
        <v>46146</v>
      </c>
      <c r="I361" s="2">
        <v>46150</v>
      </c>
      <c r="J361" s="1" t="s">
        <v>15</v>
      </c>
      <c r="K361" s="1">
        <v>1360</v>
      </c>
      <c r="L361" s="1" t="str">
        <f t="shared" si="3"/>
        <v>Rit1360</v>
      </c>
      <c r="M361" s="1" t="str">
        <f t="shared" si="4"/>
        <v>Table</v>
      </c>
      <c r="N361" s="1" t="str">
        <f t="shared" si="5"/>
        <v>able</v>
      </c>
    </row>
    <row r="362" spans="1:14" x14ac:dyDescent="0.3">
      <c r="A362" s="1" t="s">
        <v>42</v>
      </c>
      <c r="B362" s="1" t="s">
        <v>17</v>
      </c>
      <c r="C362" s="1" t="s">
        <v>18</v>
      </c>
      <c r="D362" s="1" t="s">
        <v>23</v>
      </c>
      <c r="E362" s="1">
        <v>2</v>
      </c>
      <c r="F362" s="1">
        <v>1822</v>
      </c>
      <c r="G362" s="1">
        <v>5</v>
      </c>
      <c r="H362" s="2">
        <v>46141</v>
      </c>
      <c r="I362" s="2">
        <v>46145</v>
      </c>
      <c r="J362" s="1" t="s">
        <v>20</v>
      </c>
      <c r="K362" s="1">
        <v>1361</v>
      </c>
      <c r="L362" s="1" t="str">
        <f t="shared" si="3"/>
        <v>Nis1361</v>
      </c>
      <c r="M362" s="1" t="str">
        <f t="shared" si="4"/>
        <v>Table</v>
      </c>
      <c r="N362" s="1" t="str">
        <f t="shared" si="5"/>
        <v>able</v>
      </c>
    </row>
    <row r="363" spans="1:14" x14ac:dyDescent="0.3">
      <c r="A363" s="1" t="s">
        <v>16</v>
      </c>
      <c r="B363" s="1" t="s">
        <v>12</v>
      </c>
      <c r="C363" s="1" t="s">
        <v>18</v>
      </c>
      <c r="D363" s="1" t="s">
        <v>28</v>
      </c>
      <c r="E363" s="1">
        <v>1</v>
      </c>
      <c r="F363" s="1">
        <v>10474</v>
      </c>
      <c r="G363" s="1">
        <v>0</v>
      </c>
      <c r="H363" s="2">
        <v>46094</v>
      </c>
      <c r="I363" s="2">
        <v>46096</v>
      </c>
      <c r="J363" s="1" t="s">
        <v>29</v>
      </c>
      <c r="K363" s="1">
        <v>1362</v>
      </c>
      <c r="L363" s="1" t="str">
        <f t="shared" si="3"/>
        <v>Poo1362</v>
      </c>
      <c r="M363" s="1" t="str">
        <f t="shared" si="4"/>
        <v>Chair</v>
      </c>
      <c r="N363" s="1" t="str">
        <f t="shared" si="5"/>
        <v>hair</v>
      </c>
    </row>
    <row r="364" spans="1:14" x14ac:dyDescent="0.3">
      <c r="A364" s="1" t="s">
        <v>27</v>
      </c>
      <c r="B364" s="1" t="s">
        <v>25</v>
      </c>
      <c r="C364" s="1" t="s">
        <v>34</v>
      </c>
      <c r="D364" s="1" t="s">
        <v>35</v>
      </c>
      <c r="E364" s="1">
        <v>7</v>
      </c>
      <c r="F364" s="1">
        <v>45381</v>
      </c>
      <c r="G364" s="1">
        <v>0</v>
      </c>
      <c r="H364" s="2">
        <v>46122</v>
      </c>
      <c r="I364" s="2">
        <v>46128</v>
      </c>
      <c r="J364" s="1" t="s">
        <v>15</v>
      </c>
      <c r="K364" s="1">
        <v>1363</v>
      </c>
      <c r="L364" s="1" t="str">
        <f t="shared" si="3"/>
        <v>Arj1363</v>
      </c>
      <c r="M364" s="1" t="str">
        <f t="shared" si="4"/>
        <v>Prier</v>
      </c>
      <c r="N364" s="1" t="str">
        <f t="shared" si="5"/>
        <v>rint</v>
      </c>
    </row>
    <row r="365" spans="1:14" x14ac:dyDescent="0.3">
      <c r="A365" s="1" t="s">
        <v>30</v>
      </c>
      <c r="B365" s="1" t="s">
        <v>22</v>
      </c>
      <c r="C365" s="1" t="s">
        <v>18</v>
      </c>
      <c r="D365" s="1" t="s">
        <v>56</v>
      </c>
      <c r="E365" s="1">
        <v>16</v>
      </c>
      <c r="F365" s="1">
        <v>1744</v>
      </c>
      <c r="G365" s="1">
        <v>15</v>
      </c>
      <c r="H365" s="2">
        <v>46031</v>
      </c>
      <c r="I365" s="2">
        <v>46033</v>
      </c>
      <c r="J365" s="1" t="s">
        <v>51</v>
      </c>
      <c r="K365" s="1">
        <v>1364</v>
      </c>
      <c r="L365" s="1" t="str">
        <f t="shared" si="3"/>
        <v>Neh1364</v>
      </c>
      <c r="M365" s="1" t="str">
        <f t="shared" si="4"/>
        <v>Cabet</v>
      </c>
      <c r="N365" s="1" t="str">
        <f t="shared" si="5"/>
        <v>abin</v>
      </c>
    </row>
    <row r="366" spans="1:14" x14ac:dyDescent="0.3">
      <c r="A366" s="1" t="s">
        <v>46</v>
      </c>
      <c r="B366" s="1" t="s">
        <v>33</v>
      </c>
      <c r="C366" s="1" t="s">
        <v>13</v>
      </c>
      <c r="D366" s="1" t="s">
        <v>50</v>
      </c>
      <c r="E366" s="1">
        <v>17</v>
      </c>
      <c r="F366" s="1">
        <v>119</v>
      </c>
      <c r="G366" s="1">
        <v>7</v>
      </c>
      <c r="H366" s="2">
        <v>46070</v>
      </c>
      <c r="I366" s="2">
        <v>46072</v>
      </c>
      <c r="J366" s="1" t="s">
        <v>20</v>
      </c>
      <c r="K366" s="1">
        <v>1365</v>
      </c>
      <c r="L366" s="1" t="str">
        <f t="shared" si="3"/>
        <v>Kir1365</v>
      </c>
      <c r="M366" s="1" t="str">
        <f t="shared" si="4"/>
        <v>Marer</v>
      </c>
      <c r="N366" s="1" t="str">
        <f t="shared" si="5"/>
        <v>arke</v>
      </c>
    </row>
    <row r="367" spans="1:14" x14ac:dyDescent="0.3">
      <c r="A367" s="1" t="s">
        <v>26</v>
      </c>
      <c r="B367" s="1" t="s">
        <v>17</v>
      </c>
      <c r="C367" s="1" t="s">
        <v>34</v>
      </c>
      <c r="D367" s="1" t="s">
        <v>61</v>
      </c>
      <c r="E367" s="1">
        <v>20</v>
      </c>
      <c r="F367" s="1">
        <v>44312</v>
      </c>
      <c r="G367" s="1">
        <v>10</v>
      </c>
      <c r="H367" s="2">
        <v>46047</v>
      </c>
      <c r="I367" s="2">
        <v>46054</v>
      </c>
      <c r="J367" s="1" t="s">
        <v>29</v>
      </c>
      <c r="K367" s="1">
        <v>1366</v>
      </c>
      <c r="L367" s="1" t="str">
        <f t="shared" si="3"/>
        <v>Vik1366</v>
      </c>
      <c r="M367" s="1" t="str">
        <f t="shared" si="4"/>
        <v>Mouse</v>
      </c>
      <c r="N367" s="1" t="str">
        <f t="shared" si="5"/>
        <v>ouse</v>
      </c>
    </row>
    <row r="368" spans="1:14" x14ac:dyDescent="0.3">
      <c r="A368" s="1" t="s">
        <v>54</v>
      </c>
      <c r="B368" s="1" t="s">
        <v>25</v>
      </c>
      <c r="C368" s="1" t="s">
        <v>13</v>
      </c>
      <c r="D368" s="1" t="s">
        <v>53</v>
      </c>
      <c r="E368" s="1">
        <v>1</v>
      </c>
      <c r="F368" s="1">
        <v>371</v>
      </c>
      <c r="G368" s="1">
        <v>5</v>
      </c>
      <c r="H368" s="2">
        <v>46158</v>
      </c>
      <c r="I368" s="2">
        <v>46168</v>
      </c>
      <c r="J368" s="1" t="s">
        <v>29</v>
      </c>
      <c r="K368" s="1">
        <v>1367</v>
      </c>
      <c r="L368" s="1" t="str">
        <f t="shared" si="3"/>
        <v>Man1367</v>
      </c>
      <c r="M368" s="1" t="str">
        <f t="shared" si="4"/>
        <v>Diary</v>
      </c>
      <c r="N368" s="1" t="str">
        <f t="shared" si="5"/>
        <v>iary</v>
      </c>
    </row>
    <row r="369" spans="1:14" x14ac:dyDescent="0.3">
      <c r="A369" s="1" t="s">
        <v>55</v>
      </c>
      <c r="B369" s="1" t="s">
        <v>38</v>
      </c>
      <c r="C369" s="1" t="s">
        <v>13</v>
      </c>
      <c r="D369" s="1" t="s">
        <v>36</v>
      </c>
      <c r="E369" s="1">
        <v>9</v>
      </c>
      <c r="F369" s="1">
        <v>115</v>
      </c>
      <c r="G369" s="1">
        <v>0</v>
      </c>
      <c r="H369" s="2">
        <v>46036</v>
      </c>
      <c r="I369" s="2">
        <v>46045</v>
      </c>
      <c r="J369" s="1" t="s">
        <v>24</v>
      </c>
      <c r="K369" s="1">
        <v>1368</v>
      </c>
      <c r="L369" s="1" t="str">
        <f t="shared" si="3"/>
        <v>Sne1368</v>
      </c>
      <c r="M369" s="1" t="str">
        <f t="shared" si="4"/>
        <v>Staer</v>
      </c>
      <c r="N369" s="1" t="str">
        <f t="shared" si="5"/>
        <v>tapl</v>
      </c>
    </row>
    <row r="370" spans="1:14" x14ac:dyDescent="0.3">
      <c r="A370" s="1" t="s">
        <v>57</v>
      </c>
      <c r="B370" s="1" t="s">
        <v>25</v>
      </c>
      <c r="C370" s="1" t="s">
        <v>18</v>
      </c>
      <c r="D370" s="1" t="s">
        <v>19</v>
      </c>
      <c r="E370" s="1">
        <v>19</v>
      </c>
      <c r="F370" s="1">
        <v>5840</v>
      </c>
      <c r="G370" s="1">
        <v>5</v>
      </c>
      <c r="H370" s="2">
        <v>46062</v>
      </c>
      <c r="I370" s="2">
        <v>46067</v>
      </c>
      <c r="J370" s="1" t="s">
        <v>15</v>
      </c>
      <c r="K370" s="1">
        <v>1369</v>
      </c>
      <c r="L370" s="1" t="str">
        <f t="shared" si="3"/>
        <v>Sar1369</v>
      </c>
      <c r="M370" s="1" t="str">
        <f t="shared" si="4"/>
        <v>Dessk</v>
      </c>
      <c r="N370" s="1" t="str">
        <f t="shared" si="5"/>
        <v>esk</v>
      </c>
    </row>
    <row r="371" spans="1:14" x14ac:dyDescent="0.3">
      <c r="A371" s="1" t="s">
        <v>59</v>
      </c>
      <c r="B371" s="1" t="s">
        <v>38</v>
      </c>
      <c r="C371" s="1" t="s">
        <v>13</v>
      </c>
      <c r="D371" s="1" t="s">
        <v>53</v>
      </c>
      <c r="E371" s="1">
        <v>13</v>
      </c>
      <c r="F371" s="1">
        <v>337</v>
      </c>
      <c r="G371" s="1">
        <v>7</v>
      </c>
      <c r="H371" s="2">
        <v>46184</v>
      </c>
      <c r="I371" s="2">
        <v>46188</v>
      </c>
      <c r="J371" s="1" t="s">
        <v>15</v>
      </c>
      <c r="K371" s="1">
        <v>1370</v>
      </c>
      <c r="L371" s="1" t="str">
        <f t="shared" si="3"/>
        <v>Ani1370</v>
      </c>
      <c r="M371" s="1" t="str">
        <f t="shared" si="4"/>
        <v>Diary</v>
      </c>
      <c r="N371" s="1" t="str">
        <f t="shared" si="5"/>
        <v>iary</v>
      </c>
    </row>
    <row r="372" spans="1:14" x14ac:dyDescent="0.3">
      <c r="A372" s="1" t="s">
        <v>48</v>
      </c>
      <c r="B372" s="1" t="s">
        <v>38</v>
      </c>
      <c r="C372" s="1" t="s">
        <v>18</v>
      </c>
      <c r="D372" s="1" t="s">
        <v>19</v>
      </c>
      <c r="E372" s="1">
        <v>19</v>
      </c>
      <c r="F372" s="1">
        <v>1087</v>
      </c>
      <c r="G372" s="1">
        <v>15</v>
      </c>
      <c r="H372" s="2">
        <v>46072</v>
      </c>
      <c r="I372" s="2">
        <v>46082</v>
      </c>
      <c r="J372" s="1" t="s">
        <v>20</v>
      </c>
      <c r="K372" s="1">
        <v>1371</v>
      </c>
      <c r="L372" s="1" t="str">
        <f t="shared" si="3"/>
        <v>Nit1371</v>
      </c>
      <c r="M372" s="1" t="str">
        <f t="shared" si="4"/>
        <v>Dessk</v>
      </c>
      <c r="N372" s="1" t="str">
        <f t="shared" si="5"/>
        <v>esk</v>
      </c>
    </row>
    <row r="373" spans="1:14" x14ac:dyDescent="0.3">
      <c r="A373" s="1" t="s">
        <v>48</v>
      </c>
      <c r="B373" s="1" t="s">
        <v>17</v>
      </c>
      <c r="C373" s="1" t="s">
        <v>34</v>
      </c>
      <c r="D373" s="1" t="s">
        <v>39</v>
      </c>
      <c r="E373" s="1">
        <v>9</v>
      </c>
      <c r="F373" s="1">
        <v>9551</v>
      </c>
      <c r="G373" s="1">
        <v>10</v>
      </c>
      <c r="H373" s="2">
        <v>46161</v>
      </c>
      <c r="I373" s="2">
        <v>46168</v>
      </c>
      <c r="J373" s="1" t="s">
        <v>15</v>
      </c>
      <c r="K373" s="1">
        <v>1372</v>
      </c>
      <c r="L373" s="1" t="str">
        <f t="shared" si="3"/>
        <v>Nit1372</v>
      </c>
      <c r="M373" s="1" t="str">
        <f t="shared" si="4"/>
        <v>Keyrd</v>
      </c>
      <c r="N373" s="1" t="str">
        <f t="shared" si="5"/>
        <v>eybo</v>
      </c>
    </row>
    <row r="374" spans="1:14" x14ac:dyDescent="0.3">
      <c r="A374" s="1" t="s">
        <v>54</v>
      </c>
      <c r="B374" s="1" t="s">
        <v>25</v>
      </c>
      <c r="C374" s="1" t="s">
        <v>34</v>
      </c>
      <c r="D374" s="1" t="s">
        <v>60</v>
      </c>
      <c r="E374" s="1">
        <v>11</v>
      </c>
      <c r="F374" s="1">
        <v>47930</v>
      </c>
      <c r="G374" s="1">
        <v>12</v>
      </c>
      <c r="H374" s="2">
        <v>46191</v>
      </c>
      <c r="I374" s="2">
        <v>46201</v>
      </c>
      <c r="J374" s="1" t="s">
        <v>20</v>
      </c>
      <c r="K374" s="1">
        <v>1373</v>
      </c>
      <c r="L374" s="1" t="str">
        <f t="shared" si="3"/>
        <v>Man1373</v>
      </c>
      <c r="M374" s="1" t="str">
        <f t="shared" si="4"/>
        <v>Lapop</v>
      </c>
      <c r="N374" s="1" t="str">
        <f t="shared" si="5"/>
        <v>apto</v>
      </c>
    </row>
    <row r="375" spans="1:14" x14ac:dyDescent="0.3">
      <c r="A375" s="1" t="s">
        <v>57</v>
      </c>
      <c r="B375" s="1" t="s">
        <v>33</v>
      </c>
      <c r="C375" s="1" t="s">
        <v>34</v>
      </c>
      <c r="D375" s="1" t="s">
        <v>35</v>
      </c>
      <c r="E375" s="1">
        <v>12</v>
      </c>
      <c r="F375" s="1">
        <v>66052</v>
      </c>
      <c r="G375" s="1">
        <v>2</v>
      </c>
      <c r="H375" s="2">
        <v>46063</v>
      </c>
      <c r="I375" s="2">
        <v>46066</v>
      </c>
      <c r="J375" s="1" t="s">
        <v>51</v>
      </c>
      <c r="K375" s="1">
        <v>1374</v>
      </c>
      <c r="L375" s="1" t="str">
        <f t="shared" si="3"/>
        <v>Sar1374</v>
      </c>
      <c r="M375" s="1" t="str">
        <f t="shared" si="4"/>
        <v>Prier</v>
      </c>
      <c r="N375" s="1" t="str">
        <f t="shared" si="5"/>
        <v>rint</v>
      </c>
    </row>
    <row r="376" spans="1:14" x14ac:dyDescent="0.3">
      <c r="A376" s="1" t="s">
        <v>46</v>
      </c>
      <c r="B376" s="1" t="s">
        <v>43</v>
      </c>
      <c r="C376" s="1" t="s">
        <v>34</v>
      </c>
      <c r="D376" s="1" t="s">
        <v>45</v>
      </c>
      <c r="E376" s="1">
        <v>20</v>
      </c>
      <c r="F376" s="1">
        <v>56766</v>
      </c>
      <c r="G376" s="1">
        <v>0</v>
      </c>
      <c r="H376" s="2">
        <v>46052</v>
      </c>
      <c r="I376" s="2">
        <v>46061</v>
      </c>
      <c r="J376" s="1" t="s">
        <v>24</v>
      </c>
      <c r="K376" s="1">
        <v>1375</v>
      </c>
      <c r="L376" s="1" t="str">
        <f t="shared" si="3"/>
        <v>Kir1375</v>
      </c>
      <c r="M376" s="1" t="str">
        <f t="shared" si="4"/>
        <v>Monor</v>
      </c>
      <c r="N376" s="1" t="str">
        <f t="shared" si="5"/>
        <v>onit</v>
      </c>
    </row>
    <row r="377" spans="1:14" x14ac:dyDescent="0.3">
      <c r="A377" s="1" t="s">
        <v>52</v>
      </c>
      <c r="B377" s="1" t="s">
        <v>31</v>
      </c>
      <c r="C377" s="1" t="s">
        <v>13</v>
      </c>
      <c r="D377" s="1" t="s">
        <v>50</v>
      </c>
      <c r="E377" s="1">
        <v>20</v>
      </c>
      <c r="F377" s="1">
        <v>429</v>
      </c>
      <c r="G377" s="1">
        <v>5</v>
      </c>
      <c r="H377" s="2">
        <v>46178</v>
      </c>
      <c r="I377" s="2">
        <v>46184</v>
      </c>
      <c r="J377" s="1" t="s">
        <v>20</v>
      </c>
      <c r="K377" s="1">
        <v>1376</v>
      </c>
      <c r="L377" s="1" t="str">
        <f t="shared" si="3"/>
        <v>Kom1376</v>
      </c>
      <c r="M377" s="1" t="str">
        <f t="shared" si="4"/>
        <v>Marer</v>
      </c>
      <c r="N377" s="1" t="str">
        <f t="shared" si="5"/>
        <v>arke</v>
      </c>
    </row>
    <row r="378" spans="1:14" x14ac:dyDescent="0.3">
      <c r="A378" s="1" t="s">
        <v>32</v>
      </c>
      <c r="B378" s="1" t="s">
        <v>38</v>
      </c>
      <c r="C378" s="1" t="s">
        <v>18</v>
      </c>
      <c r="D378" s="1" t="s">
        <v>19</v>
      </c>
      <c r="E378" s="1">
        <v>3</v>
      </c>
      <c r="F378" s="1">
        <v>5480</v>
      </c>
      <c r="G378" s="1">
        <v>12</v>
      </c>
      <c r="H378" s="2">
        <v>46105</v>
      </c>
      <c r="I378" s="2">
        <v>46111</v>
      </c>
      <c r="J378" s="1" t="s">
        <v>24</v>
      </c>
      <c r="K378" s="1">
        <v>1377</v>
      </c>
      <c r="L378" s="1" t="str">
        <f t="shared" si="3"/>
        <v>Ash1377</v>
      </c>
      <c r="M378" s="1" t="str">
        <f t="shared" si="4"/>
        <v>Dessk</v>
      </c>
      <c r="N378" s="1" t="str">
        <f t="shared" si="5"/>
        <v>esk</v>
      </c>
    </row>
    <row r="379" spans="1:14" x14ac:dyDescent="0.3">
      <c r="A379" s="1" t="s">
        <v>55</v>
      </c>
      <c r="B379" s="1" t="s">
        <v>22</v>
      </c>
      <c r="C379" s="1" t="s">
        <v>34</v>
      </c>
      <c r="D379" s="1" t="s">
        <v>45</v>
      </c>
      <c r="E379" s="1">
        <v>15</v>
      </c>
      <c r="F379" s="1">
        <v>22693</v>
      </c>
      <c r="G379" s="1">
        <v>12</v>
      </c>
      <c r="H379" s="2">
        <v>46074</v>
      </c>
      <c r="I379" s="2">
        <v>46080</v>
      </c>
      <c r="J379" s="1" t="s">
        <v>51</v>
      </c>
      <c r="K379" s="1">
        <v>1378</v>
      </c>
      <c r="L379" s="1" t="str">
        <f t="shared" si="3"/>
        <v>Sne1378</v>
      </c>
      <c r="M379" s="1" t="str">
        <f t="shared" si="4"/>
        <v>Monor</v>
      </c>
      <c r="N379" s="1" t="str">
        <f t="shared" si="5"/>
        <v>onit</v>
      </c>
    </row>
    <row r="380" spans="1:14" x14ac:dyDescent="0.3">
      <c r="A380" s="1" t="s">
        <v>47</v>
      </c>
      <c r="B380" s="1" t="s">
        <v>17</v>
      </c>
      <c r="C380" s="1" t="s">
        <v>13</v>
      </c>
      <c r="D380" s="1" t="s">
        <v>14</v>
      </c>
      <c r="E380" s="1">
        <v>11</v>
      </c>
      <c r="F380" s="1">
        <v>136</v>
      </c>
      <c r="G380" s="1">
        <v>15</v>
      </c>
      <c r="H380" s="2">
        <v>46106</v>
      </c>
      <c r="I380" s="2">
        <v>46107</v>
      </c>
      <c r="J380" s="1" t="s">
        <v>20</v>
      </c>
      <c r="K380" s="1">
        <v>1379</v>
      </c>
      <c r="L380" s="1" t="str">
        <f t="shared" si="3"/>
        <v>Yas1379</v>
      </c>
      <c r="M380" s="1" t="str">
        <f t="shared" si="4"/>
        <v>Notok</v>
      </c>
      <c r="N380" s="1" t="str">
        <f t="shared" si="5"/>
        <v>oteb</v>
      </c>
    </row>
    <row r="381" spans="1:14" x14ac:dyDescent="0.3">
      <c r="A381" s="1" t="s">
        <v>52</v>
      </c>
      <c r="B381" s="1" t="s">
        <v>43</v>
      </c>
      <c r="C381" s="1" t="s">
        <v>13</v>
      </c>
      <c r="D381" s="1" t="s">
        <v>53</v>
      </c>
      <c r="E381" s="1">
        <v>3</v>
      </c>
      <c r="F381" s="1">
        <v>412</v>
      </c>
      <c r="G381" s="1">
        <v>7</v>
      </c>
      <c r="H381" s="2">
        <v>46128</v>
      </c>
      <c r="I381" s="2">
        <v>46138</v>
      </c>
      <c r="J381" s="1" t="s">
        <v>24</v>
      </c>
      <c r="K381" s="1">
        <v>1380</v>
      </c>
      <c r="L381" s="1" t="str">
        <f t="shared" si="3"/>
        <v>Kom1380</v>
      </c>
      <c r="M381" s="1" t="str">
        <f t="shared" si="4"/>
        <v>Diary</v>
      </c>
      <c r="N381" s="1" t="str">
        <f t="shared" si="5"/>
        <v>iary</v>
      </c>
    </row>
    <row r="382" spans="1:14" x14ac:dyDescent="0.3">
      <c r="A382" s="1" t="s">
        <v>55</v>
      </c>
      <c r="B382" s="1" t="s">
        <v>33</v>
      </c>
      <c r="C382" s="1" t="s">
        <v>18</v>
      </c>
      <c r="D382" s="1" t="s">
        <v>28</v>
      </c>
      <c r="E382" s="1">
        <v>5</v>
      </c>
      <c r="F382" s="1">
        <v>7484</v>
      </c>
      <c r="G382" s="1">
        <v>2</v>
      </c>
      <c r="H382" s="2">
        <v>46089</v>
      </c>
      <c r="I382" s="2">
        <v>46093</v>
      </c>
      <c r="J382" s="1" t="s">
        <v>20</v>
      </c>
      <c r="K382" s="1">
        <v>1381</v>
      </c>
      <c r="L382" s="1" t="str">
        <f t="shared" si="3"/>
        <v>Sne1381</v>
      </c>
      <c r="M382" s="1" t="str">
        <f t="shared" si="4"/>
        <v>Chair</v>
      </c>
      <c r="N382" s="1" t="str">
        <f t="shared" si="5"/>
        <v>hair</v>
      </c>
    </row>
    <row r="383" spans="1:14" x14ac:dyDescent="0.3">
      <c r="A383" s="1" t="s">
        <v>49</v>
      </c>
      <c r="B383" s="1" t="s">
        <v>33</v>
      </c>
      <c r="C383" s="1" t="s">
        <v>34</v>
      </c>
      <c r="D383" s="1" t="s">
        <v>60</v>
      </c>
      <c r="E383" s="1">
        <v>11</v>
      </c>
      <c r="F383" s="1">
        <v>36198</v>
      </c>
      <c r="G383" s="1">
        <v>0</v>
      </c>
      <c r="H383" s="2">
        <v>46130</v>
      </c>
      <c r="I383" s="2">
        <v>46134</v>
      </c>
      <c r="J383" s="1" t="s">
        <v>15</v>
      </c>
      <c r="K383" s="1">
        <v>1382</v>
      </c>
      <c r="L383" s="1" t="str">
        <f t="shared" si="3"/>
        <v>Aja1382</v>
      </c>
      <c r="M383" s="1" t="str">
        <f t="shared" si="4"/>
        <v>Lapop</v>
      </c>
      <c r="N383" s="1" t="str">
        <f t="shared" si="5"/>
        <v>apto</v>
      </c>
    </row>
    <row r="384" spans="1:14" x14ac:dyDescent="0.3">
      <c r="A384" s="1" t="s">
        <v>32</v>
      </c>
      <c r="B384" s="1" t="s">
        <v>12</v>
      </c>
      <c r="C384" s="1" t="s">
        <v>13</v>
      </c>
      <c r="D384" s="1" t="s">
        <v>53</v>
      </c>
      <c r="E384" s="1">
        <v>14</v>
      </c>
      <c r="F384" s="1">
        <v>334</v>
      </c>
      <c r="G384" s="1">
        <v>10</v>
      </c>
      <c r="H384" s="2">
        <v>46196</v>
      </c>
      <c r="I384" s="2">
        <v>46203</v>
      </c>
      <c r="J384" s="1" t="s">
        <v>15</v>
      </c>
      <c r="K384" s="1">
        <v>1383</v>
      </c>
      <c r="L384" s="1" t="str">
        <f t="shared" si="3"/>
        <v>Ash1383</v>
      </c>
      <c r="M384" s="1" t="str">
        <f t="shared" si="4"/>
        <v>Diary</v>
      </c>
      <c r="N384" s="1" t="str">
        <f t="shared" si="5"/>
        <v>iary</v>
      </c>
    </row>
    <row r="385" spans="1:14" x14ac:dyDescent="0.3">
      <c r="A385" s="1" t="s">
        <v>59</v>
      </c>
      <c r="B385" s="1" t="s">
        <v>12</v>
      </c>
      <c r="C385" s="1" t="s">
        <v>34</v>
      </c>
      <c r="D385" s="1" t="s">
        <v>39</v>
      </c>
      <c r="E385" s="1">
        <v>15</v>
      </c>
      <c r="F385" s="1">
        <v>38116</v>
      </c>
      <c r="G385" s="1">
        <v>0</v>
      </c>
      <c r="H385" s="2">
        <v>46074</v>
      </c>
      <c r="I385" s="2">
        <v>46078</v>
      </c>
      <c r="J385" s="1" t="s">
        <v>29</v>
      </c>
      <c r="K385" s="1">
        <v>1384</v>
      </c>
      <c r="L385" s="1" t="str">
        <f t="shared" si="3"/>
        <v>Ani1384</v>
      </c>
      <c r="M385" s="1" t="str">
        <f t="shared" si="4"/>
        <v>Keyrd</v>
      </c>
      <c r="N385" s="1" t="str">
        <f t="shared" si="5"/>
        <v>eybo</v>
      </c>
    </row>
    <row r="386" spans="1:14" x14ac:dyDescent="0.3">
      <c r="A386" s="1" t="s">
        <v>26</v>
      </c>
      <c r="B386" s="1" t="s">
        <v>33</v>
      </c>
      <c r="C386" s="1" t="s">
        <v>34</v>
      </c>
      <c r="D386" s="1" t="s">
        <v>39</v>
      </c>
      <c r="E386" s="1">
        <v>12</v>
      </c>
      <c r="F386" s="1">
        <v>61360</v>
      </c>
      <c r="G386" s="1">
        <v>10</v>
      </c>
      <c r="H386" s="2">
        <v>46048</v>
      </c>
      <c r="I386" s="2">
        <v>46053</v>
      </c>
      <c r="J386" s="1" t="s">
        <v>51</v>
      </c>
      <c r="K386" s="1">
        <v>1385</v>
      </c>
      <c r="L386" s="1" t="str">
        <f t="shared" si="3"/>
        <v>Vik1385</v>
      </c>
      <c r="M386" s="1" t="str">
        <f t="shared" si="4"/>
        <v>Keyrd</v>
      </c>
      <c r="N386" s="1" t="str">
        <f t="shared" si="5"/>
        <v>eybo</v>
      </c>
    </row>
    <row r="387" spans="1:14" x14ac:dyDescent="0.3">
      <c r="A387" s="1" t="s">
        <v>27</v>
      </c>
      <c r="B387" s="1" t="s">
        <v>31</v>
      </c>
      <c r="C387" s="1" t="s">
        <v>18</v>
      </c>
      <c r="D387" s="1" t="s">
        <v>28</v>
      </c>
      <c r="E387" s="1">
        <v>9</v>
      </c>
      <c r="F387" s="1">
        <v>7509</v>
      </c>
      <c r="G387" s="1">
        <v>5</v>
      </c>
      <c r="H387" s="2">
        <v>46162</v>
      </c>
      <c r="I387" s="2">
        <v>46171</v>
      </c>
      <c r="J387" s="1" t="s">
        <v>51</v>
      </c>
      <c r="K387" s="1">
        <v>1386</v>
      </c>
      <c r="L387" s="1" t="str">
        <f t="shared" si="3"/>
        <v>Arj1386</v>
      </c>
      <c r="M387" s="1" t="str">
        <f t="shared" si="4"/>
        <v>Chair</v>
      </c>
      <c r="N387" s="1" t="str">
        <f t="shared" si="5"/>
        <v>hair</v>
      </c>
    </row>
    <row r="388" spans="1:14" x14ac:dyDescent="0.3">
      <c r="A388" s="1" t="s">
        <v>54</v>
      </c>
      <c r="B388" s="1" t="s">
        <v>33</v>
      </c>
      <c r="C388" s="1" t="s">
        <v>34</v>
      </c>
      <c r="D388" s="1" t="s">
        <v>35</v>
      </c>
      <c r="E388" s="1">
        <v>11</v>
      </c>
      <c r="F388" s="1">
        <v>56515</v>
      </c>
      <c r="G388" s="1">
        <v>5</v>
      </c>
      <c r="H388" s="2">
        <v>46102</v>
      </c>
      <c r="I388" s="2">
        <v>46112</v>
      </c>
      <c r="J388" s="1" t="s">
        <v>24</v>
      </c>
      <c r="K388" s="1">
        <v>1387</v>
      </c>
      <c r="L388" s="1" t="str">
        <f t="shared" si="3"/>
        <v>Man1387</v>
      </c>
      <c r="M388" s="1" t="str">
        <f t="shared" si="4"/>
        <v>Prier</v>
      </c>
      <c r="N388" s="1" t="str">
        <f t="shared" si="5"/>
        <v>rint</v>
      </c>
    </row>
    <row r="389" spans="1:14" x14ac:dyDescent="0.3">
      <c r="A389" s="1" t="s">
        <v>55</v>
      </c>
      <c r="B389" s="1" t="s">
        <v>31</v>
      </c>
      <c r="C389" s="1" t="s">
        <v>18</v>
      </c>
      <c r="D389" s="1" t="s">
        <v>28</v>
      </c>
      <c r="E389" s="1">
        <v>12</v>
      </c>
      <c r="F389" s="1">
        <v>11662</v>
      </c>
      <c r="G389" s="1">
        <v>12</v>
      </c>
      <c r="H389" s="2">
        <v>46094</v>
      </c>
      <c r="I389" s="2">
        <v>46096</v>
      </c>
      <c r="J389" s="1" t="s">
        <v>20</v>
      </c>
      <c r="K389" s="1">
        <v>1388</v>
      </c>
      <c r="L389" s="1" t="str">
        <f t="shared" si="3"/>
        <v>Sne1388</v>
      </c>
      <c r="M389" s="1" t="str">
        <f t="shared" si="4"/>
        <v>Chair</v>
      </c>
      <c r="N389" s="1" t="str">
        <f t="shared" si="5"/>
        <v>hair</v>
      </c>
    </row>
    <row r="390" spans="1:14" x14ac:dyDescent="0.3">
      <c r="A390" s="1" t="s">
        <v>32</v>
      </c>
      <c r="B390" s="1" t="s">
        <v>12</v>
      </c>
      <c r="C390" s="1" t="s">
        <v>34</v>
      </c>
      <c r="D390" s="1" t="s">
        <v>41</v>
      </c>
      <c r="E390" s="1">
        <v>3</v>
      </c>
      <c r="F390" s="1">
        <v>56380</v>
      </c>
      <c r="G390" s="1">
        <v>5</v>
      </c>
      <c r="H390" s="2">
        <v>46044</v>
      </c>
      <c r="I390" s="2">
        <v>46048</v>
      </c>
      <c r="J390" s="1" t="s">
        <v>51</v>
      </c>
      <c r="K390" s="1">
        <v>1389</v>
      </c>
      <c r="L390" s="1" t="str">
        <f t="shared" si="3"/>
        <v>Ash1389</v>
      </c>
      <c r="M390" s="1" t="str">
        <f t="shared" si="4"/>
        <v>Heaet</v>
      </c>
      <c r="N390" s="1" t="str">
        <f t="shared" si="5"/>
        <v>eads</v>
      </c>
    </row>
    <row r="391" spans="1:14" x14ac:dyDescent="0.3">
      <c r="A391" s="1" t="s">
        <v>58</v>
      </c>
      <c r="B391" s="1" t="s">
        <v>43</v>
      </c>
      <c r="C391" s="1" t="s">
        <v>18</v>
      </c>
      <c r="D391" s="1" t="s">
        <v>19</v>
      </c>
      <c r="E391" s="1">
        <v>9</v>
      </c>
      <c r="F391" s="1">
        <v>7670</v>
      </c>
      <c r="G391" s="1">
        <v>0</v>
      </c>
      <c r="H391" s="2">
        <v>46076</v>
      </c>
      <c r="I391" s="2">
        <v>46081</v>
      </c>
      <c r="J391" s="1" t="s">
        <v>51</v>
      </c>
      <c r="K391" s="1">
        <v>1390</v>
      </c>
      <c r="L391" s="1" t="str">
        <f t="shared" si="3"/>
        <v>Roh1390</v>
      </c>
      <c r="M391" s="1" t="str">
        <f t="shared" si="4"/>
        <v>Dessk</v>
      </c>
      <c r="N391" s="1" t="str">
        <f t="shared" si="5"/>
        <v>esk</v>
      </c>
    </row>
    <row r="392" spans="1:14" x14ac:dyDescent="0.3">
      <c r="A392" s="1" t="s">
        <v>30</v>
      </c>
      <c r="B392" s="1" t="s">
        <v>31</v>
      </c>
      <c r="C392" s="1" t="s">
        <v>34</v>
      </c>
      <c r="D392" s="1" t="s">
        <v>35</v>
      </c>
      <c r="E392" s="1">
        <v>5</v>
      </c>
      <c r="F392" s="1">
        <v>65270</v>
      </c>
      <c r="G392" s="1">
        <v>5</v>
      </c>
      <c r="H392" s="2">
        <v>46100</v>
      </c>
      <c r="I392" s="2">
        <v>46103</v>
      </c>
      <c r="J392" s="1" t="s">
        <v>24</v>
      </c>
      <c r="K392" s="1">
        <v>1391</v>
      </c>
      <c r="L392" s="1" t="str">
        <f t="shared" si="3"/>
        <v>Neh1391</v>
      </c>
      <c r="M392" s="1" t="str">
        <f t="shared" si="4"/>
        <v>Prier</v>
      </c>
      <c r="N392" s="1" t="str">
        <f t="shared" si="5"/>
        <v>rint</v>
      </c>
    </row>
    <row r="393" spans="1:14" x14ac:dyDescent="0.3">
      <c r="A393" s="1" t="s">
        <v>29</v>
      </c>
      <c r="B393" s="1" t="s">
        <v>43</v>
      </c>
      <c r="C393" s="1" t="s">
        <v>34</v>
      </c>
      <c r="D393" s="1" t="s">
        <v>35</v>
      </c>
      <c r="E393" s="1">
        <v>13</v>
      </c>
      <c r="F393" s="1">
        <v>23903</v>
      </c>
      <c r="G393" s="1">
        <v>5</v>
      </c>
      <c r="H393" s="2">
        <v>46124</v>
      </c>
      <c r="I393" s="2">
        <v>46125</v>
      </c>
      <c r="J393" s="1" t="s">
        <v>29</v>
      </c>
      <c r="K393" s="1">
        <v>1392</v>
      </c>
      <c r="L393" s="1" t="str">
        <f t="shared" si="3"/>
        <v>Pri1392</v>
      </c>
      <c r="M393" s="1" t="str">
        <f t="shared" si="4"/>
        <v>Prier</v>
      </c>
      <c r="N393" s="1" t="str">
        <f t="shared" si="5"/>
        <v>rint</v>
      </c>
    </row>
    <row r="394" spans="1:14" x14ac:dyDescent="0.3">
      <c r="A394" s="1" t="s">
        <v>30</v>
      </c>
      <c r="B394" s="1" t="s">
        <v>25</v>
      </c>
      <c r="C394" s="1" t="s">
        <v>34</v>
      </c>
      <c r="D394" s="1" t="s">
        <v>45</v>
      </c>
      <c r="E394" s="1">
        <v>17</v>
      </c>
      <c r="F394" s="1">
        <v>30351</v>
      </c>
      <c r="G394" s="1">
        <v>15</v>
      </c>
      <c r="H394" s="2">
        <v>46047</v>
      </c>
      <c r="I394" s="2">
        <v>46051</v>
      </c>
      <c r="J394" s="1" t="s">
        <v>51</v>
      </c>
      <c r="K394" s="1">
        <v>1393</v>
      </c>
      <c r="L394" s="1" t="str">
        <f t="shared" si="3"/>
        <v>Neh1393</v>
      </c>
      <c r="M394" s="1" t="str">
        <f t="shared" si="4"/>
        <v>Monor</v>
      </c>
      <c r="N394" s="1" t="str">
        <f t="shared" si="5"/>
        <v>onit</v>
      </c>
    </row>
    <row r="395" spans="1:14" x14ac:dyDescent="0.3">
      <c r="A395" s="1" t="s">
        <v>54</v>
      </c>
      <c r="B395" s="1" t="s">
        <v>12</v>
      </c>
      <c r="C395" s="1" t="s">
        <v>13</v>
      </c>
      <c r="D395" s="1" t="s">
        <v>14</v>
      </c>
      <c r="E395" s="1">
        <v>10</v>
      </c>
      <c r="F395" s="1">
        <v>138</v>
      </c>
      <c r="G395" s="1">
        <v>2</v>
      </c>
      <c r="H395" s="2">
        <v>46056</v>
      </c>
      <c r="I395" s="2">
        <v>46057</v>
      </c>
      <c r="J395" s="1" t="s">
        <v>15</v>
      </c>
      <c r="K395" s="1">
        <v>1394</v>
      </c>
      <c r="L395" s="1" t="str">
        <f t="shared" si="3"/>
        <v>Man1394</v>
      </c>
      <c r="M395" s="1" t="str">
        <f t="shared" si="4"/>
        <v>Notok</v>
      </c>
      <c r="N395" s="1" t="str">
        <f t="shared" si="5"/>
        <v>oteb</v>
      </c>
    </row>
    <row r="396" spans="1:14" x14ac:dyDescent="0.3">
      <c r="A396" s="1" t="s">
        <v>54</v>
      </c>
      <c r="B396" s="1" t="s">
        <v>33</v>
      </c>
      <c r="C396" s="1" t="s">
        <v>18</v>
      </c>
      <c r="D396" s="1" t="s">
        <v>44</v>
      </c>
      <c r="E396" s="1">
        <v>18</v>
      </c>
      <c r="F396" s="1">
        <v>10402</v>
      </c>
      <c r="G396" s="1">
        <v>15</v>
      </c>
      <c r="H396" s="2">
        <v>46062</v>
      </c>
      <c r="I396" s="2">
        <v>46067</v>
      </c>
      <c r="J396" s="1" t="s">
        <v>29</v>
      </c>
      <c r="K396" s="1">
        <v>1395</v>
      </c>
      <c r="L396" s="1" t="str">
        <f t="shared" si="3"/>
        <v>Man1395</v>
      </c>
      <c r="M396" s="1" t="str">
        <f t="shared" si="4"/>
        <v>Boolf</v>
      </c>
      <c r="N396" s="1" t="str">
        <f t="shared" si="5"/>
        <v>ooks</v>
      </c>
    </row>
    <row r="397" spans="1:14" x14ac:dyDescent="0.3">
      <c r="A397" s="1" t="s">
        <v>21</v>
      </c>
      <c r="B397" s="1" t="s">
        <v>38</v>
      </c>
      <c r="C397" s="1" t="s">
        <v>13</v>
      </c>
      <c r="D397" s="1" t="s">
        <v>53</v>
      </c>
      <c r="E397" s="1">
        <v>8</v>
      </c>
      <c r="F397" s="1">
        <v>54</v>
      </c>
      <c r="G397" s="1">
        <v>15</v>
      </c>
      <c r="H397" s="2">
        <v>46031</v>
      </c>
      <c r="I397" s="2">
        <v>46035</v>
      </c>
      <c r="J397" s="1" t="s">
        <v>15</v>
      </c>
      <c r="K397" s="1">
        <v>1396</v>
      </c>
      <c r="L397" s="1" t="str">
        <f t="shared" si="3"/>
        <v>Mee1396</v>
      </c>
      <c r="M397" s="1" t="str">
        <f t="shared" si="4"/>
        <v>Diary</v>
      </c>
      <c r="N397" s="1" t="str">
        <f t="shared" si="5"/>
        <v>iary</v>
      </c>
    </row>
    <row r="398" spans="1:14" x14ac:dyDescent="0.3">
      <c r="A398" s="1" t="s">
        <v>21</v>
      </c>
      <c r="B398" s="1" t="s">
        <v>33</v>
      </c>
      <c r="C398" s="1" t="s">
        <v>18</v>
      </c>
      <c r="D398" s="1" t="s">
        <v>23</v>
      </c>
      <c r="E398" s="1">
        <v>1</v>
      </c>
      <c r="F398" s="1">
        <v>8948</v>
      </c>
      <c r="G398" s="1">
        <v>5</v>
      </c>
      <c r="H398" s="2">
        <v>46194</v>
      </c>
      <c r="I398" s="2">
        <v>46201</v>
      </c>
      <c r="J398" s="1" t="s">
        <v>51</v>
      </c>
      <c r="K398" s="1">
        <v>1397</v>
      </c>
      <c r="L398" s="1" t="str">
        <f t="shared" si="3"/>
        <v>Mee1397</v>
      </c>
      <c r="M398" s="1" t="str">
        <f t="shared" si="4"/>
        <v>Table</v>
      </c>
      <c r="N398" s="1" t="str">
        <f t="shared" si="5"/>
        <v>able</v>
      </c>
    </row>
    <row r="399" spans="1:14" x14ac:dyDescent="0.3">
      <c r="A399" s="1" t="s">
        <v>58</v>
      </c>
      <c r="B399" s="1" t="s">
        <v>43</v>
      </c>
      <c r="C399" s="1" t="s">
        <v>34</v>
      </c>
      <c r="D399" s="1" t="s">
        <v>39</v>
      </c>
      <c r="E399" s="1">
        <v>12</v>
      </c>
      <c r="F399" s="1">
        <v>10668</v>
      </c>
      <c r="G399" s="1">
        <v>0</v>
      </c>
      <c r="H399" s="2">
        <v>46170</v>
      </c>
      <c r="I399" s="2">
        <v>46176</v>
      </c>
      <c r="J399" s="1" t="s">
        <v>15</v>
      </c>
      <c r="K399" s="1">
        <v>1398</v>
      </c>
      <c r="L399" s="1" t="str">
        <f t="shared" si="3"/>
        <v>Roh1398</v>
      </c>
      <c r="M399" s="1" t="str">
        <f t="shared" si="4"/>
        <v>Keyrd</v>
      </c>
      <c r="N399" s="1" t="str">
        <f t="shared" si="5"/>
        <v>eybo</v>
      </c>
    </row>
    <row r="400" spans="1:14" x14ac:dyDescent="0.3">
      <c r="A400" s="1" t="s">
        <v>48</v>
      </c>
      <c r="B400" s="1" t="s">
        <v>31</v>
      </c>
      <c r="C400" s="1" t="s">
        <v>13</v>
      </c>
      <c r="D400" s="1" t="s">
        <v>14</v>
      </c>
      <c r="E400" s="1">
        <v>15</v>
      </c>
      <c r="F400" s="1">
        <v>87</v>
      </c>
      <c r="G400" s="1">
        <v>15</v>
      </c>
      <c r="H400" s="2">
        <v>46089</v>
      </c>
      <c r="I400" s="2">
        <v>46093</v>
      </c>
      <c r="J400" s="1" t="s">
        <v>20</v>
      </c>
      <c r="K400" s="1">
        <v>1399</v>
      </c>
      <c r="L400" s="1" t="str">
        <f t="shared" si="3"/>
        <v>Nit1399</v>
      </c>
      <c r="M400" s="1" t="str">
        <f t="shared" si="4"/>
        <v>Notok</v>
      </c>
      <c r="N400" s="1" t="str">
        <f t="shared" si="5"/>
        <v>oteb</v>
      </c>
    </row>
    <row r="401" spans="1:14" x14ac:dyDescent="0.3">
      <c r="A401" s="1" t="s">
        <v>40</v>
      </c>
      <c r="B401" s="1" t="s">
        <v>22</v>
      </c>
      <c r="C401" s="1" t="s">
        <v>34</v>
      </c>
      <c r="D401" s="1" t="s">
        <v>35</v>
      </c>
      <c r="E401" s="1">
        <v>13</v>
      </c>
      <c r="F401" s="1">
        <v>52411</v>
      </c>
      <c r="G401" s="1">
        <v>15</v>
      </c>
      <c r="H401" s="2">
        <v>46090</v>
      </c>
      <c r="I401" s="2">
        <v>46092</v>
      </c>
      <c r="J401" s="1" t="s">
        <v>20</v>
      </c>
      <c r="K401" s="1">
        <v>1400</v>
      </c>
      <c r="L401" s="1" t="str">
        <f t="shared" si="3"/>
        <v>Dee1400</v>
      </c>
      <c r="M401" s="1" t="str">
        <f t="shared" si="4"/>
        <v>Prier</v>
      </c>
      <c r="N401" s="1" t="str">
        <f t="shared" si="5"/>
        <v>rint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N401"/>
  <sheetViews>
    <sheetView workbookViewId="0"/>
  </sheetViews>
  <sheetFormatPr defaultColWidth="14.44140625" defaultRowHeight="15" customHeight="1" x14ac:dyDescent="0.3"/>
  <cols>
    <col min="1" max="1" width="9.5546875" customWidth="1"/>
  </cols>
  <sheetData>
    <row r="1" spans="1:14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0</v>
      </c>
      <c r="L1" s="1" t="s">
        <v>76</v>
      </c>
      <c r="M1" s="1" t="s">
        <v>77</v>
      </c>
      <c r="N1" s="1" t="s">
        <v>78</v>
      </c>
    </row>
    <row r="2" spans="1:14" x14ac:dyDescent="0.3">
      <c r="A2" s="1" t="s">
        <v>11</v>
      </c>
      <c r="B2" s="1" t="s">
        <v>12</v>
      </c>
      <c r="C2" s="1" t="s">
        <v>13</v>
      </c>
      <c r="D2" s="1" t="s">
        <v>14</v>
      </c>
      <c r="E2" s="1">
        <v>3</v>
      </c>
      <c r="F2" s="1">
        <v>222</v>
      </c>
      <c r="G2" s="1">
        <v>15</v>
      </c>
      <c r="H2" s="2">
        <v>46081</v>
      </c>
      <c r="I2" s="2">
        <v>46083</v>
      </c>
      <c r="J2" s="1" t="s">
        <v>15</v>
      </c>
      <c r="K2" s="1">
        <v>1001</v>
      </c>
      <c r="L2" s="1" t="str">
        <f t="shared" ref="L2:L256" si="0">UPPER(A2)</f>
        <v>RITESH</v>
      </c>
      <c r="M2" s="1" t="str">
        <f t="shared" ref="M2:M256" si="1">LOWER(D2)</f>
        <v>notebook</v>
      </c>
      <c r="N2" s="1">
        <f t="shared" ref="N2:N256" si="2">LEN(D2)</f>
        <v>8</v>
      </c>
    </row>
    <row r="3" spans="1:14" x14ac:dyDescent="0.3">
      <c r="A3" s="1" t="s">
        <v>16</v>
      </c>
      <c r="B3" s="1" t="s">
        <v>17</v>
      </c>
      <c r="C3" s="1" t="s">
        <v>18</v>
      </c>
      <c r="D3" s="1" t="s">
        <v>19</v>
      </c>
      <c r="E3" s="1">
        <v>7</v>
      </c>
      <c r="F3" s="1">
        <v>8448</v>
      </c>
      <c r="G3" s="1">
        <v>12</v>
      </c>
      <c r="H3" s="2">
        <v>46174</v>
      </c>
      <c r="I3" s="2">
        <v>46179</v>
      </c>
      <c r="J3" s="1" t="s">
        <v>20</v>
      </c>
      <c r="K3" s="1">
        <v>1002</v>
      </c>
      <c r="L3" s="1" t="str">
        <f t="shared" si="0"/>
        <v>POOJA</v>
      </c>
      <c r="M3" s="1" t="str">
        <f t="shared" si="1"/>
        <v>desk</v>
      </c>
      <c r="N3" s="1">
        <f t="shared" si="2"/>
        <v>4</v>
      </c>
    </row>
    <row r="4" spans="1:14" x14ac:dyDescent="0.3">
      <c r="A4" s="1" t="s">
        <v>21</v>
      </c>
      <c r="B4" s="1" t="s">
        <v>22</v>
      </c>
      <c r="C4" s="1" t="s">
        <v>18</v>
      </c>
      <c r="D4" s="1" t="s">
        <v>23</v>
      </c>
      <c r="E4" s="1">
        <v>20</v>
      </c>
      <c r="F4" s="1">
        <v>2123</v>
      </c>
      <c r="G4" s="1">
        <v>15</v>
      </c>
      <c r="H4" s="2">
        <v>46183</v>
      </c>
      <c r="I4" s="2">
        <v>46192</v>
      </c>
      <c r="J4" s="1" t="s">
        <v>24</v>
      </c>
      <c r="K4" s="1">
        <v>1003</v>
      </c>
      <c r="L4" s="1" t="str">
        <f t="shared" si="0"/>
        <v>MEERA</v>
      </c>
      <c r="M4" s="1" t="str">
        <f t="shared" si="1"/>
        <v>table</v>
      </c>
      <c r="N4" s="1">
        <f t="shared" si="2"/>
        <v>5</v>
      </c>
    </row>
    <row r="5" spans="1:14" x14ac:dyDescent="0.3">
      <c r="A5" s="1" t="s">
        <v>16</v>
      </c>
      <c r="B5" s="1" t="s">
        <v>25</v>
      </c>
      <c r="C5" s="1" t="s">
        <v>18</v>
      </c>
      <c r="D5" s="1" t="s">
        <v>23</v>
      </c>
      <c r="E5" s="1">
        <v>16</v>
      </c>
      <c r="F5" s="1">
        <v>11739</v>
      </c>
      <c r="G5" s="1">
        <v>12</v>
      </c>
      <c r="H5" s="2">
        <v>46034</v>
      </c>
      <c r="I5" s="2">
        <v>46040</v>
      </c>
      <c r="J5" s="1" t="s">
        <v>20</v>
      </c>
      <c r="K5" s="1">
        <v>1004</v>
      </c>
      <c r="L5" s="1" t="str">
        <f t="shared" si="0"/>
        <v>POOJA</v>
      </c>
      <c r="M5" s="1" t="str">
        <f t="shared" si="1"/>
        <v>table</v>
      </c>
      <c r="N5" s="1">
        <f t="shared" si="2"/>
        <v>5</v>
      </c>
    </row>
    <row r="6" spans="1:14" x14ac:dyDescent="0.3">
      <c r="A6" s="1" t="s">
        <v>26</v>
      </c>
      <c r="B6" s="1" t="s">
        <v>17</v>
      </c>
      <c r="C6" s="1" t="s">
        <v>13</v>
      </c>
      <c r="D6" s="1" t="s">
        <v>14</v>
      </c>
      <c r="E6" s="1">
        <v>18</v>
      </c>
      <c r="F6" s="1">
        <v>70</v>
      </c>
      <c r="G6" s="1">
        <v>0</v>
      </c>
      <c r="H6" s="2">
        <v>46171</v>
      </c>
      <c r="I6" s="2">
        <v>46179</v>
      </c>
      <c r="J6" s="1" t="s">
        <v>24</v>
      </c>
      <c r="K6" s="1">
        <v>1005</v>
      </c>
      <c r="L6" s="1" t="str">
        <f t="shared" si="0"/>
        <v>VIKRAM</v>
      </c>
      <c r="M6" s="1" t="str">
        <f t="shared" si="1"/>
        <v>notebook</v>
      </c>
      <c r="N6" s="1">
        <f t="shared" si="2"/>
        <v>8</v>
      </c>
    </row>
    <row r="7" spans="1:14" x14ac:dyDescent="0.3">
      <c r="A7" s="1" t="s">
        <v>27</v>
      </c>
      <c r="B7" s="1" t="s">
        <v>25</v>
      </c>
      <c r="C7" s="1" t="s">
        <v>18</v>
      </c>
      <c r="D7" s="1" t="s">
        <v>28</v>
      </c>
      <c r="E7" s="1">
        <v>3</v>
      </c>
      <c r="F7" s="1">
        <v>2714</v>
      </c>
      <c r="G7" s="1">
        <v>5</v>
      </c>
      <c r="H7" s="2">
        <v>46055</v>
      </c>
      <c r="I7" s="2">
        <v>46062</v>
      </c>
      <c r="J7" s="1" t="s">
        <v>29</v>
      </c>
      <c r="K7" s="1">
        <v>1006</v>
      </c>
      <c r="L7" s="1" t="str">
        <f t="shared" si="0"/>
        <v>ARJUN</v>
      </c>
      <c r="M7" s="1" t="str">
        <f t="shared" si="1"/>
        <v>chair</v>
      </c>
      <c r="N7" s="1">
        <f t="shared" si="2"/>
        <v>5</v>
      </c>
    </row>
    <row r="8" spans="1:14" x14ac:dyDescent="0.3">
      <c r="A8" s="1" t="s">
        <v>21</v>
      </c>
      <c r="B8" s="1" t="s">
        <v>22</v>
      </c>
      <c r="C8" s="1" t="s">
        <v>13</v>
      </c>
      <c r="D8" s="1" t="s">
        <v>14</v>
      </c>
      <c r="E8" s="1">
        <v>19</v>
      </c>
      <c r="F8" s="1">
        <v>149</v>
      </c>
      <c r="G8" s="1">
        <v>7</v>
      </c>
      <c r="H8" s="2">
        <v>46162</v>
      </c>
      <c r="I8" s="2">
        <v>46168</v>
      </c>
      <c r="J8" s="1" t="s">
        <v>24</v>
      </c>
      <c r="K8" s="1">
        <v>1007</v>
      </c>
      <c r="L8" s="1" t="str">
        <f t="shared" si="0"/>
        <v>MEERA</v>
      </c>
      <c r="M8" s="1" t="str">
        <f t="shared" si="1"/>
        <v>notebook</v>
      </c>
      <c r="N8" s="1">
        <f t="shared" si="2"/>
        <v>8</v>
      </c>
    </row>
    <row r="9" spans="1:14" x14ac:dyDescent="0.3">
      <c r="A9" s="1" t="s">
        <v>30</v>
      </c>
      <c r="B9" s="1" t="s">
        <v>31</v>
      </c>
      <c r="C9" s="1" t="s">
        <v>18</v>
      </c>
      <c r="D9" s="1" t="s">
        <v>28</v>
      </c>
      <c r="E9" s="1">
        <v>1</v>
      </c>
      <c r="F9" s="1">
        <v>1134</v>
      </c>
      <c r="G9" s="1">
        <v>0</v>
      </c>
      <c r="H9" s="2">
        <v>46033</v>
      </c>
      <c r="I9" s="2">
        <v>46041</v>
      </c>
      <c r="J9" s="1" t="s">
        <v>24</v>
      </c>
      <c r="K9" s="1">
        <v>1008</v>
      </c>
      <c r="L9" s="1" t="str">
        <f t="shared" si="0"/>
        <v>NEHA</v>
      </c>
      <c r="M9" s="1" t="str">
        <f t="shared" si="1"/>
        <v>chair</v>
      </c>
      <c r="N9" s="1">
        <f t="shared" si="2"/>
        <v>5</v>
      </c>
    </row>
    <row r="10" spans="1:14" x14ac:dyDescent="0.3">
      <c r="A10" s="1" t="s">
        <v>32</v>
      </c>
      <c r="B10" s="1" t="s">
        <v>33</v>
      </c>
      <c r="C10" s="1" t="s">
        <v>34</v>
      </c>
      <c r="D10" s="1" t="s">
        <v>35</v>
      </c>
      <c r="E10" s="1">
        <v>10</v>
      </c>
      <c r="F10" s="1">
        <v>40671</v>
      </c>
      <c r="G10" s="1">
        <v>12</v>
      </c>
      <c r="H10" s="2">
        <v>46183</v>
      </c>
      <c r="I10" s="2">
        <v>46193</v>
      </c>
      <c r="J10" s="1" t="s">
        <v>24</v>
      </c>
      <c r="K10" s="1">
        <v>1009</v>
      </c>
      <c r="L10" s="1" t="str">
        <f t="shared" si="0"/>
        <v>ASHA</v>
      </c>
      <c r="M10" s="1" t="str">
        <f t="shared" si="1"/>
        <v>printer</v>
      </c>
      <c r="N10" s="1">
        <f t="shared" si="2"/>
        <v>7</v>
      </c>
    </row>
    <row r="11" spans="1:14" x14ac:dyDescent="0.3">
      <c r="A11" s="1" t="s">
        <v>11</v>
      </c>
      <c r="B11" s="1" t="s">
        <v>17</v>
      </c>
      <c r="C11" s="1" t="s">
        <v>13</v>
      </c>
      <c r="D11" s="1" t="s">
        <v>36</v>
      </c>
      <c r="E11" s="1">
        <v>14</v>
      </c>
      <c r="F11" s="1">
        <v>470</v>
      </c>
      <c r="G11" s="1">
        <v>5</v>
      </c>
      <c r="H11" s="2">
        <v>46062</v>
      </c>
      <c r="I11" s="2">
        <v>46068</v>
      </c>
      <c r="J11" s="1" t="s">
        <v>15</v>
      </c>
      <c r="K11" s="1">
        <v>1010</v>
      </c>
      <c r="L11" s="1" t="str">
        <f t="shared" si="0"/>
        <v>RITESH</v>
      </c>
      <c r="M11" s="1" t="str">
        <f t="shared" si="1"/>
        <v>stapler</v>
      </c>
      <c r="N11" s="1">
        <f t="shared" si="2"/>
        <v>7</v>
      </c>
    </row>
    <row r="12" spans="1:14" x14ac:dyDescent="0.3">
      <c r="A12" s="1" t="s">
        <v>11</v>
      </c>
      <c r="B12" s="1" t="s">
        <v>17</v>
      </c>
      <c r="C12" s="1" t="s">
        <v>13</v>
      </c>
      <c r="D12" s="1" t="s">
        <v>37</v>
      </c>
      <c r="E12" s="1">
        <v>14</v>
      </c>
      <c r="F12" s="1">
        <v>88</v>
      </c>
      <c r="G12" s="1">
        <v>12</v>
      </c>
      <c r="H12" s="2">
        <v>46161</v>
      </c>
      <c r="I12" s="2">
        <v>46163</v>
      </c>
      <c r="J12" s="1" t="s">
        <v>15</v>
      </c>
      <c r="K12" s="1">
        <v>1011</v>
      </c>
      <c r="L12" s="1" t="str">
        <f t="shared" si="0"/>
        <v>RITESH</v>
      </c>
      <c r="M12" s="1" t="str">
        <f t="shared" si="1"/>
        <v>pen pack</v>
      </c>
      <c r="N12" s="1">
        <f t="shared" si="2"/>
        <v>8</v>
      </c>
    </row>
    <row r="13" spans="1:14" x14ac:dyDescent="0.3">
      <c r="A13" s="1" t="s">
        <v>26</v>
      </c>
      <c r="B13" s="1" t="s">
        <v>38</v>
      </c>
      <c r="C13" s="1" t="s">
        <v>34</v>
      </c>
      <c r="D13" s="1" t="s">
        <v>39</v>
      </c>
      <c r="E13" s="1">
        <v>3</v>
      </c>
      <c r="F13" s="1">
        <v>64615</v>
      </c>
      <c r="G13" s="1">
        <v>10</v>
      </c>
      <c r="H13" s="2">
        <v>46086</v>
      </c>
      <c r="I13" s="2">
        <v>46095</v>
      </c>
      <c r="J13" s="1" t="s">
        <v>29</v>
      </c>
      <c r="K13" s="1">
        <v>1012</v>
      </c>
      <c r="L13" s="1" t="str">
        <f t="shared" si="0"/>
        <v>VIKRAM</v>
      </c>
      <c r="M13" s="1" t="str">
        <f t="shared" si="1"/>
        <v>keyboard</v>
      </c>
      <c r="N13" s="1">
        <f t="shared" si="2"/>
        <v>8</v>
      </c>
    </row>
    <row r="14" spans="1:14" x14ac:dyDescent="0.3">
      <c r="A14" s="1" t="s">
        <v>16</v>
      </c>
      <c r="B14" s="1" t="s">
        <v>31</v>
      </c>
      <c r="C14" s="1" t="s">
        <v>13</v>
      </c>
      <c r="D14" s="1" t="s">
        <v>36</v>
      </c>
      <c r="E14" s="1">
        <v>17</v>
      </c>
      <c r="F14" s="1">
        <v>459</v>
      </c>
      <c r="G14" s="1">
        <v>12</v>
      </c>
      <c r="H14" s="2">
        <v>46095</v>
      </c>
      <c r="I14" s="2">
        <v>46105</v>
      </c>
      <c r="J14" s="1" t="s">
        <v>29</v>
      </c>
      <c r="K14" s="1">
        <v>1013</v>
      </c>
      <c r="L14" s="1" t="str">
        <f t="shared" si="0"/>
        <v>POOJA</v>
      </c>
      <c r="M14" s="1" t="str">
        <f t="shared" si="1"/>
        <v>stapler</v>
      </c>
      <c r="N14" s="1">
        <f t="shared" si="2"/>
        <v>7</v>
      </c>
    </row>
    <row r="15" spans="1:14" x14ac:dyDescent="0.3">
      <c r="A15" s="1" t="s">
        <v>40</v>
      </c>
      <c r="B15" s="1" t="s">
        <v>17</v>
      </c>
      <c r="C15" s="1" t="s">
        <v>34</v>
      </c>
      <c r="D15" s="1" t="s">
        <v>41</v>
      </c>
      <c r="E15" s="1">
        <v>19</v>
      </c>
      <c r="F15" s="1">
        <v>53683</v>
      </c>
      <c r="G15" s="1">
        <v>12</v>
      </c>
      <c r="H15" s="2">
        <v>46129</v>
      </c>
      <c r="I15" s="2">
        <v>46134</v>
      </c>
      <c r="J15" s="1" t="s">
        <v>29</v>
      </c>
      <c r="K15" s="1">
        <v>1014</v>
      </c>
      <c r="L15" s="1" t="str">
        <f t="shared" si="0"/>
        <v>DEEPAK</v>
      </c>
      <c r="M15" s="1" t="str">
        <f t="shared" si="1"/>
        <v>headset</v>
      </c>
      <c r="N15" s="1">
        <f t="shared" si="2"/>
        <v>7</v>
      </c>
    </row>
    <row r="16" spans="1:14" x14ac:dyDescent="0.3">
      <c r="A16" s="1" t="s">
        <v>42</v>
      </c>
      <c r="B16" s="1" t="s">
        <v>43</v>
      </c>
      <c r="C16" s="1" t="s">
        <v>18</v>
      </c>
      <c r="D16" s="1" t="s">
        <v>44</v>
      </c>
      <c r="E16" s="1">
        <v>11</v>
      </c>
      <c r="F16" s="1">
        <v>14511</v>
      </c>
      <c r="G16" s="1">
        <v>2</v>
      </c>
      <c r="H16" s="2">
        <v>46175</v>
      </c>
      <c r="I16" s="2">
        <v>46185</v>
      </c>
      <c r="J16" s="1" t="s">
        <v>20</v>
      </c>
      <c r="K16" s="1">
        <v>1015</v>
      </c>
      <c r="L16" s="1" t="str">
        <f t="shared" si="0"/>
        <v>NISHA</v>
      </c>
      <c r="M16" s="1" t="str">
        <f t="shared" si="1"/>
        <v>bookshelf</v>
      </c>
      <c r="N16" s="1">
        <f t="shared" si="2"/>
        <v>9</v>
      </c>
    </row>
    <row r="17" spans="1:14" x14ac:dyDescent="0.3">
      <c r="A17" s="1" t="s">
        <v>32</v>
      </c>
      <c r="B17" s="1" t="s">
        <v>33</v>
      </c>
      <c r="C17" s="1" t="s">
        <v>34</v>
      </c>
      <c r="D17" s="1" t="s">
        <v>45</v>
      </c>
      <c r="E17" s="1">
        <v>16</v>
      </c>
      <c r="F17" s="1">
        <v>30234</v>
      </c>
      <c r="G17" s="1">
        <v>15</v>
      </c>
      <c r="H17" s="2">
        <v>46137</v>
      </c>
      <c r="I17" s="2">
        <v>46140</v>
      </c>
      <c r="J17" s="1" t="s">
        <v>24</v>
      </c>
      <c r="K17" s="1">
        <v>1016</v>
      </c>
      <c r="L17" s="1" t="str">
        <f t="shared" si="0"/>
        <v>ASHA</v>
      </c>
      <c r="M17" s="1" t="str">
        <f t="shared" si="1"/>
        <v>monitor</v>
      </c>
      <c r="N17" s="1">
        <f t="shared" si="2"/>
        <v>7</v>
      </c>
    </row>
    <row r="18" spans="1:14" x14ac:dyDescent="0.3">
      <c r="A18" s="1" t="s">
        <v>46</v>
      </c>
      <c r="B18" s="1" t="s">
        <v>38</v>
      </c>
      <c r="C18" s="1" t="s">
        <v>13</v>
      </c>
      <c r="D18" s="1" t="s">
        <v>36</v>
      </c>
      <c r="E18" s="1">
        <v>8</v>
      </c>
      <c r="F18" s="1">
        <v>179</v>
      </c>
      <c r="G18" s="1">
        <v>15</v>
      </c>
      <c r="H18" s="2">
        <v>46082</v>
      </c>
      <c r="I18" s="2">
        <v>46084</v>
      </c>
      <c r="J18" s="1" t="s">
        <v>15</v>
      </c>
      <c r="K18" s="1">
        <v>1017</v>
      </c>
      <c r="L18" s="1" t="str">
        <f t="shared" si="0"/>
        <v>KIRAN</v>
      </c>
      <c r="M18" s="1" t="str">
        <f t="shared" si="1"/>
        <v>stapler</v>
      </c>
      <c r="N18" s="1">
        <f t="shared" si="2"/>
        <v>7</v>
      </c>
    </row>
    <row r="19" spans="1:14" x14ac:dyDescent="0.3">
      <c r="A19" s="1" t="s">
        <v>47</v>
      </c>
      <c r="B19" s="1" t="s">
        <v>25</v>
      </c>
      <c r="C19" s="1" t="s">
        <v>13</v>
      </c>
      <c r="D19" s="1" t="s">
        <v>14</v>
      </c>
      <c r="E19" s="1">
        <v>20</v>
      </c>
      <c r="F19" s="1">
        <v>301</v>
      </c>
      <c r="G19" s="1">
        <v>0</v>
      </c>
      <c r="H19" s="2">
        <v>46089</v>
      </c>
      <c r="I19" s="2">
        <v>46094</v>
      </c>
      <c r="J19" s="1" t="s">
        <v>29</v>
      </c>
      <c r="K19" s="1">
        <v>1018</v>
      </c>
      <c r="L19" s="1" t="str">
        <f t="shared" si="0"/>
        <v>YASH</v>
      </c>
      <c r="M19" s="1" t="str">
        <f t="shared" si="1"/>
        <v>notebook</v>
      </c>
      <c r="N19" s="1">
        <f t="shared" si="2"/>
        <v>8</v>
      </c>
    </row>
    <row r="20" spans="1:14" x14ac:dyDescent="0.3">
      <c r="A20" s="1" t="s">
        <v>11</v>
      </c>
      <c r="B20" s="1" t="s">
        <v>43</v>
      </c>
      <c r="C20" s="1" t="s">
        <v>34</v>
      </c>
      <c r="D20" s="1" t="s">
        <v>41</v>
      </c>
      <c r="E20" s="1">
        <v>18</v>
      </c>
      <c r="F20" s="1">
        <v>45652</v>
      </c>
      <c r="G20" s="1">
        <v>10</v>
      </c>
      <c r="H20" s="2">
        <v>46023</v>
      </c>
      <c r="I20" s="2">
        <v>46030</v>
      </c>
      <c r="J20" s="1" t="s">
        <v>20</v>
      </c>
      <c r="K20" s="1">
        <v>1019</v>
      </c>
      <c r="L20" s="1" t="str">
        <f t="shared" si="0"/>
        <v>RITESH</v>
      </c>
      <c r="M20" s="1" t="str">
        <f t="shared" si="1"/>
        <v>headset</v>
      </c>
      <c r="N20" s="1">
        <f t="shared" si="2"/>
        <v>7</v>
      </c>
    </row>
    <row r="21" spans="1:14" x14ac:dyDescent="0.3">
      <c r="A21" s="1" t="s">
        <v>46</v>
      </c>
      <c r="B21" s="1" t="s">
        <v>12</v>
      </c>
      <c r="C21" s="1" t="s">
        <v>18</v>
      </c>
      <c r="D21" s="1" t="s">
        <v>19</v>
      </c>
      <c r="E21" s="1">
        <v>5</v>
      </c>
      <c r="F21" s="1">
        <v>4582</v>
      </c>
      <c r="G21" s="1">
        <v>5</v>
      </c>
      <c r="H21" s="2">
        <v>46078</v>
      </c>
      <c r="I21" s="2">
        <v>46083</v>
      </c>
      <c r="J21" s="1" t="s">
        <v>15</v>
      </c>
      <c r="K21" s="1">
        <v>1020</v>
      </c>
      <c r="L21" s="1" t="str">
        <f t="shared" si="0"/>
        <v>KIRAN</v>
      </c>
      <c r="M21" s="1" t="str">
        <f t="shared" si="1"/>
        <v>desk</v>
      </c>
      <c r="N21" s="1">
        <f t="shared" si="2"/>
        <v>4</v>
      </c>
    </row>
    <row r="22" spans="1:14" x14ac:dyDescent="0.3">
      <c r="A22" s="1" t="s">
        <v>48</v>
      </c>
      <c r="B22" s="1" t="s">
        <v>43</v>
      </c>
      <c r="C22" s="1" t="s">
        <v>13</v>
      </c>
      <c r="D22" s="1" t="s">
        <v>14</v>
      </c>
      <c r="E22" s="1">
        <v>3</v>
      </c>
      <c r="F22" s="1">
        <v>484</v>
      </c>
      <c r="G22" s="1">
        <v>2</v>
      </c>
      <c r="H22" s="2">
        <v>46144</v>
      </c>
      <c r="I22" s="2">
        <v>46148</v>
      </c>
      <c r="J22" s="1" t="s">
        <v>24</v>
      </c>
      <c r="K22" s="1">
        <v>1021</v>
      </c>
      <c r="L22" s="1" t="str">
        <f t="shared" si="0"/>
        <v>NITIN</v>
      </c>
      <c r="M22" s="1" t="str">
        <f t="shared" si="1"/>
        <v>notebook</v>
      </c>
      <c r="N22" s="1">
        <f t="shared" si="2"/>
        <v>8</v>
      </c>
    </row>
    <row r="23" spans="1:14" x14ac:dyDescent="0.3">
      <c r="A23" s="1" t="s">
        <v>26</v>
      </c>
      <c r="B23" s="1" t="s">
        <v>17</v>
      </c>
      <c r="C23" s="1" t="s">
        <v>34</v>
      </c>
      <c r="D23" s="1" t="s">
        <v>45</v>
      </c>
      <c r="E23" s="1">
        <v>15</v>
      </c>
      <c r="F23" s="1">
        <v>11596</v>
      </c>
      <c r="G23" s="1">
        <v>0</v>
      </c>
      <c r="H23" s="2">
        <v>46117</v>
      </c>
      <c r="I23" s="2">
        <v>46121</v>
      </c>
      <c r="J23" s="1" t="s">
        <v>29</v>
      </c>
      <c r="K23" s="1">
        <v>1022</v>
      </c>
      <c r="L23" s="1" t="str">
        <f t="shared" si="0"/>
        <v>VIKRAM</v>
      </c>
      <c r="M23" s="1" t="str">
        <f t="shared" si="1"/>
        <v>monitor</v>
      </c>
      <c r="N23" s="1">
        <f t="shared" si="2"/>
        <v>7</v>
      </c>
    </row>
    <row r="24" spans="1:14" x14ac:dyDescent="0.3">
      <c r="A24" s="1" t="s">
        <v>40</v>
      </c>
      <c r="B24" s="1" t="s">
        <v>12</v>
      </c>
      <c r="C24" s="1" t="s">
        <v>18</v>
      </c>
      <c r="D24" s="1" t="s">
        <v>44</v>
      </c>
      <c r="E24" s="1">
        <v>15</v>
      </c>
      <c r="F24" s="1">
        <v>3506</v>
      </c>
      <c r="G24" s="1">
        <v>2</v>
      </c>
      <c r="H24" s="2">
        <v>46193</v>
      </c>
      <c r="I24" s="2">
        <v>46194</v>
      </c>
      <c r="J24" s="1" t="s">
        <v>29</v>
      </c>
      <c r="K24" s="1">
        <v>1023</v>
      </c>
      <c r="L24" s="1" t="str">
        <f t="shared" si="0"/>
        <v>DEEPAK</v>
      </c>
      <c r="M24" s="1" t="str">
        <f t="shared" si="1"/>
        <v>bookshelf</v>
      </c>
      <c r="N24" s="1">
        <f t="shared" si="2"/>
        <v>9</v>
      </c>
    </row>
    <row r="25" spans="1:14" x14ac:dyDescent="0.3">
      <c r="A25" s="1" t="s">
        <v>32</v>
      </c>
      <c r="B25" s="1" t="s">
        <v>38</v>
      </c>
      <c r="C25" s="1" t="s">
        <v>34</v>
      </c>
      <c r="D25" s="1" t="s">
        <v>41</v>
      </c>
      <c r="E25" s="1">
        <v>12</v>
      </c>
      <c r="F25" s="1">
        <v>1682</v>
      </c>
      <c r="G25" s="1">
        <v>5</v>
      </c>
      <c r="H25" s="2">
        <v>46161</v>
      </c>
      <c r="I25" s="2">
        <v>46165</v>
      </c>
      <c r="J25" s="1" t="s">
        <v>15</v>
      </c>
      <c r="K25" s="1">
        <v>1024</v>
      </c>
      <c r="L25" s="1" t="str">
        <f t="shared" si="0"/>
        <v>ASHA</v>
      </c>
      <c r="M25" s="1" t="str">
        <f t="shared" si="1"/>
        <v>headset</v>
      </c>
      <c r="N25" s="1">
        <f t="shared" si="2"/>
        <v>7</v>
      </c>
    </row>
    <row r="26" spans="1:14" x14ac:dyDescent="0.3">
      <c r="A26" s="1" t="s">
        <v>21</v>
      </c>
      <c r="B26" s="1" t="s">
        <v>12</v>
      </c>
      <c r="C26" s="1" t="s">
        <v>18</v>
      </c>
      <c r="D26" s="1" t="s">
        <v>19</v>
      </c>
      <c r="E26" s="1">
        <v>18</v>
      </c>
      <c r="F26" s="1">
        <v>7924</v>
      </c>
      <c r="G26" s="1">
        <v>0</v>
      </c>
      <c r="H26" s="2">
        <v>46175</v>
      </c>
      <c r="I26" s="2">
        <v>46181</v>
      </c>
      <c r="J26" s="1" t="s">
        <v>15</v>
      </c>
      <c r="K26" s="1">
        <v>1025</v>
      </c>
      <c r="L26" s="1" t="str">
        <f t="shared" si="0"/>
        <v>MEERA</v>
      </c>
      <c r="M26" s="1" t="str">
        <f t="shared" si="1"/>
        <v>desk</v>
      </c>
      <c r="N26" s="1">
        <f t="shared" si="2"/>
        <v>4</v>
      </c>
    </row>
    <row r="27" spans="1:14" x14ac:dyDescent="0.3">
      <c r="A27" s="1" t="s">
        <v>49</v>
      </c>
      <c r="B27" s="1" t="s">
        <v>31</v>
      </c>
      <c r="C27" s="1" t="s">
        <v>13</v>
      </c>
      <c r="D27" s="1" t="s">
        <v>50</v>
      </c>
      <c r="E27" s="1">
        <v>17</v>
      </c>
      <c r="F27" s="1">
        <v>323</v>
      </c>
      <c r="G27" s="1">
        <v>10</v>
      </c>
      <c r="H27" s="2">
        <v>46039</v>
      </c>
      <c r="I27" s="2">
        <v>46040</v>
      </c>
      <c r="J27" s="1" t="s">
        <v>29</v>
      </c>
      <c r="K27" s="1">
        <v>1026</v>
      </c>
      <c r="L27" s="1" t="str">
        <f t="shared" si="0"/>
        <v>AJAY</v>
      </c>
      <c r="M27" s="1" t="str">
        <f t="shared" si="1"/>
        <v>marker</v>
      </c>
      <c r="N27" s="1">
        <f t="shared" si="2"/>
        <v>6</v>
      </c>
    </row>
    <row r="28" spans="1:14" x14ac:dyDescent="0.3">
      <c r="A28" s="1" t="s">
        <v>29</v>
      </c>
      <c r="B28" s="1" t="s">
        <v>43</v>
      </c>
      <c r="C28" s="1" t="s">
        <v>13</v>
      </c>
      <c r="D28" s="1" t="s">
        <v>50</v>
      </c>
      <c r="E28" s="1">
        <v>4</v>
      </c>
      <c r="F28" s="1">
        <v>264</v>
      </c>
      <c r="G28" s="1">
        <v>0</v>
      </c>
      <c r="H28" s="2">
        <v>46155</v>
      </c>
      <c r="I28" s="2">
        <v>46161</v>
      </c>
      <c r="J28" s="1" t="s">
        <v>51</v>
      </c>
      <c r="K28" s="1">
        <v>1027</v>
      </c>
      <c r="L28" s="1" t="str">
        <f t="shared" si="0"/>
        <v>PRIYA</v>
      </c>
      <c r="M28" s="1" t="str">
        <f t="shared" si="1"/>
        <v>marker</v>
      </c>
      <c r="N28" s="1">
        <f t="shared" si="2"/>
        <v>6</v>
      </c>
    </row>
    <row r="29" spans="1:14" x14ac:dyDescent="0.3">
      <c r="A29" s="1" t="s">
        <v>47</v>
      </c>
      <c r="B29" s="1" t="s">
        <v>22</v>
      </c>
      <c r="C29" s="1" t="s">
        <v>13</v>
      </c>
      <c r="D29" s="1" t="s">
        <v>36</v>
      </c>
      <c r="E29" s="1">
        <v>13</v>
      </c>
      <c r="F29" s="1">
        <v>433</v>
      </c>
      <c r="G29" s="1">
        <v>2</v>
      </c>
      <c r="H29" s="2">
        <v>46116</v>
      </c>
      <c r="I29" s="2">
        <v>46121</v>
      </c>
      <c r="J29" s="1" t="s">
        <v>24</v>
      </c>
      <c r="K29" s="1">
        <v>1028</v>
      </c>
      <c r="L29" s="1" t="str">
        <f t="shared" si="0"/>
        <v>YASH</v>
      </c>
      <c r="M29" s="1" t="str">
        <f t="shared" si="1"/>
        <v>stapler</v>
      </c>
      <c r="N29" s="1">
        <f t="shared" si="2"/>
        <v>7</v>
      </c>
    </row>
    <row r="30" spans="1:14" x14ac:dyDescent="0.3">
      <c r="A30" s="1" t="s">
        <v>30</v>
      </c>
      <c r="B30" s="1" t="s">
        <v>25</v>
      </c>
      <c r="C30" s="1" t="s">
        <v>13</v>
      </c>
      <c r="D30" s="1" t="s">
        <v>36</v>
      </c>
      <c r="E30" s="1">
        <v>18</v>
      </c>
      <c r="F30" s="1">
        <v>443</v>
      </c>
      <c r="G30" s="1">
        <v>5</v>
      </c>
      <c r="H30" s="2">
        <v>46046</v>
      </c>
      <c r="I30" s="2">
        <v>46054</v>
      </c>
      <c r="J30" s="1" t="s">
        <v>24</v>
      </c>
      <c r="K30" s="1">
        <v>1029</v>
      </c>
      <c r="L30" s="1" t="str">
        <f t="shared" si="0"/>
        <v>NEHA</v>
      </c>
      <c r="M30" s="1" t="str">
        <f t="shared" si="1"/>
        <v>stapler</v>
      </c>
      <c r="N30" s="1">
        <f t="shared" si="2"/>
        <v>7</v>
      </c>
    </row>
    <row r="31" spans="1:14" x14ac:dyDescent="0.3">
      <c r="A31" s="1" t="s">
        <v>52</v>
      </c>
      <c r="B31" s="1" t="s">
        <v>12</v>
      </c>
      <c r="C31" s="1" t="s">
        <v>13</v>
      </c>
      <c r="D31" s="1" t="s">
        <v>53</v>
      </c>
      <c r="E31" s="1">
        <v>13</v>
      </c>
      <c r="F31" s="1">
        <v>336</v>
      </c>
      <c r="G31" s="1">
        <v>10</v>
      </c>
      <c r="H31" s="2">
        <v>46098</v>
      </c>
      <c r="I31" s="2">
        <v>46108</v>
      </c>
      <c r="J31" s="1" t="s">
        <v>15</v>
      </c>
      <c r="K31" s="1">
        <v>1030</v>
      </c>
      <c r="L31" s="1" t="str">
        <f t="shared" si="0"/>
        <v>KOMAL</v>
      </c>
      <c r="M31" s="1" t="str">
        <f t="shared" si="1"/>
        <v>diary</v>
      </c>
      <c r="N31" s="1">
        <f t="shared" si="2"/>
        <v>5</v>
      </c>
    </row>
    <row r="32" spans="1:14" x14ac:dyDescent="0.3">
      <c r="A32" s="1" t="s">
        <v>54</v>
      </c>
      <c r="B32" s="1" t="s">
        <v>31</v>
      </c>
      <c r="C32" s="1" t="s">
        <v>13</v>
      </c>
      <c r="D32" s="1" t="s">
        <v>53</v>
      </c>
      <c r="E32" s="1">
        <v>2</v>
      </c>
      <c r="F32" s="1">
        <v>184</v>
      </c>
      <c r="G32" s="1">
        <v>5</v>
      </c>
      <c r="H32" s="2">
        <v>46089</v>
      </c>
      <c r="I32" s="2">
        <v>46093</v>
      </c>
      <c r="J32" s="1" t="s">
        <v>20</v>
      </c>
      <c r="K32" s="1">
        <v>1031</v>
      </c>
      <c r="L32" s="1" t="str">
        <f t="shared" si="0"/>
        <v>MANOJ</v>
      </c>
      <c r="M32" s="1" t="str">
        <f t="shared" si="1"/>
        <v>diary</v>
      </c>
      <c r="N32" s="1">
        <f t="shared" si="2"/>
        <v>5</v>
      </c>
    </row>
    <row r="33" spans="1:14" x14ac:dyDescent="0.3">
      <c r="A33" s="1" t="s">
        <v>54</v>
      </c>
      <c r="B33" s="1" t="s">
        <v>43</v>
      </c>
      <c r="C33" s="1" t="s">
        <v>34</v>
      </c>
      <c r="D33" s="1" t="s">
        <v>39</v>
      </c>
      <c r="E33" s="1">
        <v>20</v>
      </c>
      <c r="F33" s="1">
        <v>11305</v>
      </c>
      <c r="G33" s="1">
        <v>2</v>
      </c>
      <c r="H33" s="2">
        <v>46163</v>
      </c>
      <c r="I33" s="2">
        <v>46165</v>
      </c>
      <c r="J33" s="1" t="s">
        <v>29</v>
      </c>
      <c r="K33" s="1">
        <v>1032</v>
      </c>
      <c r="L33" s="1" t="str">
        <f t="shared" si="0"/>
        <v>MANOJ</v>
      </c>
      <c r="M33" s="1" t="str">
        <f t="shared" si="1"/>
        <v>keyboard</v>
      </c>
      <c r="N33" s="1">
        <f t="shared" si="2"/>
        <v>8</v>
      </c>
    </row>
    <row r="34" spans="1:14" x14ac:dyDescent="0.3">
      <c r="A34" s="1" t="s">
        <v>11</v>
      </c>
      <c r="B34" s="1" t="s">
        <v>43</v>
      </c>
      <c r="C34" s="1" t="s">
        <v>18</v>
      </c>
      <c r="D34" s="1" t="s">
        <v>19</v>
      </c>
      <c r="E34" s="1">
        <v>9</v>
      </c>
      <c r="F34" s="1">
        <v>4895</v>
      </c>
      <c r="G34" s="1">
        <v>2</v>
      </c>
      <c r="H34" s="2">
        <v>46082</v>
      </c>
      <c r="I34" s="2">
        <v>46084</v>
      </c>
      <c r="J34" s="1" t="s">
        <v>29</v>
      </c>
      <c r="K34" s="1">
        <v>1033</v>
      </c>
      <c r="L34" s="1" t="str">
        <f t="shared" si="0"/>
        <v>RITESH</v>
      </c>
      <c r="M34" s="1" t="str">
        <f t="shared" si="1"/>
        <v>desk</v>
      </c>
      <c r="N34" s="1">
        <f t="shared" si="2"/>
        <v>4</v>
      </c>
    </row>
    <row r="35" spans="1:14" x14ac:dyDescent="0.3">
      <c r="A35" s="1" t="s">
        <v>55</v>
      </c>
      <c r="B35" s="1" t="s">
        <v>33</v>
      </c>
      <c r="C35" s="1" t="s">
        <v>18</v>
      </c>
      <c r="D35" s="1" t="s">
        <v>28</v>
      </c>
      <c r="E35" s="1">
        <v>17</v>
      </c>
      <c r="F35" s="1">
        <v>5104</v>
      </c>
      <c r="G35" s="1">
        <v>12</v>
      </c>
      <c r="H35" s="2">
        <v>46052</v>
      </c>
      <c r="I35" s="2">
        <v>46061</v>
      </c>
      <c r="J35" s="1" t="s">
        <v>51</v>
      </c>
      <c r="K35" s="1">
        <v>1034</v>
      </c>
      <c r="L35" s="1" t="str">
        <f t="shared" si="0"/>
        <v>SNEHA</v>
      </c>
      <c r="M35" s="1" t="str">
        <f t="shared" si="1"/>
        <v>chair</v>
      </c>
      <c r="N35" s="1">
        <f t="shared" si="2"/>
        <v>5</v>
      </c>
    </row>
    <row r="36" spans="1:14" x14ac:dyDescent="0.3">
      <c r="A36" s="1" t="s">
        <v>49</v>
      </c>
      <c r="B36" s="1" t="s">
        <v>43</v>
      </c>
      <c r="C36" s="1" t="s">
        <v>18</v>
      </c>
      <c r="D36" s="1" t="s">
        <v>56</v>
      </c>
      <c r="E36" s="1">
        <v>3</v>
      </c>
      <c r="F36" s="1">
        <v>9149</v>
      </c>
      <c r="G36" s="1">
        <v>0</v>
      </c>
      <c r="H36" s="2">
        <v>46031</v>
      </c>
      <c r="I36" s="2">
        <v>46034</v>
      </c>
      <c r="J36" s="1" t="s">
        <v>24</v>
      </c>
      <c r="K36" s="1">
        <v>1035</v>
      </c>
      <c r="L36" s="1" t="str">
        <f t="shared" si="0"/>
        <v>AJAY</v>
      </c>
      <c r="M36" s="1" t="str">
        <f t="shared" si="1"/>
        <v>cabinet</v>
      </c>
      <c r="N36" s="1">
        <f t="shared" si="2"/>
        <v>7</v>
      </c>
    </row>
    <row r="37" spans="1:14" x14ac:dyDescent="0.3">
      <c r="A37" s="1" t="s">
        <v>11</v>
      </c>
      <c r="B37" s="1" t="s">
        <v>25</v>
      </c>
      <c r="C37" s="1" t="s">
        <v>13</v>
      </c>
      <c r="D37" s="1" t="s">
        <v>36</v>
      </c>
      <c r="E37" s="1">
        <v>20</v>
      </c>
      <c r="F37" s="1">
        <v>161</v>
      </c>
      <c r="G37" s="1">
        <v>7</v>
      </c>
      <c r="H37" s="2">
        <v>46071</v>
      </c>
      <c r="I37" s="2">
        <v>46077</v>
      </c>
      <c r="J37" s="1" t="s">
        <v>24</v>
      </c>
      <c r="K37" s="1">
        <v>1036</v>
      </c>
      <c r="L37" s="1" t="str">
        <f t="shared" si="0"/>
        <v>RITESH</v>
      </c>
      <c r="M37" s="1" t="str">
        <f t="shared" si="1"/>
        <v>stapler</v>
      </c>
      <c r="N37" s="1">
        <f t="shared" si="2"/>
        <v>7</v>
      </c>
    </row>
    <row r="38" spans="1:14" x14ac:dyDescent="0.3">
      <c r="A38" s="1" t="s">
        <v>46</v>
      </c>
      <c r="B38" s="1" t="s">
        <v>43</v>
      </c>
      <c r="C38" s="1" t="s">
        <v>18</v>
      </c>
      <c r="D38" s="1" t="s">
        <v>56</v>
      </c>
      <c r="E38" s="1">
        <v>6</v>
      </c>
      <c r="F38" s="1">
        <v>14385</v>
      </c>
      <c r="G38" s="1">
        <v>12</v>
      </c>
      <c r="H38" s="2">
        <v>46033</v>
      </c>
      <c r="I38" s="2">
        <v>46043</v>
      </c>
      <c r="J38" s="1" t="s">
        <v>24</v>
      </c>
      <c r="K38" s="1">
        <v>1037</v>
      </c>
      <c r="L38" s="1" t="str">
        <f t="shared" si="0"/>
        <v>KIRAN</v>
      </c>
      <c r="M38" s="1" t="str">
        <f t="shared" si="1"/>
        <v>cabinet</v>
      </c>
      <c r="N38" s="1">
        <f t="shared" si="2"/>
        <v>7</v>
      </c>
    </row>
    <row r="39" spans="1:14" x14ac:dyDescent="0.3">
      <c r="A39" s="1" t="s">
        <v>55</v>
      </c>
      <c r="B39" s="1" t="s">
        <v>17</v>
      </c>
      <c r="C39" s="1" t="s">
        <v>13</v>
      </c>
      <c r="D39" s="1" t="s">
        <v>36</v>
      </c>
      <c r="E39" s="1">
        <v>17</v>
      </c>
      <c r="F39" s="1">
        <v>223</v>
      </c>
      <c r="G39" s="1">
        <v>7</v>
      </c>
      <c r="H39" s="2">
        <v>46030</v>
      </c>
      <c r="I39" s="2">
        <v>46031</v>
      </c>
      <c r="J39" s="1" t="s">
        <v>51</v>
      </c>
      <c r="K39" s="1">
        <v>1038</v>
      </c>
      <c r="L39" s="1" t="str">
        <f t="shared" si="0"/>
        <v>SNEHA</v>
      </c>
      <c r="M39" s="1" t="str">
        <f t="shared" si="1"/>
        <v>stapler</v>
      </c>
      <c r="N39" s="1">
        <f t="shared" si="2"/>
        <v>7</v>
      </c>
    </row>
    <row r="40" spans="1:14" x14ac:dyDescent="0.3">
      <c r="A40" s="1" t="s">
        <v>48</v>
      </c>
      <c r="B40" s="1" t="s">
        <v>38</v>
      </c>
      <c r="C40" s="1" t="s">
        <v>34</v>
      </c>
      <c r="D40" s="1" t="s">
        <v>45</v>
      </c>
      <c r="E40" s="1">
        <v>5</v>
      </c>
      <c r="F40" s="1">
        <v>60236</v>
      </c>
      <c r="G40" s="1">
        <v>10</v>
      </c>
      <c r="H40" s="2">
        <v>46107</v>
      </c>
      <c r="I40" s="2">
        <v>46110</v>
      </c>
      <c r="J40" s="1" t="s">
        <v>20</v>
      </c>
      <c r="K40" s="1">
        <v>1039</v>
      </c>
      <c r="L40" s="1" t="str">
        <f t="shared" si="0"/>
        <v>NITIN</v>
      </c>
      <c r="M40" s="1" t="str">
        <f t="shared" si="1"/>
        <v>monitor</v>
      </c>
      <c r="N40" s="1">
        <f t="shared" si="2"/>
        <v>7</v>
      </c>
    </row>
    <row r="41" spans="1:14" x14ac:dyDescent="0.3">
      <c r="A41" s="1" t="s">
        <v>49</v>
      </c>
      <c r="B41" s="1" t="s">
        <v>38</v>
      </c>
      <c r="C41" s="1" t="s">
        <v>18</v>
      </c>
      <c r="D41" s="1" t="s">
        <v>28</v>
      </c>
      <c r="E41" s="1">
        <v>10</v>
      </c>
      <c r="F41" s="1">
        <v>7531</v>
      </c>
      <c r="G41" s="1">
        <v>2</v>
      </c>
      <c r="H41" s="2">
        <v>46171</v>
      </c>
      <c r="I41" s="2">
        <v>46178</v>
      </c>
      <c r="J41" s="1" t="s">
        <v>24</v>
      </c>
      <c r="K41" s="1">
        <v>1040</v>
      </c>
      <c r="L41" s="1" t="str">
        <f t="shared" si="0"/>
        <v>AJAY</v>
      </c>
      <c r="M41" s="1" t="str">
        <f t="shared" si="1"/>
        <v>chair</v>
      </c>
      <c r="N41" s="1">
        <f t="shared" si="2"/>
        <v>5</v>
      </c>
    </row>
    <row r="42" spans="1:14" x14ac:dyDescent="0.3">
      <c r="A42" s="1" t="s">
        <v>54</v>
      </c>
      <c r="B42" s="1" t="s">
        <v>38</v>
      </c>
      <c r="C42" s="1" t="s">
        <v>13</v>
      </c>
      <c r="D42" s="1" t="s">
        <v>50</v>
      </c>
      <c r="E42" s="1">
        <v>9</v>
      </c>
      <c r="F42" s="1">
        <v>71</v>
      </c>
      <c r="G42" s="1">
        <v>7</v>
      </c>
      <c r="H42" s="2">
        <v>46185</v>
      </c>
      <c r="I42" s="2">
        <v>46188</v>
      </c>
      <c r="J42" s="1" t="s">
        <v>15</v>
      </c>
      <c r="K42" s="1">
        <v>1041</v>
      </c>
      <c r="L42" s="1" t="str">
        <f t="shared" si="0"/>
        <v>MANOJ</v>
      </c>
      <c r="M42" s="1" t="str">
        <f t="shared" si="1"/>
        <v>marker</v>
      </c>
      <c r="N42" s="1">
        <f t="shared" si="2"/>
        <v>6</v>
      </c>
    </row>
    <row r="43" spans="1:14" x14ac:dyDescent="0.3">
      <c r="A43" s="1" t="s">
        <v>46</v>
      </c>
      <c r="B43" s="1" t="s">
        <v>33</v>
      </c>
      <c r="C43" s="1" t="s">
        <v>13</v>
      </c>
      <c r="D43" s="1" t="s">
        <v>53</v>
      </c>
      <c r="E43" s="1">
        <v>16</v>
      </c>
      <c r="F43" s="1">
        <v>232</v>
      </c>
      <c r="G43" s="1">
        <v>0</v>
      </c>
      <c r="H43" s="2">
        <v>46081</v>
      </c>
      <c r="I43" s="2">
        <v>46088</v>
      </c>
      <c r="J43" s="1" t="s">
        <v>29</v>
      </c>
      <c r="K43" s="1">
        <v>1042</v>
      </c>
      <c r="L43" s="1" t="str">
        <f t="shared" si="0"/>
        <v>KIRAN</v>
      </c>
      <c r="M43" s="1" t="str">
        <f t="shared" si="1"/>
        <v>diary</v>
      </c>
      <c r="N43" s="1">
        <f t="shared" si="2"/>
        <v>5</v>
      </c>
    </row>
    <row r="44" spans="1:14" x14ac:dyDescent="0.3">
      <c r="A44" s="1" t="s">
        <v>49</v>
      </c>
      <c r="B44" s="1" t="s">
        <v>38</v>
      </c>
      <c r="C44" s="1" t="s">
        <v>34</v>
      </c>
      <c r="D44" s="1" t="s">
        <v>35</v>
      </c>
      <c r="E44" s="1">
        <v>20</v>
      </c>
      <c r="F44" s="1">
        <v>46093</v>
      </c>
      <c r="G44" s="1">
        <v>5</v>
      </c>
      <c r="H44" s="2">
        <v>46091</v>
      </c>
      <c r="I44" s="2">
        <v>46098</v>
      </c>
      <c r="J44" s="1" t="s">
        <v>29</v>
      </c>
      <c r="K44" s="1">
        <v>1043</v>
      </c>
      <c r="L44" s="1" t="str">
        <f t="shared" si="0"/>
        <v>AJAY</v>
      </c>
      <c r="M44" s="1" t="str">
        <f t="shared" si="1"/>
        <v>printer</v>
      </c>
      <c r="N44" s="1">
        <f t="shared" si="2"/>
        <v>7</v>
      </c>
    </row>
    <row r="45" spans="1:14" x14ac:dyDescent="0.3">
      <c r="A45" s="1" t="s">
        <v>48</v>
      </c>
      <c r="B45" s="1" t="s">
        <v>38</v>
      </c>
      <c r="C45" s="1" t="s">
        <v>18</v>
      </c>
      <c r="D45" s="1" t="s">
        <v>19</v>
      </c>
      <c r="E45" s="1">
        <v>4</v>
      </c>
      <c r="F45" s="1">
        <v>14731</v>
      </c>
      <c r="G45" s="1">
        <v>2</v>
      </c>
      <c r="H45" s="2">
        <v>46173</v>
      </c>
      <c r="I45" s="2">
        <v>46176</v>
      </c>
      <c r="J45" s="1" t="s">
        <v>20</v>
      </c>
      <c r="K45" s="1">
        <v>1044</v>
      </c>
      <c r="L45" s="1" t="str">
        <f t="shared" si="0"/>
        <v>NITIN</v>
      </c>
      <c r="M45" s="1" t="str">
        <f t="shared" si="1"/>
        <v>desk</v>
      </c>
      <c r="N45" s="1">
        <f t="shared" si="2"/>
        <v>4</v>
      </c>
    </row>
    <row r="46" spans="1:14" x14ac:dyDescent="0.3">
      <c r="A46" s="1" t="s">
        <v>32</v>
      </c>
      <c r="B46" s="1" t="s">
        <v>38</v>
      </c>
      <c r="C46" s="1" t="s">
        <v>34</v>
      </c>
      <c r="D46" s="1" t="s">
        <v>35</v>
      </c>
      <c r="E46" s="1">
        <v>3</v>
      </c>
      <c r="F46" s="1">
        <v>62762</v>
      </c>
      <c r="G46" s="1">
        <v>7</v>
      </c>
      <c r="H46" s="2">
        <v>46038</v>
      </c>
      <c r="I46" s="2">
        <v>46039</v>
      </c>
      <c r="J46" s="1" t="s">
        <v>29</v>
      </c>
      <c r="K46" s="1">
        <v>1045</v>
      </c>
      <c r="L46" s="1" t="str">
        <f t="shared" si="0"/>
        <v>ASHA</v>
      </c>
      <c r="M46" s="1" t="str">
        <f t="shared" si="1"/>
        <v>printer</v>
      </c>
      <c r="N46" s="1">
        <f t="shared" si="2"/>
        <v>7</v>
      </c>
    </row>
    <row r="47" spans="1:14" x14ac:dyDescent="0.3">
      <c r="A47" s="1" t="s">
        <v>57</v>
      </c>
      <c r="B47" s="1" t="s">
        <v>38</v>
      </c>
      <c r="C47" s="1" t="s">
        <v>34</v>
      </c>
      <c r="D47" s="1" t="s">
        <v>45</v>
      </c>
      <c r="E47" s="1">
        <v>3</v>
      </c>
      <c r="F47" s="1">
        <v>19443</v>
      </c>
      <c r="G47" s="1">
        <v>10</v>
      </c>
      <c r="H47" s="2">
        <v>46153</v>
      </c>
      <c r="I47" s="2">
        <v>46158</v>
      </c>
      <c r="J47" s="1" t="s">
        <v>29</v>
      </c>
      <c r="K47" s="1">
        <v>1046</v>
      </c>
      <c r="L47" s="1" t="str">
        <f t="shared" si="0"/>
        <v>SARA</v>
      </c>
      <c r="M47" s="1" t="str">
        <f t="shared" si="1"/>
        <v>monitor</v>
      </c>
      <c r="N47" s="1">
        <f t="shared" si="2"/>
        <v>7</v>
      </c>
    </row>
    <row r="48" spans="1:14" x14ac:dyDescent="0.3">
      <c r="A48" s="1" t="s">
        <v>58</v>
      </c>
      <c r="B48" s="1" t="s">
        <v>38</v>
      </c>
      <c r="C48" s="1" t="s">
        <v>18</v>
      </c>
      <c r="D48" s="1" t="s">
        <v>56</v>
      </c>
      <c r="E48" s="1">
        <v>11</v>
      </c>
      <c r="F48" s="1">
        <v>9976</v>
      </c>
      <c r="G48" s="1">
        <v>12</v>
      </c>
      <c r="H48" s="2">
        <v>46200</v>
      </c>
      <c r="I48" s="2">
        <v>46209</v>
      </c>
      <c r="J48" s="1" t="s">
        <v>15</v>
      </c>
      <c r="K48" s="1">
        <v>1047</v>
      </c>
      <c r="L48" s="1" t="str">
        <f t="shared" si="0"/>
        <v>ROHAN</v>
      </c>
      <c r="M48" s="1" t="str">
        <f t="shared" si="1"/>
        <v>cabinet</v>
      </c>
      <c r="N48" s="1">
        <f t="shared" si="2"/>
        <v>7</v>
      </c>
    </row>
    <row r="49" spans="1:14" x14ac:dyDescent="0.3">
      <c r="A49" s="1" t="s">
        <v>59</v>
      </c>
      <c r="B49" s="1" t="s">
        <v>25</v>
      </c>
      <c r="C49" s="1" t="s">
        <v>34</v>
      </c>
      <c r="D49" s="1" t="s">
        <v>60</v>
      </c>
      <c r="E49" s="1">
        <v>14</v>
      </c>
      <c r="F49" s="1">
        <v>11762</v>
      </c>
      <c r="G49" s="1">
        <v>7</v>
      </c>
      <c r="H49" s="2">
        <v>46180</v>
      </c>
      <c r="I49" s="2">
        <v>46186</v>
      </c>
      <c r="J49" s="1" t="s">
        <v>24</v>
      </c>
      <c r="K49" s="1">
        <v>1048</v>
      </c>
      <c r="L49" s="1" t="str">
        <f t="shared" si="0"/>
        <v>ANITA</v>
      </c>
      <c r="M49" s="1" t="str">
        <f t="shared" si="1"/>
        <v>laptop</v>
      </c>
      <c r="N49" s="1">
        <f t="shared" si="2"/>
        <v>6</v>
      </c>
    </row>
    <row r="50" spans="1:14" x14ac:dyDescent="0.3">
      <c r="A50" s="1" t="s">
        <v>52</v>
      </c>
      <c r="B50" s="1" t="s">
        <v>25</v>
      </c>
      <c r="C50" s="1" t="s">
        <v>34</v>
      </c>
      <c r="D50" s="1" t="s">
        <v>45</v>
      </c>
      <c r="E50" s="1">
        <v>2</v>
      </c>
      <c r="F50" s="1">
        <v>40789</v>
      </c>
      <c r="G50" s="1">
        <v>0</v>
      </c>
      <c r="H50" s="2">
        <v>46102</v>
      </c>
      <c r="I50" s="2">
        <v>46108</v>
      </c>
      <c r="J50" s="1" t="s">
        <v>24</v>
      </c>
      <c r="K50" s="1">
        <v>1049</v>
      </c>
      <c r="L50" s="1" t="str">
        <f t="shared" si="0"/>
        <v>KOMAL</v>
      </c>
      <c r="M50" s="1" t="str">
        <f t="shared" si="1"/>
        <v>monitor</v>
      </c>
      <c r="N50" s="1">
        <f t="shared" si="2"/>
        <v>7</v>
      </c>
    </row>
    <row r="51" spans="1:14" x14ac:dyDescent="0.3">
      <c r="A51" s="1" t="s">
        <v>32</v>
      </c>
      <c r="B51" s="1" t="s">
        <v>25</v>
      </c>
      <c r="C51" s="1" t="s">
        <v>13</v>
      </c>
      <c r="D51" s="1" t="s">
        <v>53</v>
      </c>
      <c r="E51" s="1">
        <v>12</v>
      </c>
      <c r="F51" s="1">
        <v>360</v>
      </c>
      <c r="G51" s="1">
        <v>5</v>
      </c>
      <c r="H51" s="2">
        <v>46127</v>
      </c>
      <c r="I51" s="2">
        <v>46137</v>
      </c>
      <c r="J51" s="1" t="s">
        <v>29</v>
      </c>
      <c r="K51" s="1">
        <v>1050</v>
      </c>
      <c r="L51" s="1" t="str">
        <f t="shared" si="0"/>
        <v>ASHA</v>
      </c>
      <c r="M51" s="1" t="str">
        <f t="shared" si="1"/>
        <v>diary</v>
      </c>
      <c r="N51" s="1">
        <f t="shared" si="2"/>
        <v>5</v>
      </c>
    </row>
    <row r="52" spans="1:14" x14ac:dyDescent="0.3">
      <c r="A52" s="1" t="s">
        <v>58</v>
      </c>
      <c r="B52" s="1" t="s">
        <v>17</v>
      </c>
      <c r="C52" s="1" t="s">
        <v>13</v>
      </c>
      <c r="D52" s="1" t="s">
        <v>36</v>
      </c>
      <c r="E52" s="1">
        <v>12</v>
      </c>
      <c r="F52" s="1">
        <v>47</v>
      </c>
      <c r="G52" s="1">
        <v>2</v>
      </c>
      <c r="H52" s="2">
        <v>46037</v>
      </c>
      <c r="I52" s="2">
        <v>46045</v>
      </c>
      <c r="J52" s="1" t="s">
        <v>15</v>
      </c>
      <c r="K52" s="1">
        <v>1051</v>
      </c>
      <c r="L52" s="1" t="str">
        <f t="shared" si="0"/>
        <v>ROHAN</v>
      </c>
      <c r="M52" s="1" t="str">
        <f t="shared" si="1"/>
        <v>stapler</v>
      </c>
      <c r="N52" s="1">
        <f t="shared" si="2"/>
        <v>7</v>
      </c>
    </row>
    <row r="53" spans="1:14" x14ac:dyDescent="0.3">
      <c r="A53" s="1" t="s">
        <v>55</v>
      </c>
      <c r="B53" s="1" t="s">
        <v>12</v>
      </c>
      <c r="C53" s="1" t="s">
        <v>13</v>
      </c>
      <c r="D53" s="1" t="s">
        <v>14</v>
      </c>
      <c r="E53" s="1">
        <v>17</v>
      </c>
      <c r="F53" s="1">
        <v>172</v>
      </c>
      <c r="G53" s="1">
        <v>10</v>
      </c>
      <c r="H53" s="2">
        <v>46159</v>
      </c>
      <c r="I53" s="2">
        <v>46165</v>
      </c>
      <c r="J53" s="1" t="s">
        <v>20</v>
      </c>
      <c r="K53" s="1">
        <v>1052</v>
      </c>
      <c r="L53" s="1" t="str">
        <f t="shared" si="0"/>
        <v>SNEHA</v>
      </c>
      <c r="M53" s="1" t="str">
        <f t="shared" si="1"/>
        <v>notebook</v>
      </c>
      <c r="N53" s="1">
        <f t="shared" si="2"/>
        <v>8</v>
      </c>
    </row>
    <row r="54" spans="1:14" x14ac:dyDescent="0.3">
      <c r="A54" s="1" t="s">
        <v>16</v>
      </c>
      <c r="B54" s="1" t="s">
        <v>33</v>
      </c>
      <c r="C54" s="1" t="s">
        <v>18</v>
      </c>
      <c r="D54" s="1" t="s">
        <v>28</v>
      </c>
      <c r="E54" s="1">
        <v>1</v>
      </c>
      <c r="F54" s="1">
        <v>9749</v>
      </c>
      <c r="G54" s="1">
        <v>15</v>
      </c>
      <c r="H54" s="2">
        <v>46064</v>
      </c>
      <c r="I54" s="2">
        <v>46070</v>
      </c>
      <c r="J54" s="1" t="s">
        <v>24</v>
      </c>
      <c r="K54" s="1">
        <v>1053</v>
      </c>
      <c r="L54" s="1" t="str">
        <f t="shared" si="0"/>
        <v>POOJA</v>
      </c>
      <c r="M54" s="1" t="str">
        <f t="shared" si="1"/>
        <v>chair</v>
      </c>
      <c r="N54" s="1">
        <f t="shared" si="2"/>
        <v>5</v>
      </c>
    </row>
    <row r="55" spans="1:14" x14ac:dyDescent="0.3">
      <c r="A55" s="1" t="s">
        <v>26</v>
      </c>
      <c r="B55" s="1" t="s">
        <v>25</v>
      </c>
      <c r="C55" s="1" t="s">
        <v>18</v>
      </c>
      <c r="D55" s="1" t="s">
        <v>23</v>
      </c>
      <c r="E55" s="1">
        <v>8</v>
      </c>
      <c r="F55" s="1">
        <v>9798</v>
      </c>
      <c r="G55" s="1">
        <v>12</v>
      </c>
      <c r="H55" s="2">
        <v>46200</v>
      </c>
      <c r="I55" s="2">
        <v>46201</v>
      </c>
      <c r="J55" s="1" t="s">
        <v>51</v>
      </c>
      <c r="K55" s="1">
        <v>1054</v>
      </c>
      <c r="L55" s="1" t="str">
        <f t="shared" si="0"/>
        <v>VIKRAM</v>
      </c>
      <c r="M55" s="1" t="str">
        <f t="shared" si="1"/>
        <v>table</v>
      </c>
      <c r="N55" s="1">
        <f t="shared" si="2"/>
        <v>5</v>
      </c>
    </row>
    <row r="56" spans="1:14" x14ac:dyDescent="0.3">
      <c r="A56" s="1" t="s">
        <v>48</v>
      </c>
      <c r="B56" s="1" t="s">
        <v>12</v>
      </c>
      <c r="C56" s="1" t="s">
        <v>13</v>
      </c>
      <c r="D56" s="1" t="s">
        <v>37</v>
      </c>
      <c r="E56" s="1">
        <v>18</v>
      </c>
      <c r="F56" s="1">
        <v>185</v>
      </c>
      <c r="G56" s="1">
        <v>15</v>
      </c>
      <c r="H56" s="2">
        <v>46077</v>
      </c>
      <c r="I56" s="2">
        <v>46078</v>
      </c>
      <c r="J56" s="1" t="s">
        <v>15</v>
      </c>
      <c r="K56" s="1">
        <v>1055</v>
      </c>
      <c r="L56" s="1" t="str">
        <f t="shared" si="0"/>
        <v>NITIN</v>
      </c>
      <c r="M56" s="1" t="str">
        <f t="shared" si="1"/>
        <v>pen pack</v>
      </c>
      <c r="N56" s="1">
        <f t="shared" si="2"/>
        <v>8</v>
      </c>
    </row>
    <row r="57" spans="1:14" x14ac:dyDescent="0.3">
      <c r="A57" s="1" t="s">
        <v>11</v>
      </c>
      <c r="B57" s="1" t="s">
        <v>22</v>
      </c>
      <c r="C57" s="1" t="s">
        <v>18</v>
      </c>
      <c r="D57" s="1" t="s">
        <v>19</v>
      </c>
      <c r="E57" s="1">
        <v>3</v>
      </c>
      <c r="F57" s="1">
        <v>9771</v>
      </c>
      <c r="G57" s="1">
        <v>5</v>
      </c>
      <c r="H57" s="2">
        <v>46133</v>
      </c>
      <c r="I57" s="2">
        <v>46139</v>
      </c>
      <c r="J57" s="1" t="s">
        <v>24</v>
      </c>
      <c r="K57" s="1">
        <v>1056</v>
      </c>
      <c r="L57" s="1" t="str">
        <f t="shared" si="0"/>
        <v>RITESH</v>
      </c>
      <c r="M57" s="1" t="str">
        <f t="shared" si="1"/>
        <v>desk</v>
      </c>
      <c r="N57" s="1">
        <f t="shared" si="2"/>
        <v>4</v>
      </c>
    </row>
    <row r="58" spans="1:14" x14ac:dyDescent="0.3">
      <c r="A58" s="1" t="s">
        <v>59</v>
      </c>
      <c r="B58" s="1" t="s">
        <v>22</v>
      </c>
      <c r="C58" s="1" t="s">
        <v>18</v>
      </c>
      <c r="D58" s="1" t="s">
        <v>28</v>
      </c>
      <c r="E58" s="1">
        <v>2</v>
      </c>
      <c r="F58" s="1">
        <v>9531</v>
      </c>
      <c r="G58" s="1">
        <v>15</v>
      </c>
      <c r="H58" s="2">
        <v>46067</v>
      </c>
      <c r="I58" s="2">
        <v>46076</v>
      </c>
      <c r="J58" s="1" t="s">
        <v>51</v>
      </c>
      <c r="K58" s="1">
        <v>1057</v>
      </c>
      <c r="L58" s="1" t="str">
        <f t="shared" si="0"/>
        <v>ANITA</v>
      </c>
      <c r="M58" s="1" t="str">
        <f t="shared" si="1"/>
        <v>chair</v>
      </c>
      <c r="N58" s="1">
        <f t="shared" si="2"/>
        <v>5</v>
      </c>
    </row>
    <row r="59" spans="1:14" x14ac:dyDescent="0.3">
      <c r="A59" s="1" t="s">
        <v>52</v>
      </c>
      <c r="B59" s="1" t="s">
        <v>38</v>
      </c>
      <c r="C59" s="1" t="s">
        <v>18</v>
      </c>
      <c r="D59" s="1" t="s">
        <v>28</v>
      </c>
      <c r="E59" s="1">
        <v>10</v>
      </c>
      <c r="F59" s="1">
        <v>5532</v>
      </c>
      <c r="G59" s="1">
        <v>7</v>
      </c>
      <c r="H59" s="2">
        <v>46074</v>
      </c>
      <c r="I59" s="2">
        <v>46084</v>
      </c>
      <c r="J59" s="1" t="s">
        <v>24</v>
      </c>
      <c r="K59" s="1">
        <v>1058</v>
      </c>
      <c r="L59" s="1" t="str">
        <f t="shared" si="0"/>
        <v>KOMAL</v>
      </c>
      <c r="M59" s="1" t="str">
        <f t="shared" si="1"/>
        <v>chair</v>
      </c>
      <c r="N59" s="1">
        <f t="shared" si="2"/>
        <v>5</v>
      </c>
    </row>
    <row r="60" spans="1:14" x14ac:dyDescent="0.3">
      <c r="A60" s="1" t="s">
        <v>54</v>
      </c>
      <c r="B60" s="1" t="s">
        <v>25</v>
      </c>
      <c r="C60" s="1" t="s">
        <v>13</v>
      </c>
      <c r="D60" s="1" t="s">
        <v>50</v>
      </c>
      <c r="E60" s="1">
        <v>20</v>
      </c>
      <c r="F60" s="1">
        <v>112</v>
      </c>
      <c r="G60" s="1">
        <v>10</v>
      </c>
      <c r="H60" s="2">
        <v>46113</v>
      </c>
      <c r="I60" s="2">
        <v>46122</v>
      </c>
      <c r="J60" s="1" t="s">
        <v>51</v>
      </c>
      <c r="K60" s="1">
        <v>1059</v>
      </c>
      <c r="L60" s="1" t="str">
        <f t="shared" si="0"/>
        <v>MANOJ</v>
      </c>
      <c r="M60" s="1" t="str">
        <f t="shared" si="1"/>
        <v>marker</v>
      </c>
      <c r="N60" s="1">
        <f t="shared" si="2"/>
        <v>6</v>
      </c>
    </row>
    <row r="61" spans="1:14" x14ac:dyDescent="0.3">
      <c r="A61" s="1" t="s">
        <v>49</v>
      </c>
      <c r="B61" s="1" t="s">
        <v>12</v>
      </c>
      <c r="C61" s="1" t="s">
        <v>18</v>
      </c>
      <c r="D61" s="1" t="s">
        <v>44</v>
      </c>
      <c r="E61" s="1">
        <v>9</v>
      </c>
      <c r="F61" s="1">
        <v>9727</v>
      </c>
      <c r="G61" s="1">
        <v>2</v>
      </c>
      <c r="H61" s="2">
        <v>46024</v>
      </c>
      <c r="I61" s="2">
        <v>46030</v>
      </c>
      <c r="J61" s="1" t="s">
        <v>20</v>
      </c>
      <c r="K61" s="1">
        <v>1060</v>
      </c>
      <c r="L61" s="1" t="str">
        <f t="shared" si="0"/>
        <v>AJAY</v>
      </c>
      <c r="M61" s="1" t="str">
        <f t="shared" si="1"/>
        <v>bookshelf</v>
      </c>
      <c r="N61" s="1">
        <f t="shared" si="2"/>
        <v>9</v>
      </c>
    </row>
    <row r="62" spans="1:14" x14ac:dyDescent="0.3">
      <c r="A62" s="1" t="s">
        <v>57</v>
      </c>
      <c r="B62" s="1" t="s">
        <v>12</v>
      </c>
      <c r="C62" s="1" t="s">
        <v>34</v>
      </c>
      <c r="D62" s="1" t="s">
        <v>41</v>
      </c>
      <c r="E62" s="1">
        <v>16</v>
      </c>
      <c r="F62" s="1">
        <v>59084</v>
      </c>
      <c r="G62" s="1">
        <v>0</v>
      </c>
      <c r="H62" s="2">
        <v>46060</v>
      </c>
      <c r="I62" s="2">
        <v>46069</v>
      </c>
      <c r="J62" s="1" t="s">
        <v>20</v>
      </c>
      <c r="K62" s="1">
        <v>1061</v>
      </c>
      <c r="L62" s="1" t="str">
        <f t="shared" si="0"/>
        <v>SARA</v>
      </c>
      <c r="M62" s="1" t="str">
        <f t="shared" si="1"/>
        <v>headset</v>
      </c>
      <c r="N62" s="1">
        <f t="shared" si="2"/>
        <v>7</v>
      </c>
    </row>
    <row r="63" spans="1:14" x14ac:dyDescent="0.3">
      <c r="A63" s="1" t="s">
        <v>40</v>
      </c>
      <c r="B63" s="1" t="s">
        <v>43</v>
      </c>
      <c r="C63" s="1" t="s">
        <v>18</v>
      </c>
      <c r="D63" s="1" t="s">
        <v>23</v>
      </c>
      <c r="E63" s="1">
        <v>8</v>
      </c>
      <c r="F63" s="1">
        <v>8360</v>
      </c>
      <c r="G63" s="1">
        <v>2</v>
      </c>
      <c r="H63" s="2">
        <v>46190</v>
      </c>
      <c r="I63" s="2">
        <v>46200</v>
      </c>
      <c r="J63" s="1" t="s">
        <v>51</v>
      </c>
      <c r="K63" s="1">
        <v>1062</v>
      </c>
      <c r="L63" s="1" t="str">
        <f t="shared" si="0"/>
        <v>DEEPAK</v>
      </c>
      <c r="M63" s="1" t="str">
        <f t="shared" si="1"/>
        <v>table</v>
      </c>
      <c r="N63" s="1">
        <f t="shared" si="2"/>
        <v>5</v>
      </c>
    </row>
    <row r="64" spans="1:14" x14ac:dyDescent="0.3">
      <c r="A64" s="1" t="s">
        <v>54</v>
      </c>
      <c r="B64" s="1" t="s">
        <v>22</v>
      </c>
      <c r="C64" s="1" t="s">
        <v>34</v>
      </c>
      <c r="D64" s="1" t="s">
        <v>45</v>
      </c>
      <c r="E64" s="1">
        <v>7</v>
      </c>
      <c r="F64" s="1">
        <v>66744</v>
      </c>
      <c r="G64" s="1">
        <v>7</v>
      </c>
      <c r="H64" s="2">
        <v>46148</v>
      </c>
      <c r="I64" s="2">
        <v>46155</v>
      </c>
      <c r="J64" s="1" t="s">
        <v>15</v>
      </c>
      <c r="K64" s="1">
        <v>1063</v>
      </c>
      <c r="L64" s="1" t="str">
        <f t="shared" si="0"/>
        <v>MANOJ</v>
      </c>
      <c r="M64" s="1" t="str">
        <f t="shared" si="1"/>
        <v>monitor</v>
      </c>
      <c r="N64" s="1">
        <f t="shared" si="2"/>
        <v>7</v>
      </c>
    </row>
    <row r="65" spans="1:14" x14ac:dyDescent="0.3">
      <c r="A65" s="1" t="s">
        <v>26</v>
      </c>
      <c r="B65" s="1" t="s">
        <v>17</v>
      </c>
      <c r="C65" s="1" t="s">
        <v>13</v>
      </c>
      <c r="D65" s="1" t="s">
        <v>50</v>
      </c>
      <c r="E65" s="1">
        <v>20</v>
      </c>
      <c r="F65" s="1">
        <v>191</v>
      </c>
      <c r="G65" s="1">
        <v>7</v>
      </c>
      <c r="H65" s="2">
        <v>46185</v>
      </c>
      <c r="I65" s="2">
        <v>46195</v>
      </c>
      <c r="J65" s="1" t="s">
        <v>29</v>
      </c>
      <c r="K65" s="1">
        <v>1064</v>
      </c>
      <c r="L65" s="1" t="str">
        <f t="shared" si="0"/>
        <v>VIKRAM</v>
      </c>
      <c r="M65" s="1" t="str">
        <f t="shared" si="1"/>
        <v>marker</v>
      </c>
      <c r="N65" s="1">
        <f t="shared" si="2"/>
        <v>6</v>
      </c>
    </row>
    <row r="66" spans="1:14" x14ac:dyDescent="0.3">
      <c r="A66" s="1" t="s">
        <v>42</v>
      </c>
      <c r="B66" s="1" t="s">
        <v>43</v>
      </c>
      <c r="C66" s="1" t="s">
        <v>18</v>
      </c>
      <c r="D66" s="1" t="s">
        <v>44</v>
      </c>
      <c r="E66" s="1">
        <v>1</v>
      </c>
      <c r="F66" s="1">
        <v>7730</v>
      </c>
      <c r="G66" s="1">
        <v>5</v>
      </c>
      <c r="H66" s="2">
        <v>46192</v>
      </c>
      <c r="I66" s="2">
        <v>46195</v>
      </c>
      <c r="J66" s="1" t="s">
        <v>51</v>
      </c>
      <c r="K66" s="1">
        <v>1065</v>
      </c>
      <c r="L66" s="1" t="str">
        <f t="shared" si="0"/>
        <v>NISHA</v>
      </c>
      <c r="M66" s="1" t="str">
        <f t="shared" si="1"/>
        <v>bookshelf</v>
      </c>
      <c r="N66" s="1">
        <f t="shared" si="2"/>
        <v>9</v>
      </c>
    </row>
    <row r="67" spans="1:14" x14ac:dyDescent="0.3">
      <c r="A67" s="1" t="s">
        <v>47</v>
      </c>
      <c r="B67" s="1" t="s">
        <v>25</v>
      </c>
      <c r="C67" s="1" t="s">
        <v>18</v>
      </c>
      <c r="D67" s="1" t="s">
        <v>44</v>
      </c>
      <c r="E67" s="1">
        <v>15</v>
      </c>
      <c r="F67" s="1">
        <v>11987</v>
      </c>
      <c r="G67" s="1">
        <v>5</v>
      </c>
      <c r="H67" s="2">
        <v>46082</v>
      </c>
      <c r="I67" s="2">
        <v>46083</v>
      </c>
      <c r="J67" s="1" t="s">
        <v>15</v>
      </c>
      <c r="K67" s="1">
        <v>1066</v>
      </c>
      <c r="L67" s="1" t="str">
        <f t="shared" si="0"/>
        <v>YASH</v>
      </c>
      <c r="M67" s="1" t="str">
        <f t="shared" si="1"/>
        <v>bookshelf</v>
      </c>
      <c r="N67" s="1">
        <f t="shared" si="2"/>
        <v>9</v>
      </c>
    </row>
    <row r="68" spans="1:14" x14ac:dyDescent="0.3">
      <c r="A68" s="1" t="s">
        <v>32</v>
      </c>
      <c r="B68" s="1" t="s">
        <v>43</v>
      </c>
      <c r="C68" s="1" t="s">
        <v>18</v>
      </c>
      <c r="D68" s="1" t="s">
        <v>56</v>
      </c>
      <c r="E68" s="1">
        <v>14</v>
      </c>
      <c r="F68" s="1">
        <v>10869</v>
      </c>
      <c r="G68" s="1">
        <v>0</v>
      </c>
      <c r="H68" s="2">
        <v>46058</v>
      </c>
      <c r="I68" s="2">
        <v>46062</v>
      </c>
      <c r="J68" s="1" t="s">
        <v>29</v>
      </c>
      <c r="K68" s="1">
        <v>1067</v>
      </c>
      <c r="L68" s="1" t="str">
        <f t="shared" si="0"/>
        <v>ASHA</v>
      </c>
      <c r="M68" s="1" t="str">
        <f t="shared" si="1"/>
        <v>cabinet</v>
      </c>
      <c r="N68" s="1">
        <f t="shared" si="2"/>
        <v>7</v>
      </c>
    </row>
    <row r="69" spans="1:14" x14ac:dyDescent="0.3">
      <c r="A69" s="1" t="s">
        <v>52</v>
      </c>
      <c r="B69" s="1" t="s">
        <v>43</v>
      </c>
      <c r="C69" s="1" t="s">
        <v>34</v>
      </c>
      <c r="D69" s="1" t="s">
        <v>60</v>
      </c>
      <c r="E69" s="1">
        <v>15</v>
      </c>
      <c r="F69" s="1">
        <v>14534</v>
      </c>
      <c r="G69" s="1">
        <v>5</v>
      </c>
      <c r="H69" s="2">
        <v>46196</v>
      </c>
      <c r="I69" s="2">
        <v>46199</v>
      </c>
      <c r="J69" s="1" t="s">
        <v>29</v>
      </c>
      <c r="K69" s="1">
        <v>1068</v>
      </c>
      <c r="L69" s="1" t="str">
        <f t="shared" si="0"/>
        <v>KOMAL</v>
      </c>
      <c r="M69" s="1" t="str">
        <f t="shared" si="1"/>
        <v>laptop</v>
      </c>
      <c r="N69" s="1">
        <f t="shared" si="2"/>
        <v>6</v>
      </c>
    </row>
    <row r="70" spans="1:14" x14ac:dyDescent="0.3">
      <c r="A70" s="1" t="s">
        <v>52</v>
      </c>
      <c r="B70" s="1" t="s">
        <v>31</v>
      </c>
      <c r="C70" s="1" t="s">
        <v>18</v>
      </c>
      <c r="D70" s="1" t="s">
        <v>28</v>
      </c>
      <c r="E70" s="1">
        <v>9</v>
      </c>
      <c r="F70" s="1">
        <v>4415</v>
      </c>
      <c r="G70" s="1">
        <v>5</v>
      </c>
      <c r="H70" s="2">
        <v>46039</v>
      </c>
      <c r="I70" s="2">
        <v>46046</v>
      </c>
      <c r="J70" s="1" t="s">
        <v>15</v>
      </c>
      <c r="K70" s="1">
        <v>1069</v>
      </c>
      <c r="L70" s="1" t="str">
        <f t="shared" si="0"/>
        <v>KOMAL</v>
      </c>
      <c r="M70" s="1" t="str">
        <f t="shared" si="1"/>
        <v>chair</v>
      </c>
      <c r="N70" s="1">
        <f t="shared" si="2"/>
        <v>5</v>
      </c>
    </row>
    <row r="71" spans="1:14" x14ac:dyDescent="0.3">
      <c r="A71" s="1" t="s">
        <v>52</v>
      </c>
      <c r="B71" s="1" t="s">
        <v>43</v>
      </c>
      <c r="C71" s="1" t="s">
        <v>13</v>
      </c>
      <c r="D71" s="1" t="s">
        <v>36</v>
      </c>
      <c r="E71" s="1">
        <v>10</v>
      </c>
      <c r="F71" s="1">
        <v>233</v>
      </c>
      <c r="G71" s="1">
        <v>7</v>
      </c>
      <c r="H71" s="2">
        <v>46076</v>
      </c>
      <c r="I71" s="2">
        <v>46077</v>
      </c>
      <c r="J71" s="1" t="s">
        <v>29</v>
      </c>
      <c r="K71" s="1">
        <v>1070</v>
      </c>
      <c r="L71" s="1" t="str">
        <f t="shared" si="0"/>
        <v>KOMAL</v>
      </c>
      <c r="M71" s="1" t="str">
        <f t="shared" si="1"/>
        <v>stapler</v>
      </c>
      <c r="N71" s="1">
        <f t="shared" si="2"/>
        <v>7</v>
      </c>
    </row>
    <row r="72" spans="1:14" x14ac:dyDescent="0.3">
      <c r="A72" s="1" t="s">
        <v>59</v>
      </c>
      <c r="B72" s="1" t="s">
        <v>22</v>
      </c>
      <c r="C72" s="1" t="s">
        <v>34</v>
      </c>
      <c r="D72" s="1" t="s">
        <v>61</v>
      </c>
      <c r="E72" s="1">
        <v>18</v>
      </c>
      <c r="F72" s="1">
        <v>32197</v>
      </c>
      <c r="G72" s="1">
        <v>5</v>
      </c>
      <c r="H72" s="2">
        <v>46129</v>
      </c>
      <c r="I72" s="2">
        <v>46137</v>
      </c>
      <c r="J72" s="1" t="s">
        <v>20</v>
      </c>
      <c r="K72" s="1">
        <v>1071</v>
      </c>
      <c r="L72" s="1" t="str">
        <f t="shared" si="0"/>
        <v>ANITA</v>
      </c>
      <c r="M72" s="1" t="str">
        <f t="shared" si="1"/>
        <v>mouse</v>
      </c>
      <c r="N72" s="1">
        <f t="shared" si="2"/>
        <v>5</v>
      </c>
    </row>
    <row r="73" spans="1:14" x14ac:dyDescent="0.3">
      <c r="A73" s="1" t="s">
        <v>16</v>
      </c>
      <c r="B73" s="1" t="s">
        <v>25</v>
      </c>
      <c r="C73" s="1" t="s">
        <v>34</v>
      </c>
      <c r="D73" s="1" t="s">
        <v>61</v>
      </c>
      <c r="E73" s="1">
        <v>20</v>
      </c>
      <c r="F73" s="1">
        <v>58779</v>
      </c>
      <c r="G73" s="1">
        <v>0</v>
      </c>
      <c r="H73" s="2">
        <v>46035</v>
      </c>
      <c r="I73" s="2">
        <v>46036</v>
      </c>
      <c r="J73" s="1" t="s">
        <v>24</v>
      </c>
      <c r="K73" s="1">
        <v>1072</v>
      </c>
      <c r="L73" s="1" t="str">
        <f t="shared" si="0"/>
        <v>POOJA</v>
      </c>
      <c r="M73" s="1" t="str">
        <f t="shared" si="1"/>
        <v>mouse</v>
      </c>
      <c r="N73" s="1">
        <f t="shared" si="2"/>
        <v>5</v>
      </c>
    </row>
    <row r="74" spans="1:14" x14ac:dyDescent="0.3">
      <c r="A74" s="1" t="s">
        <v>58</v>
      </c>
      <c r="B74" s="1" t="s">
        <v>17</v>
      </c>
      <c r="C74" s="1" t="s">
        <v>18</v>
      </c>
      <c r="D74" s="1" t="s">
        <v>56</v>
      </c>
      <c r="E74" s="1">
        <v>4</v>
      </c>
      <c r="F74" s="1">
        <v>2453</v>
      </c>
      <c r="G74" s="1">
        <v>7</v>
      </c>
      <c r="H74" s="2">
        <v>46126</v>
      </c>
      <c r="I74" s="2">
        <v>46129</v>
      </c>
      <c r="J74" s="1" t="s">
        <v>51</v>
      </c>
      <c r="K74" s="1">
        <v>1073</v>
      </c>
      <c r="L74" s="1" t="str">
        <f t="shared" si="0"/>
        <v>ROHAN</v>
      </c>
      <c r="M74" s="1" t="str">
        <f t="shared" si="1"/>
        <v>cabinet</v>
      </c>
      <c r="N74" s="1">
        <f t="shared" si="2"/>
        <v>7</v>
      </c>
    </row>
    <row r="75" spans="1:14" x14ac:dyDescent="0.3">
      <c r="A75" s="1" t="s">
        <v>26</v>
      </c>
      <c r="B75" s="1" t="s">
        <v>31</v>
      </c>
      <c r="C75" s="1" t="s">
        <v>13</v>
      </c>
      <c r="D75" s="1" t="s">
        <v>50</v>
      </c>
      <c r="E75" s="1">
        <v>11</v>
      </c>
      <c r="F75" s="1">
        <v>390</v>
      </c>
      <c r="G75" s="1">
        <v>15</v>
      </c>
      <c r="H75" s="2">
        <v>46114</v>
      </c>
      <c r="I75" s="2">
        <v>46123</v>
      </c>
      <c r="J75" s="1" t="s">
        <v>29</v>
      </c>
      <c r="K75" s="1">
        <v>1074</v>
      </c>
      <c r="L75" s="1" t="str">
        <f t="shared" si="0"/>
        <v>VIKRAM</v>
      </c>
      <c r="M75" s="1" t="str">
        <f t="shared" si="1"/>
        <v>marker</v>
      </c>
      <c r="N75" s="1">
        <f t="shared" si="2"/>
        <v>6</v>
      </c>
    </row>
    <row r="76" spans="1:14" x14ac:dyDescent="0.3">
      <c r="A76" s="1" t="s">
        <v>42</v>
      </c>
      <c r="B76" s="1" t="s">
        <v>43</v>
      </c>
      <c r="C76" s="1" t="s">
        <v>34</v>
      </c>
      <c r="D76" s="1" t="s">
        <v>61</v>
      </c>
      <c r="E76" s="1">
        <v>4</v>
      </c>
      <c r="F76" s="1">
        <v>64773</v>
      </c>
      <c r="G76" s="1">
        <v>10</v>
      </c>
      <c r="H76" s="2">
        <v>46185</v>
      </c>
      <c r="I76" s="2">
        <v>46186</v>
      </c>
      <c r="J76" s="1" t="s">
        <v>51</v>
      </c>
      <c r="K76" s="1">
        <v>1075</v>
      </c>
      <c r="L76" s="1" t="str">
        <f t="shared" si="0"/>
        <v>NISHA</v>
      </c>
      <c r="M76" s="1" t="str">
        <f t="shared" si="1"/>
        <v>mouse</v>
      </c>
      <c r="N76" s="1">
        <f t="shared" si="2"/>
        <v>5</v>
      </c>
    </row>
    <row r="77" spans="1:14" x14ac:dyDescent="0.3">
      <c r="A77" s="1" t="s">
        <v>29</v>
      </c>
      <c r="B77" s="1" t="s">
        <v>17</v>
      </c>
      <c r="C77" s="1" t="s">
        <v>34</v>
      </c>
      <c r="D77" s="1" t="s">
        <v>35</v>
      </c>
      <c r="E77" s="1">
        <v>19</v>
      </c>
      <c r="F77" s="1">
        <v>26714</v>
      </c>
      <c r="G77" s="1">
        <v>5</v>
      </c>
      <c r="H77" s="2">
        <v>46045</v>
      </c>
      <c r="I77" s="2">
        <v>46055</v>
      </c>
      <c r="J77" s="1" t="s">
        <v>29</v>
      </c>
      <c r="K77" s="1">
        <v>1076</v>
      </c>
      <c r="L77" s="1" t="str">
        <f t="shared" si="0"/>
        <v>PRIYA</v>
      </c>
      <c r="M77" s="1" t="str">
        <f t="shared" si="1"/>
        <v>printer</v>
      </c>
      <c r="N77" s="1">
        <f t="shared" si="2"/>
        <v>7</v>
      </c>
    </row>
    <row r="78" spans="1:14" x14ac:dyDescent="0.3">
      <c r="A78" s="1" t="s">
        <v>55</v>
      </c>
      <c r="B78" s="1" t="s">
        <v>25</v>
      </c>
      <c r="C78" s="1" t="s">
        <v>13</v>
      </c>
      <c r="D78" s="1" t="s">
        <v>14</v>
      </c>
      <c r="E78" s="1">
        <v>1</v>
      </c>
      <c r="F78" s="1">
        <v>123</v>
      </c>
      <c r="G78" s="1">
        <v>10</v>
      </c>
      <c r="H78" s="2">
        <v>46113</v>
      </c>
      <c r="I78" s="2">
        <v>46121</v>
      </c>
      <c r="J78" s="1" t="s">
        <v>51</v>
      </c>
      <c r="K78" s="1">
        <v>1077</v>
      </c>
      <c r="L78" s="1" t="str">
        <f t="shared" si="0"/>
        <v>SNEHA</v>
      </c>
      <c r="M78" s="1" t="str">
        <f t="shared" si="1"/>
        <v>notebook</v>
      </c>
      <c r="N78" s="1">
        <f t="shared" si="2"/>
        <v>8</v>
      </c>
    </row>
    <row r="79" spans="1:14" x14ac:dyDescent="0.3">
      <c r="A79" s="1" t="s">
        <v>52</v>
      </c>
      <c r="B79" s="1" t="s">
        <v>17</v>
      </c>
      <c r="C79" s="1" t="s">
        <v>34</v>
      </c>
      <c r="D79" s="1" t="s">
        <v>39</v>
      </c>
      <c r="E79" s="1">
        <v>11</v>
      </c>
      <c r="F79" s="1">
        <v>24278</v>
      </c>
      <c r="G79" s="1">
        <v>12</v>
      </c>
      <c r="H79" s="2">
        <v>46084</v>
      </c>
      <c r="I79" s="2">
        <v>46090</v>
      </c>
      <c r="J79" s="1" t="s">
        <v>29</v>
      </c>
      <c r="K79" s="1">
        <v>1078</v>
      </c>
      <c r="L79" s="1" t="str">
        <f t="shared" si="0"/>
        <v>KOMAL</v>
      </c>
      <c r="M79" s="1" t="str">
        <f t="shared" si="1"/>
        <v>keyboard</v>
      </c>
      <c r="N79" s="1">
        <f t="shared" si="2"/>
        <v>8</v>
      </c>
    </row>
    <row r="80" spans="1:14" x14ac:dyDescent="0.3">
      <c r="A80" s="1" t="s">
        <v>26</v>
      </c>
      <c r="B80" s="1" t="s">
        <v>38</v>
      </c>
      <c r="C80" s="1" t="s">
        <v>34</v>
      </c>
      <c r="D80" s="1" t="s">
        <v>41</v>
      </c>
      <c r="E80" s="1">
        <v>19</v>
      </c>
      <c r="F80" s="1">
        <v>48956</v>
      </c>
      <c r="G80" s="1">
        <v>12</v>
      </c>
      <c r="H80" s="2">
        <v>46170</v>
      </c>
      <c r="I80" s="2">
        <v>46177</v>
      </c>
      <c r="J80" s="1" t="s">
        <v>51</v>
      </c>
      <c r="K80" s="1">
        <v>1079</v>
      </c>
      <c r="L80" s="1" t="str">
        <f t="shared" si="0"/>
        <v>VIKRAM</v>
      </c>
      <c r="M80" s="1" t="str">
        <f t="shared" si="1"/>
        <v>headset</v>
      </c>
      <c r="N80" s="1">
        <f t="shared" si="2"/>
        <v>7</v>
      </c>
    </row>
    <row r="81" spans="1:14" x14ac:dyDescent="0.3">
      <c r="A81" s="1" t="s">
        <v>21</v>
      </c>
      <c r="B81" s="1" t="s">
        <v>22</v>
      </c>
      <c r="C81" s="1" t="s">
        <v>34</v>
      </c>
      <c r="D81" s="1" t="s">
        <v>41</v>
      </c>
      <c r="E81" s="1">
        <v>12</v>
      </c>
      <c r="F81" s="1">
        <v>54161</v>
      </c>
      <c r="G81" s="1">
        <v>15</v>
      </c>
      <c r="H81" s="2">
        <v>46133</v>
      </c>
      <c r="I81" s="2">
        <v>46143</v>
      </c>
      <c r="J81" s="1" t="s">
        <v>24</v>
      </c>
      <c r="K81" s="1">
        <v>1080</v>
      </c>
      <c r="L81" s="1" t="str">
        <f t="shared" si="0"/>
        <v>MEERA</v>
      </c>
      <c r="M81" s="1" t="str">
        <f t="shared" si="1"/>
        <v>headset</v>
      </c>
      <c r="N81" s="1">
        <f t="shared" si="2"/>
        <v>7</v>
      </c>
    </row>
    <row r="82" spans="1:14" x14ac:dyDescent="0.3">
      <c r="A82" s="1" t="s">
        <v>47</v>
      </c>
      <c r="B82" s="1" t="s">
        <v>12</v>
      </c>
      <c r="C82" s="1" t="s">
        <v>34</v>
      </c>
      <c r="D82" s="1" t="s">
        <v>35</v>
      </c>
      <c r="E82" s="1">
        <v>15</v>
      </c>
      <c r="F82" s="1">
        <v>59912</v>
      </c>
      <c r="G82" s="1">
        <v>7</v>
      </c>
      <c r="H82" s="2">
        <v>46058</v>
      </c>
      <c r="I82" s="2">
        <v>46060</v>
      </c>
      <c r="J82" s="1" t="s">
        <v>51</v>
      </c>
      <c r="K82" s="1">
        <v>1081</v>
      </c>
      <c r="L82" s="1" t="str">
        <f t="shared" si="0"/>
        <v>YASH</v>
      </c>
      <c r="M82" s="1" t="str">
        <f t="shared" si="1"/>
        <v>printer</v>
      </c>
      <c r="N82" s="1">
        <f t="shared" si="2"/>
        <v>7</v>
      </c>
    </row>
    <row r="83" spans="1:14" x14ac:dyDescent="0.3">
      <c r="A83" s="1" t="s">
        <v>21</v>
      </c>
      <c r="B83" s="1" t="s">
        <v>12</v>
      </c>
      <c r="C83" s="1" t="s">
        <v>13</v>
      </c>
      <c r="D83" s="1" t="s">
        <v>14</v>
      </c>
      <c r="E83" s="1">
        <v>7</v>
      </c>
      <c r="F83" s="1">
        <v>133</v>
      </c>
      <c r="G83" s="1">
        <v>10</v>
      </c>
      <c r="H83" s="2">
        <v>46075</v>
      </c>
      <c r="I83" s="2">
        <v>46085</v>
      </c>
      <c r="J83" s="1" t="s">
        <v>51</v>
      </c>
      <c r="K83" s="1">
        <v>1082</v>
      </c>
      <c r="L83" s="1" t="str">
        <f t="shared" si="0"/>
        <v>MEERA</v>
      </c>
      <c r="M83" s="1" t="str">
        <f t="shared" si="1"/>
        <v>notebook</v>
      </c>
      <c r="N83" s="1">
        <f t="shared" si="2"/>
        <v>8</v>
      </c>
    </row>
    <row r="84" spans="1:14" x14ac:dyDescent="0.3">
      <c r="A84" s="1" t="s">
        <v>55</v>
      </c>
      <c r="B84" s="1" t="s">
        <v>33</v>
      </c>
      <c r="C84" s="1" t="s">
        <v>13</v>
      </c>
      <c r="D84" s="1" t="s">
        <v>53</v>
      </c>
      <c r="E84" s="1">
        <v>4</v>
      </c>
      <c r="F84" s="1">
        <v>397</v>
      </c>
      <c r="G84" s="1">
        <v>7</v>
      </c>
      <c r="H84" s="2">
        <v>46185</v>
      </c>
      <c r="I84" s="2">
        <v>46193</v>
      </c>
      <c r="J84" s="1" t="s">
        <v>15</v>
      </c>
      <c r="K84" s="1">
        <v>1083</v>
      </c>
      <c r="L84" s="1" t="str">
        <f t="shared" si="0"/>
        <v>SNEHA</v>
      </c>
      <c r="M84" s="1" t="str">
        <f t="shared" si="1"/>
        <v>diary</v>
      </c>
      <c r="N84" s="1">
        <f t="shared" si="2"/>
        <v>5</v>
      </c>
    </row>
    <row r="85" spans="1:14" x14ac:dyDescent="0.3">
      <c r="A85" s="1" t="s">
        <v>49</v>
      </c>
      <c r="B85" s="1" t="s">
        <v>31</v>
      </c>
      <c r="C85" s="1" t="s">
        <v>18</v>
      </c>
      <c r="D85" s="1" t="s">
        <v>28</v>
      </c>
      <c r="E85" s="1">
        <v>4</v>
      </c>
      <c r="F85" s="1">
        <v>6901</v>
      </c>
      <c r="G85" s="1">
        <v>10</v>
      </c>
      <c r="H85" s="2">
        <v>46047</v>
      </c>
      <c r="I85" s="2">
        <v>46057</v>
      </c>
      <c r="J85" s="1" t="s">
        <v>20</v>
      </c>
      <c r="K85" s="1">
        <v>1084</v>
      </c>
      <c r="L85" s="1" t="str">
        <f t="shared" si="0"/>
        <v>AJAY</v>
      </c>
      <c r="M85" s="1" t="str">
        <f t="shared" si="1"/>
        <v>chair</v>
      </c>
      <c r="N85" s="1">
        <f t="shared" si="2"/>
        <v>5</v>
      </c>
    </row>
    <row r="86" spans="1:14" x14ac:dyDescent="0.3">
      <c r="A86" s="1" t="s">
        <v>32</v>
      </c>
      <c r="B86" s="1" t="s">
        <v>38</v>
      </c>
      <c r="C86" s="1" t="s">
        <v>34</v>
      </c>
      <c r="D86" s="1" t="s">
        <v>60</v>
      </c>
      <c r="E86" s="1">
        <v>19</v>
      </c>
      <c r="F86" s="1">
        <v>45307</v>
      </c>
      <c r="G86" s="1">
        <v>12</v>
      </c>
      <c r="H86" s="2">
        <v>46146</v>
      </c>
      <c r="I86" s="2">
        <v>46150</v>
      </c>
      <c r="J86" s="1" t="s">
        <v>24</v>
      </c>
      <c r="K86" s="1">
        <v>1085</v>
      </c>
      <c r="L86" s="1" t="str">
        <f t="shared" si="0"/>
        <v>ASHA</v>
      </c>
      <c r="M86" s="1" t="str">
        <f t="shared" si="1"/>
        <v>laptop</v>
      </c>
      <c r="N86" s="1">
        <f t="shared" si="2"/>
        <v>6</v>
      </c>
    </row>
    <row r="87" spans="1:14" x14ac:dyDescent="0.3">
      <c r="A87" s="1" t="s">
        <v>32</v>
      </c>
      <c r="B87" s="1" t="s">
        <v>12</v>
      </c>
      <c r="C87" s="1" t="s">
        <v>13</v>
      </c>
      <c r="D87" s="1" t="s">
        <v>53</v>
      </c>
      <c r="E87" s="1">
        <v>15</v>
      </c>
      <c r="F87" s="1">
        <v>40</v>
      </c>
      <c r="G87" s="1">
        <v>10</v>
      </c>
      <c r="H87" s="2">
        <v>46045</v>
      </c>
      <c r="I87" s="2">
        <v>46049</v>
      </c>
      <c r="J87" s="1" t="s">
        <v>24</v>
      </c>
      <c r="K87" s="1">
        <v>1086</v>
      </c>
      <c r="L87" s="1" t="str">
        <f t="shared" si="0"/>
        <v>ASHA</v>
      </c>
      <c r="M87" s="1" t="str">
        <f t="shared" si="1"/>
        <v>diary</v>
      </c>
      <c r="N87" s="1">
        <f t="shared" si="2"/>
        <v>5</v>
      </c>
    </row>
    <row r="88" spans="1:14" x14ac:dyDescent="0.3">
      <c r="A88" s="1" t="s">
        <v>11</v>
      </c>
      <c r="B88" s="1" t="s">
        <v>31</v>
      </c>
      <c r="C88" s="1" t="s">
        <v>13</v>
      </c>
      <c r="D88" s="1" t="s">
        <v>37</v>
      </c>
      <c r="E88" s="1">
        <v>13</v>
      </c>
      <c r="F88" s="1">
        <v>387</v>
      </c>
      <c r="G88" s="1">
        <v>7</v>
      </c>
      <c r="H88" s="2">
        <v>46171</v>
      </c>
      <c r="I88" s="2">
        <v>46176</v>
      </c>
      <c r="J88" s="1" t="s">
        <v>24</v>
      </c>
      <c r="K88" s="1">
        <v>1087</v>
      </c>
      <c r="L88" s="1" t="str">
        <f t="shared" si="0"/>
        <v>RITESH</v>
      </c>
      <c r="M88" s="1" t="str">
        <f t="shared" si="1"/>
        <v>pen pack</v>
      </c>
      <c r="N88" s="1">
        <f t="shared" si="2"/>
        <v>8</v>
      </c>
    </row>
    <row r="89" spans="1:14" x14ac:dyDescent="0.3">
      <c r="A89" s="1" t="s">
        <v>40</v>
      </c>
      <c r="B89" s="1" t="s">
        <v>33</v>
      </c>
      <c r="C89" s="1" t="s">
        <v>34</v>
      </c>
      <c r="D89" s="1" t="s">
        <v>41</v>
      </c>
      <c r="E89" s="1">
        <v>20</v>
      </c>
      <c r="F89" s="1">
        <v>41165</v>
      </c>
      <c r="G89" s="1">
        <v>0</v>
      </c>
      <c r="H89" s="2">
        <v>46068</v>
      </c>
      <c r="I89" s="2">
        <v>46069</v>
      </c>
      <c r="J89" s="1" t="s">
        <v>20</v>
      </c>
      <c r="K89" s="1">
        <v>1088</v>
      </c>
      <c r="L89" s="1" t="str">
        <f t="shared" si="0"/>
        <v>DEEPAK</v>
      </c>
      <c r="M89" s="1" t="str">
        <f t="shared" si="1"/>
        <v>headset</v>
      </c>
      <c r="N89" s="1">
        <f t="shared" si="2"/>
        <v>7</v>
      </c>
    </row>
    <row r="90" spans="1:14" x14ac:dyDescent="0.3">
      <c r="A90" s="1" t="s">
        <v>46</v>
      </c>
      <c r="B90" s="1" t="s">
        <v>12</v>
      </c>
      <c r="C90" s="1" t="s">
        <v>34</v>
      </c>
      <c r="D90" s="1" t="s">
        <v>35</v>
      </c>
      <c r="E90" s="1">
        <v>10</v>
      </c>
      <c r="F90" s="1">
        <v>17041</v>
      </c>
      <c r="G90" s="1">
        <v>2</v>
      </c>
      <c r="H90" s="2">
        <v>46066</v>
      </c>
      <c r="I90" s="2">
        <v>46071</v>
      </c>
      <c r="J90" s="1" t="s">
        <v>24</v>
      </c>
      <c r="K90" s="1">
        <v>1089</v>
      </c>
      <c r="L90" s="1" t="str">
        <f t="shared" si="0"/>
        <v>KIRAN</v>
      </c>
      <c r="M90" s="1" t="str">
        <f t="shared" si="1"/>
        <v>printer</v>
      </c>
      <c r="N90" s="1">
        <f t="shared" si="2"/>
        <v>7</v>
      </c>
    </row>
    <row r="91" spans="1:14" x14ac:dyDescent="0.3">
      <c r="A91" s="1" t="s">
        <v>49</v>
      </c>
      <c r="B91" s="1" t="s">
        <v>31</v>
      </c>
      <c r="C91" s="1" t="s">
        <v>34</v>
      </c>
      <c r="D91" s="1" t="s">
        <v>45</v>
      </c>
      <c r="E91" s="1">
        <v>19</v>
      </c>
      <c r="F91" s="1">
        <v>66139</v>
      </c>
      <c r="G91" s="1">
        <v>5</v>
      </c>
      <c r="H91" s="2">
        <v>46088</v>
      </c>
      <c r="I91" s="2">
        <v>46095</v>
      </c>
      <c r="J91" s="1" t="s">
        <v>24</v>
      </c>
      <c r="K91" s="1">
        <v>1090</v>
      </c>
      <c r="L91" s="1" t="str">
        <f t="shared" si="0"/>
        <v>AJAY</v>
      </c>
      <c r="M91" s="1" t="str">
        <f t="shared" si="1"/>
        <v>monitor</v>
      </c>
      <c r="N91" s="1">
        <f t="shared" si="2"/>
        <v>7</v>
      </c>
    </row>
    <row r="92" spans="1:14" x14ac:dyDescent="0.3">
      <c r="A92" s="1" t="s">
        <v>55</v>
      </c>
      <c r="B92" s="1" t="s">
        <v>17</v>
      </c>
      <c r="C92" s="1" t="s">
        <v>13</v>
      </c>
      <c r="D92" s="1" t="s">
        <v>53</v>
      </c>
      <c r="E92" s="1">
        <v>2</v>
      </c>
      <c r="F92" s="1">
        <v>305</v>
      </c>
      <c r="G92" s="1">
        <v>0</v>
      </c>
      <c r="H92" s="2">
        <v>46136</v>
      </c>
      <c r="I92" s="2">
        <v>46144</v>
      </c>
      <c r="J92" s="1" t="s">
        <v>15</v>
      </c>
      <c r="K92" s="1">
        <v>1091</v>
      </c>
      <c r="L92" s="1" t="str">
        <f t="shared" si="0"/>
        <v>SNEHA</v>
      </c>
      <c r="M92" s="1" t="str">
        <f t="shared" si="1"/>
        <v>diary</v>
      </c>
      <c r="N92" s="1">
        <f t="shared" si="2"/>
        <v>5</v>
      </c>
    </row>
    <row r="93" spans="1:14" x14ac:dyDescent="0.3">
      <c r="A93" s="1" t="s">
        <v>21</v>
      </c>
      <c r="B93" s="1" t="s">
        <v>22</v>
      </c>
      <c r="C93" s="1" t="s">
        <v>34</v>
      </c>
      <c r="D93" s="1" t="s">
        <v>41</v>
      </c>
      <c r="E93" s="1">
        <v>9</v>
      </c>
      <c r="F93" s="1">
        <v>23438</v>
      </c>
      <c r="G93" s="1">
        <v>2</v>
      </c>
      <c r="H93" s="2">
        <v>46049</v>
      </c>
      <c r="I93" s="2">
        <v>46055</v>
      </c>
      <c r="J93" s="1" t="s">
        <v>29</v>
      </c>
      <c r="K93" s="1">
        <v>1092</v>
      </c>
      <c r="L93" s="1" t="str">
        <f t="shared" si="0"/>
        <v>MEERA</v>
      </c>
      <c r="M93" s="1" t="str">
        <f t="shared" si="1"/>
        <v>headset</v>
      </c>
      <c r="N93" s="1">
        <f t="shared" si="2"/>
        <v>7</v>
      </c>
    </row>
    <row r="94" spans="1:14" x14ac:dyDescent="0.3">
      <c r="A94" s="1" t="s">
        <v>47</v>
      </c>
      <c r="B94" s="1" t="s">
        <v>25</v>
      </c>
      <c r="C94" s="1" t="s">
        <v>18</v>
      </c>
      <c r="D94" s="1" t="s">
        <v>23</v>
      </c>
      <c r="E94" s="1">
        <v>6</v>
      </c>
      <c r="F94" s="1">
        <v>8224</v>
      </c>
      <c r="G94" s="1">
        <v>15</v>
      </c>
      <c r="H94" s="2">
        <v>46175</v>
      </c>
      <c r="I94" s="2">
        <v>46185</v>
      </c>
      <c r="J94" s="1" t="s">
        <v>51</v>
      </c>
      <c r="K94" s="1">
        <v>1093</v>
      </c>
      <c r="L94" s="1" t="str">
        <f t="shared" si="0"/>
        <v>YASH</v>
      </c>
      <c r="M94" s="1" t="str">
        <f t="shared" si="1"/>
        <v>table</v>
      </c>
      <c r="N94" s="1">
        <f t="shared" si="2"/>
        <v>5</v>
      </c>
    </row>
    <row r="95" spans="1:14" x14ac:dyDescent="0.3">
      <c r="A95" s="1" t="s">
        <v>47</v>
      </c>
      <c r="B95" s="1" t="s">
        <v>43</v>
      </c>
      <c r="C95" s="1" t="s">
        <v>34</v>
      </c>
      <c r="D95" s="1" t="s">
        <v>61</v>
      </c>
      <c r="E95" s="1">
        <v>4</v>
      </c>
      <c r="F95" s="1">
        <v>7073</v>
      </c>
      <c r="G95" s="1">
        <v>0</v>
      </c>
      <c r="H95" s="2">
        <v>46101</v>
      </c>
      <c r="I95" s="2">
        <v>46105</v>
      </c>
      <c r="J95" s="1" t="s">
        <v>29</v>
      </c>
      <c r="K95" s="1">
        <v>1094</v>
      </c>
      <c r="L95" s="1" t="str">
        <f t="shared" si="0"/>
        <v>YASH</v>
      </c>
      <c r="M95" s="1" t="str">
        <f t="shared" si="1"/>
        <v>mouse</v>
      </c>
      <c r="N95" s="1">
        <f t="shared" si="2"/>
        <v>5</v>
      </c>
    </row>
    <row r="96" spans="1:14" x14ac:dyDescent="0.3">
      <c r="A96" s="1" t="s">
        <v>47</v>
      </c>
      <c r="B96" s="1" t="s">
        <v>25</v>
      </c>
      <c r="C96" s="1" t="s">
        <v>34</v>
      </c>
      <c r="D96" s="1" t="s">
        <v>41</v>
      </c>
      <c r="E96" s="1">
        <v>18</v>
      </c>
      <c r="F96" s="1">
        <v>587</v>
      </c>
      <c r="G96" s="1">
        <v>2</v>
      </c>
      <c r="H96" s="2">
        <v>46167</v>
      </c>
      <c r="I96" s="2">
        <v>46171</v>
      </c>
      <c r="J96" s="1" t="s">
        <v>20</v>
      </c>
      <c r="K96" s="1">
        <v>1095</v>
      </c>
      <c r="L96" s="1" t="str">
        <f t="shared" si="0"/>
        <v>YASH</v>
      </c>
      <c r="M96" s="1" t="str">
        <f t="shared" si="1"/>
        <v>headset</v>
      </c>
      <c r="N96" s="1">
        <f t="shared" si="2"/>
        <v>7</v>
      </c>
    </row>
    <row r="97" spans="1:14" x14ac:dyDescent="0.3">
      <c r="A97" s="1" t="s">
        <v>49</v>
      </c>
      <c r="B97" s="1" t="s">
        <v>17</v>
      </c>
      <c r="C97" s="1" t="s">
        <v>18</v>
      </c>
      <c r="D97" s="1" t="s">
        <v>23</v>
      </c>
      <c r="E97" s="1">
        <v>15</v>
      </c>
      <c r="F97" s="1">
        <v>14724</v>
      </c>
      <c r="G97" s="1">
        <v>15</v>
      </c>
      <c r="H97" s="2">
        <v>46054</v>
      </c>
      <c r="I97" s="2">
        <v>46061</v>
      </c>
      <c r="J97" s="1" t="s">
        <v>20</v>
      </c>
      <c r="K97" s="1">
        <v>1096</v>
      </c>
      <c r="L97" s="1" t="str">
        <f t="shared" si="0"/>
        <v>AJAY</v>
      </c>
      <c r="M97" s="1" t="str">
        <f t="shared" si="1"/>
        <v>table</v>
      </c>
      <c r="N97" s="1">
        <f t="shared" si="2"/>
        <v>5</v>
      </c>
    </row>
    <row r="98" spans="1:14" x14ac:dyDescent="0.3">
      <c r="A98" s="1" t="s">
        <v>52</v>
      </c>
      <c r="B98" s="1" t="s">
        <v>22</v>
      </c>
      <c r="C98" s="1" t="s">
        <v>34</v>
      </c>
      <c r="D98" s="1" t="s">
        <v>61</v>
      </c>
      <c r="E98" s="1">
        <v>10</v>
      </c>
      <c r="F98" s="1">
        <v>28980</v>
      </c>
      <c r="G98" s="1">
        <v>10</v>
      </c>
      <c r="H98" s="2">
        <v>46089</v>
      </c>
      <c r="I98" s="2">
        <v>46094</v>
      </c>
      <c r="J98" s="1" t="s">
        <v>24</v>
      </c>
      <c r="K98" s="1">
        <v>1097</v>
      </c>
      <c r="L98" s="1" t="str">
        <f t="shared" si="0"/>
        <v>KOMAL</v>
      </c>
      <c r="M98" s="1" t="str">
        <f t="shared" si="1"/>
        <v>mouse</v>
      </c>
      <c r="N98" s="1">
        <f t="shared" si="2"/>
        <v>5</v>
      </c>
    </row>
    <row r="99" spans="1:14" x14ac:dyDescent="0.3">
      <c r="A99" s="1" t="s">
        <v>26</v>
      </c>
      <c r="B99" s="1" t="s">
        <v>25</v>
      </c>
      <c r="C99" s="1" t="s">
        <v>13</v>
      </c>
      <c r="D99" s="1" t="s">
        <v>53</v>
      </c>
      <c r="E99" s="1">
        <v>17</v>
      </c>
      <c r="F99" s="1">
        <v>345</v>
      </c>
      <c r="G99" s="1">
        <v>2</v>
      </c>
      <c r="H99" s="2">
        <v>46126</v>
      </c>
      <c r="I99" s="2">
        <v>46127</v>
      </c>
      <c r="J99" s="1" t="s">
        <v>51</v>
      </c>
      <c r="K99" s="1">
        <v>1098</v>
      </c>
      <c r="L99" s="1" t="str">
        <f t="shared" si="0"/>
        <v>VIKRAM</v>
      </c>
      <c r="M99" s="1" t="str">
        <f t="shared" si="1"/>
        <v>diary</v>
      </c>
      <c r="N99" s="1">
        <f t="shared" si="2"/>
        <v>5</v>
      </c>
    </row>
    <row r="100" spans="1:14" x14ac:dyDescent="0.3">
      <c r="A100" s="1" t="s">
        <v>26</v>
      </c>
      <c r="B100" s="1" t="s">
        <v>31</v>
      </c>
      <c r="C100" s="1" t="s">
        <v>18</v>
      </c>
      <c r="D100" s="1" t="s">
        <v>19</v>
      </c>
      <c r="E100" s="1">
        <v>1</v>
      </c>
      <c r="F100" s="1">
        <v>5165</v>
      </c>
      <c r="G100" s="1">
        <v>2</v>
      </c>
      <c r="H100" s="2">
        <v>46058</v>
      </c>
      <c r="I100" s="2">
        <v>46060</v>
      </c>
      <c r="J100" s="1" t="s">
        <v>15</v>
      </c>
      <c r="K100" s="1">
        <v>1099</v>
      </c>
      <c r="L100" s="1" t="str">
        <f t="shared" si="0"/>
        <v>VIKRAM</v>
      </c>
      <c r="M100" s="1" t="str">
        <f t="shared" si="1"/>
        <v>desk</v>
      </c>
      <c r="N100" s="1">
        <f t="shared" si="2"/>
        <v>4</v>
      </c>
    </row>
    <row r="101" spans="1:14" x14ac:dyDescent="0.3">
      <c r="A101" s="1" t="s">
        <v>11</v>
      </c>
      <c r="B101" s="1" t="s">
        <v>31</v>
      </c>
      <c r="C101" s="1" t="s">
        <v>13</v>
      </c>
      <c r="D101" s="1" t="s">
        <v>14</v>
      </c>
      <c r="E101" s="1">
        <v>11</v>
      </c>
      <c r="F101" s="1">
        <v>296</v>
      </c>
      <c r="G101" s="1">
        <v>10</v>
      </c>
      <c r="H101" s="2">
        <v>46027</v>
      </c>
      <c r="I101" s="2">
        <v>46031</v>
      </c>
      <c r="J101" s="1" t="s">
        <v>51</v>
      </c>
      <c r="K101" s="1">
        <v>1100</v>
      </c>
      <c r="L101" s="1" t="str">
        <f t="shared" si="0"/>
        <v>RITESH</v>
      </c>
      <c r="M101" s="1" t="str">
        <f t="shared" si="1"/>
        <v>notebook</v>
      </c>
      <c r="N101" s="1">
        <f t="shared" si="2"/>
        <v>8</v>
      </c>
    </row>
    <row r="102" spans="1:14" x14ac:dyDescent="0.3">
      <c r="A102" s="1" t="s">
        <v>27</v>
      </c>
      <c r="B102" s="1" t="s">
        <v>22</v>
      </c>
      <c r="C102" s="1" t="s">
        <v>34</v>
      </c>
      <c r="D102" s="1" t="s">
        <v>61</v>
      </c>
      <c r="E102" s="1">
        <v>9</v>
      </c>
      <c r="F102" s="1">
        <v>37361</v>
      </c>
      <c r="G102" s="1">
        <v>10</v>
      </c>
      <c r="H102" s="2">
        <v>46141</v>
      </c>
      <c r="I102" s="2">
        <v>46142</v>
      </c>
      <c r="J102" s="1" t="s">
        <v>24</v>
      </c>
      <c r="K102" s="1">
        <v>1101</v>
      </c>
      <c r="L102" s="1" t="str">
        <f t="shared" si="0"/>
        <v>ARJUN</v>
      </c>
      <c r="M102" s="1" t="str">
        <f t="shared" si="1"/>
        <v>mouse</v>
      </c>
      <c r="N102" s="1">
        <f t="shared" si="2"/>
        <v>5</v>
      </c>
    </row>
    <row r="103" spans="1:14" x14ac:dyDescent="0.3">
      <c r="A103" s="1" t="s">
        <v>54</v>
      </c>
      <c r="B103" s="1" t="s">
        <v>25</v>
      </c>
      <c r="C103" s="1" t="s">
        <v>34</v>
      </c>
      <c r="D103" s="1" t="s">
        <v>45</v>
      </c>
      <c r="E103" s="1">
        <v>12</v>
      </c>
      <c r="F103" s="1">
        <v>63402</v>
      </c>
      <c r="G103" s="1">
        <v>7</v>
      </c>
      <c r="H103" s="2">
        <v>46106</v>
      </c>
      <c r="I103" s="2">
        <v>46113</v>
      </c>
      <c r="J103" s="1" t="s">
        <v>51</v>
      </c>
      <c r="K103" s="1">
        <v>1102</v>
      </c>
      <c r="L103" s="1" t="str">
        <f t="shared" si="0"/>
        <v>MANOJ</v>
      </c>
      <c r="M103" s="1" t="str">
        <f t="shared" si="1"/>
        <v>monitor</v>
      </c>
      <c r="N103" s="1">
        <f t="shared" si="2"/>
        <v>7</v>
      </c>
    </row>
    <row r="104" spans="1:14" x14ac:dyDescent="0.3">
      <c r="A104" s="1" t="s">
        <v>16</v>
      </c>
      <c r="B104" s="1" t="s">
        <v>12</v>
      </c>
      <c r="C104" s="1" t="s">
        <v>18</v>
      </c>
      <c r="D104" s="1" t="s">
        <v>23</v>
      </c>
      <c r="E104" s="1">
        <v>7</v>
      </c>
      <c r="F104" s="1">
        <v>11925</v>
      </c>
      <c r="G104" s="1">
        <v>5</v>
      </c>
      <c r="H104" s="2">
        <v>46040</v>
      </c>
      <c r="I104" s="2">
        <v>46041</v>
      </c>
      <c r="J104" s="1" t="s">
        <v>29</v>
      </c>
      <c r="K104" s="1">
        <v>1103</v>
      </c>
      <c r="L104" s="1" t="str">
        <f t="shared" si="0"/>
        <v>POOJA</v>
      </c>
      <c r="M104" s="1" t="str">
        <f t="shared" si="1"/>
        <v>table</v>
      </c>
      <c r="N104" s="1">
        <f t="shared" si="2"/>
        <v>5</v>
      </c>
    </row>
    <row r="105" spans="1:14" x14ac:dyDescent="0.3">
      <c r="A105" s="1" t="s">
        <v>16</v>
      </c>
      <c r="B105" s="1" t="s">
        <v>43</v>
      </c>
      <c r="C105" s="1" t="s">
        <v>18</v>
      </c>
      <c r="D105" s="1" t="s">
        <v>19</v>
      </c>
      <c r="E105" s="1">
        <v>10</v>
      </c>
      <c r="F105" s="1">
        <v>12848</v>
      </c>
      <c r="G105" s="1">
        <v>15</v>
      </c>
      <c r="H105" s="2">
        <v>46060</v>
      </c>
      <c r="I105" s="2">
        <v>46064</v>
      </c>
      <c r="J105" s="1" t="s">
        <v>29</v>
      </c>
      <c r="K105" s="1">
        <v>1104</v>
      </c>
      <c r="L105" s="1" t="str">
        <f t="shared" si="0"/>
        <v>POOJA</v>
      </c>
      <c r="M105" s="1" t="str">
        <f t="shared" si="1"/>
        <v>desk</v>
      </c>
      <c r="N105" s="1">
        <f t="shared" si="2"/>
        <v>4</v>
      </c>
    </row>
    <row r="106" spans="1:14" x14ac:dyDescent="0.3">
      <c r="A106" s="1" t="s">
        <v>59</v>
      </c>
      <c r="B106" s="1" t="s">
        <v>25</v>
      </c>
      <c r="C106" s="1" t="s">
        <v>13</v>
      </c>
      <c r="D106" s="1" t="s">
        <v>50</v>
      </c>
      <c r="E106" s="1">
        <v>2</v>
      </c>
      <c r="F106" s="1">
        <v>493</v>
      </c>
      <c r="G106" s="1">
        <v>12</v>
      </c>
      <c r="H106" s="2">
        <v>46057</v>
      </c>
      <c r="I106" s="2">
        <v>46066</v>
      </c>
      <c r="J106" s="1" t="s">
        <v>51</v>
      </c>
      <c r="K106" s="1">
        <v>1105</v>
      </c>
      <c r="L106" s="1" t="str">
        <f t="shared" si="0"/>
        <v>ANITA</v>
      </c>
      <c r="M106" s="1" t="str">
        <f t="shared" si="1"/>
        <v>marker</v>
      </c>
      <c r="N106" s="1">
        <f t="shared" si="2"/>
        <v>6</v>
      </c>
    </row>
    <row r="107" spans="1:14" x14ac:dyDescent="0.3">
      <c r="A107" s="1" t="s">
        <v>27</v>
      </c>
      <c r="B107" s="1" t="s">
        <v>43</v>
      </c>
      <c r="C107" s="1" t="s">
        <v>18</v>
      </c>
      <c r="D107" s="1" t="s">
        <v>23</v>
      </c>
      <c r="E107" s="1">
        <v>20</v>
      </c>
      <c r="F107" s="1">
        <v>2141</v>
      </c>
      <c r="G107" s="1">
        <v>2</v>
      </c>
      <c r="H107" s="2">
        <v>46091</v>
      </c>
      <c r="I107" s="2">
        <v>46097</v>
      </c>
      <c r="J107" s="1" t="s">
        <v>29</v>
      </c>
      <c r="K107" s="1">
        <v>1106</v>
      </c>
      <c r="L107" s="1" t="str">
        <f t="shared" si="0"/>
        <v>ARJUN</v>
      </c>
      <c r="M107" s="1" t="str">
        <f t="shared" si="1"/>
        <v>table</v>
      </c>
      <c r="N107" s="1">
        <f t="shared" si="2"/>
        <v>5</v>
      </c>
    </row>
    <row r="108" spans="1:14" x14ac:dyDescent="0.3">
      <c r="A108" s="1" t="s">
        <v>52</v>
      </c>
      <c r="B108" s="1" t="s">
        <v>17</v>
      </c>
      <c r="C108" s="1" t="s">
        <v>34</v>
      </c>
      <c r="D108" s="1" t="s">
        <v>60</v>
      </c>
      <c r="E108" s="1">
        <v>4</v>
      </c>
      <c r="F108" s="1">
        <v>14291</v>
      </c>
      <c r="G108" s="1">
        <v>2</v>
      </c>
      <c r="H108" s="2">
        <v>46076</v>
      </c>
      <c r="I108" s="2">
        <v>46078</v>
      </c>
      <c r="J108" s="1" t="s">
        <v>15</v>
      </c>
      <c r="K108" s="1">
        <v>1107</v>
      </c>
      <c r="L108" s="1" t="str">
        <f t="shared" si="0"/>
        <v>KOMAL</v>
      </c>
      <c r="M108" s="1" t="str">
        <f t="shared" si="1"/>
        <v>laptop</v>
      </c>
      <c r="N108" s="1">
        <f t="shared" si="2"/>
        <v>6</v>
      </c>
    </row>
    <row r="109" spans="1:14" x14ac:dyDescent="0.3">
      <c r="A109" s="1" t="s">
        <v>42</v>
      </c>
      <c r="B109" s="1" t="s">
        <v>33</v>
      </c>
      <c r="C109" s="1" t="s">
        <v>18</v>
      </c>
      <c r="D109" s="1" t="s">
        <v>28</v>
      </c>
      <c r="E109" s="1">
        <v>15</v>
      </c>
      <c r="F109" s="1">
        <v>13843</v>
      </c>
      <c r="G109" s="1">
        <v>7</v>
      </c>
      <c r="H109" s="2">
        <v>46119</v>
      </c>
      <c r="I109" s="2">
        <v>46127</v>
      </c>
      <c r="J109" s="1" t="s">
        <v>20</v>
      </c>
      <c r="K109" s="1">
        <v>1108</v>
      </c>
      <c r="L109" s="1" t="str">
        <f t="shared" si="0"/>
        <v>NISHA</v>
      </c>
      <c r="M109" s="1" t="str">
        <f t="shared" si="1"/>
        <v>chair</v>
      </c>
      <c r="N109" s="1">
        <f t="shared" si="2"/>
        <v>5</v>
      </c>
    </row>
    <row r="110" spans="1:14" x14ac:dyDescent="0.3">
      <c r="A110" s="1" t="s">
        <v>21</v>
      </c>
      <c r="B110" s="1" t="s">
        <v>31</v>
      </c>
      <c r="C110" s="1" t="s">
        <v>18</v>
      </c>
      <c r="D110" s="1" t="s">
        <v>44</v>
      </c>
      <c r="E110" s="1">
        <v>19</v>
      </c>
      <c r="F110" s="1">
        <v>6512</v>
      </c>
      <c r="G110" s="1">
        <v>10</v>
      </c>
      <c r="H110" s="2">
        <v>46033</v>
      </c>
      <c r="I110" s="2">
        <v>46037</v>
      </c>
      <c r="J110" s="1" t="s">
        <v>20</v>
      </c>
      <c r="K110" s="1">
        <v>1109</v>
      </c>
      <c r="L110" s="1" t="str">
        <f t="shared" si="0"/>
        <v>MEERA</v>
      </c>
      <c r="M110" s="1" t="str">
        <f t="shared" si="1"/>
        <v>bookshelf</v>
      </c>
      <c r="N110" s="1">
        <f t="shared" si="2"/>
        <v>9</v>
      </c>
    </row>
    <row r="111" spans="1:14" x14ac:dyDescent="0.3">
      <c r="A111" s="1" t="s">
        <v>49</v>
      </c>
      <c r="B111" s="1" t="s">
        <v>38</v>
      </c>
      <c r="C111" s="1" t="s">
        <v>18</v>
      </c>
      <c r="D111" s="1" t="s">
        <v>23</v>
      </c>
      <c r="E111" s="1">
        <v>14</v>
      </c>
      <c r="F111" s="1">
        <v>6793</v>
      </c>
      <c r="G111" s="1">
        <v>7</v>
      </c>
      <c r="H111" s="2">
        <v>46077</v>
      </c>
      <c r="I111" s="2">
        <v>46082</v>
      </c>
      <c r="J111" s="1" t="s">
        <v>29</v>
      </c>
      <c r="K111" s="1">
        <v>1110</v>
      </c>
      <c r="L111" s="1" t="str">
        <f t="shared" si="0"/>
        <v>AJAY</v>
      </c>
      <c r="M111" s="1" t="str">
        <f t="shared" si="1"/>
        <v>table</v>
      </c>
      <c r="N111" s="1">
        <f t="shared" si="2"/>
        <v>5</v>
      </c>
    </row>
    <row r="112" spans="1:14" x14ac:dyDescent="0.3">
      <c r="A112" s="1" t="s">
        <v>47</v>
      </c>
      <c r="B112" s="1" t="s">
        <v>17</v>
      </c>
      <c r="C112" s="1" t="s">
        <v>34</v>
      </c>
      <c r="D112" s="1" t="s">
        <v>35</v>
      </c>
      <c r="E112" s="1">
        <v>5</v>
      </c>
      <c r="F112" s="1">
        <v>49945</v>
      </c>
      <c r="G112" s="1">
        <v>12</v>
      </c>
      <c r="H112" s="2">
        <v>46133</v>
      </c>
      <c r="I112" s="2">
        <v>46141</v>
      </c>
      <c r="J112" s="1" t="s">
        <v>29</v>
      </c>
      <c r="K112" s="1">
        <v>1111</v>
      </c>
      <c r="L112" s="1" t="str">
        <f t="shared" si="0"/>
        <v>YASH</v>
      </c>
      <c r="M112" s="1" t="str">
        <f t="shared" si="1"/>
        <v>printer</v>
      </c>
      <c r="N112" s="1">
        <f t="shared" si="2"/>
        <v>7</v>
      </c>
    </row>
    <row r="113" spans="1:14" x14ac:dyDescent="0.3">
      <c r="A113" s="1" t="s">
        <v>21</v>
      </c>
      <c r="B113" s="1" t="s">
        <v>43</v>
      </c>
      <c r="C113" s="1" t="s">
        <v>18</v>
      </c>
      <c r="D113" s="1" t="s">
        <v>44</v>
      </c>
      <c r="E113" s="1">
        <v>7</v>
      </c>
      <c r="F113" s="1">
        <v>1959</v>
      </c>
      <c r="G113" s="1">
        <v>15</v>
      </c>
      <c r="H113" s="2">
        <v>46090</v>
      </c>
      <c r="I113" s="2">
        <v>46100</v>
      </c>
      <c r="J113" s="1" t="s">
        <v>15</v>
      </c>
      <c r="K113" s="1">
        <v>1112</v>
      </c>
      <c r="L113" s="1" t="str">
        <f t="shared" si="0"/>
        <v>MEERA</v>
      </c>
      <c r="M113" s="1" t="str">
        <f t="shared" si="1"/>
        <v>bookshelf</v>
      </c>
      <c r="N113" s="1">
        <f t="shared" si="2"/>
        <v>9</v>
      </c>
    </row>
    <row r="114" spans="1:14" x14ac:dyDescent="0.3">
      <c r="A114" s="1" t="s">
        <v>26</v>
      </c>
      <c r="B114" s="1" t="s">
        <v>43</v>
      </c>
      <c r="C114" s="1" t="s">
        <v>18</v>
      </c>
      <c r="D114" s="1" t="s">
        <v>56</v>
      </c>
      <c r="E114" s="1">
        <v>13</v>
      </c>
      <c r="F114" s="1">
        <v>6719</v>
      </c>
      <c r="G114" s="1">
        <v>15</v>
      </c>
      <c r="H114" s="2">
        <v>46076</v>
      </c>
      <c r="I114" s="2">
        <v>46081</v>
      </c>
      <c r="J114" s="1" t="s">
        <v>24</v>
      </c>
      <c r="K114" s="1">
        <v>1113</v>
      </c>
      <c r="L114" s="1" t="str">
        <f t="shared" si="0"/>
        <v>VIKRAM</v>
      </c>
      <c r="M114" s="1" t="str">
        <f t="shared" si="1"/>
        <v>cabinet</v>
      </c>
      <c r="N114" s="1">
        <f t="shared" si="2"/>
        <v>7</v>
      </c>
    </row>
    <row r="115" spans="1:14" x14ac:dyDescent="0.3">
      <c r="A115" s="1" t="s">
        <v>16</v>
      </c>
      <c r="B115" s="1" t="s">
        <v>25</v>
      </c>
      <c r="C115" s="1" t="s">
        <v>13</v>
      </c>
      <c r="D115" s="1" t="s">
        <v>50</v>
      </c>
      <c r="E115" s="1">
        <v>13</v>
      </c>
      <c r="F115" s="1">
        <v>32</v>
      </c>
      <c r="G115" s="1">
        <v>15</v>
      </c>
      <c r="H115" s="2">
        <v>46066</v>
      </c>
      <c r="I115" s="2">
        <v>46069</v>
      </c>
      <c r="J115" s="1" t="s">
        <v>15</v>
      </c>
      <c r="K115" s="1">
        <v>1114</v>
      </c>
      <c r="L115" s="1" t="str">
        <f t="shared" si="0"/>
        <v>POOJA</v>
      </c>
      <c r="M115" s="1" t="str">
        <f t="shared" si="1"/>
        <v>marker</v>
      </c>
      <c r="N115" s="1">
        <f t="shared" si="2"/>
        <v>6</v>
      </c>
    </row>
    <row r="116" spans="1:14" x14ac:dyDescent="0.3">
      <c r="A116" s="1" t="s">
        <v>59</v>
      </c>
      <c r="B116" s="1" t="s">
        <v>43</v>
      </c>
      <c r="C116" s="1" t="s">
        <v>13</v>
      </c>
      <c r="D116" s="1" t="s">
        <v>50</v>
      </c>
      <c r="E116" s="1">
        <v>9</v>
      </c>
      <c r="F116" s="1">
        <v>303</v>
      </c>
      <c r="G116" s="1">
        <v>10</v>
      </c>
      <c r="H116" s="2">
        <v>46149</v>
      </c>
      <c r="I116" s="2">
        <v>46157</v>
      </c>
      <c r="J116" s="1" t="s">
        <v>29</v>
      </c>
      <c r="K116" s="1">
        <v>1115</v>
      </c>
      <c r="L116" s="1" t="str">
        <f t="shared" si="0"/>
        <v>ANITA</v>
      </c>
      <c r="M116" s="1" t="str">
        <f t="shared" si="1"/>
        <v>marker</v>
      </c>
      <c r="N116" s="1">
        <f t="shared" si="2"/>
        <v>6</v>
      </c>
    </row>
    <row r="117" spans="1:14" x14ac:dyDescent="0.3">
      <c r="A117" s="1" t="s">
        <v>16</v>
      </c>
      <c r="B117" s="1" t="s">
        <v>25</v>
      </c>
      <c r="C117" s="1" t="s">
        <v>18</v>
      </c>
      <c r="D117" s="1" t="s">
        <v>56</v>
      </c>
      <c r="E117" s="1">
        <v>2</v>
      </c>
      <c r="F117" s="1">
        <v>12692</v>
      </c>
      <c r="G117" s="1">
        <v>15</v>
      </c>
      <c r="H117" s="2">
        <v>46049</v>
      </c>
      <c r="I117" s="2">
        <v>46051</v>
      </c>
      <c r="J117" s="1" t="s">
        <v>15</v>
      </c>
      <c r="K117" s="1">
        <v>1116</v>
      </c>
      <c r="L117" s="1" t="str">
        <f t="shared" si="0"/>
        <v>POOJA</v>
      </c>
      <c r="M117" s="1" t="str">
        <f t="shared" si="1"/>
        <v>cabinet</v>
      </c>
      <c r="N117" s="1">
        <f t="shared" si="2"/>
        <v>7</v>
      </c>
    </row>
    <row r="118" spans="1:14" x14ac:dyDescent="0.3">
      <c r="A118" s="1" t="s">
        <v>55</v>
      </c>
      <c r="B118" s="1" t="s">
        <v>43</v>
      </c>
      <c r="C118" s="1" t="s">
        <v>34</v>
      </c>
      <c r="D118" s="1" t="s">
        <v>39</v>
      </c>
      <c r="E118" s="1">
        <v>16</v>
      </c>
      <c r="F118" s="1">
        <v>33162</v>
      </c>
      <c r="G118" s="1">
        <v>7</v>
      </c>
      <c r="H118" s="2">
        <v>46147</v>
      </c>
      <c r="I118" s="2">
        <v>46155</v>
      </c>
      <c r="J118" s="1" t="s">
        <v>29</v>
      </c>
      <c r="K118" s="1">
        <v>1117</v>
      </c>
      <c r="L118" s="1" t="str">
        <f t="shared" si="0"/>
        <v>SNEHA</v>
      </c>
      <c r="M118" s="1" t="str">
        <f t="shared" si="1"/>
        <v>keyboard</v>
      </c>
      <c r="N118" s="1">
        <f t="shared" si="2"/>
        <v>8</v>
      </c>
    </row>
    <row r="119" spans="1:14" x14ac:dyDescent="0.3">
      <c r="A119" s="1" t="s">
        <v>21</v>
      </c>
      <c r="B119" s="1" t="s">
        <v>22</v>
      </c>
      <c r="C119" s="1" t="s">
        <v>18</v>
      </c>
      <c r="D119" s="1" t="s">
        <v>23</v>
      </c>
      <c r="E119" s="1">
        <v>18</v>
      </c>
      <c r="F119" s="1">
        <v>9118</v>
      </c>
      <c r="G119" s="1">
        <v>5</v>
      </c>
      <c r="H119" s="2">
        <v>46178</v>
      </c>
      <c r="I119" s="2">
        <v>46187</v>
      </c>
      <c r="J119" s="1" t="s">
        <v>29</v>
      </c>
      <c r="K119" s="1">
        <v>1118</v>
      </c>
      <c r="L119" s="1" t="str">
        <f t="shared" si="0"/>
        <v>MEERA</v>
      </c>
      <c r="M119" s="1" t="str">
        <f t="shared" si="1"/>
        <v>table</v>
      </c>
      <c r="N119" s="1">
        <f t="shared" si="2"/>
        <v>5</v>
      </c>
    </row>
    <row r="120" spans="1:14" x14ac:dyDescent="0.3">
      <c r="A120" s="1" t="s">
        <v>30</v>
      </c>
      <c r="B120" s="1" t="s">
        <v>43</v>
      </c>
      <c r="C120" s="1" t="s">
        <v>18</v>
      </c>
      <c r="D120" s="1" t="s">
        <v>28</v>
      </c>
      <c r="E120" s="1">
        <v>2</v>
      </c>
      <c r="F120" s="1">
        <v>3706</v>
      </c>
      <c r="G120" s="1">
        <v>5</v>
      </c>
      <c r="H120" s="2">
        <v>46184</v>
      </c>
      <c r="I120" s="2">
        <v>46192</v>
      </c>
      <c r="J120" s="1" t="s">
        <v>51</v>
      </c>
      <c r="K120" s="1">
        <v>1119</v>
      </c>
      <c r="L120" s="1" t="str">
        <f t="shared" si="0"/>
        <v>NEHA</v>
      </c>
      <c r="M120" s="1" t="str">
        <f t="shared" si="1"/>
        <v>chair</v>
      </c>
      <c r="N120" s="1">
        <f t="shared" si="2"/>
        <v>5</v>
      </c>
    </row>
    <row r="121" spans="1:14" x14ac:dyDescent="0.3">
      <c r="A121" s="1" t="s">
        <v>32</v>
      </c>
      <c r="B121" s="1" t="s">
        <v>38</v>
      </c>
      <c r="C121" s="1" t="s">
        <v>13</v>
      </c>
      <c r="D121" s="1" t="s">
        <v>36</v>
      </c>
      <c r="E121" s="1">
        <v>10</v>
      </c>
      <c r="F121" s="1">
        <v>438</v>
      </c>
      <c r="G121" s="1">
        <v>10</v>
      </c>
      <c r="H121" s="2">
        <v>46061</v>
      </c>
      <c r="I121" s="2">
        <v>46065</v>
      </c>
      <c r="J121" s="1" t="s">
        <v>51</v>
      </c>
      <c r="K121" s="1">
        <v>1120</v>
      </c>
      <c r="L121" s="1" t="str">
        <f t="shared" si="0"/>
        <v>ASHA</v>
      </c>
      <c r="M121" s="1" t="str">
        <f t="shared" si="1"/>
        <v>stapler</v>
      </c>
      <c r="N121" s="1">
        <f t="shared" si="2"/>
        <v>7</v>
      </c>
    </row>
    <row r="122" spans="1:14" x14ac:dyDescent="0.3">
      <c r="A122" s="1" t="s">
        <v>29</v>
      </c>
      <c r="B122" s="1" t="s">
        <v>12</v>
      </c>
      <c r="C122" s="1" t="s">
        <v>34</v>
      </c>
      <c r="D122" s="1" t="s">
        <v>39</v>
      </c>
      <c r="E122" s="1">
        <v>4</v>
      </c>
      <c r="F122" s="1">
        <v>55809</v>
      </c>
      <c r="G122" s="1">
        <v>2</v>
      </c>
      <c r="H122" s="2">
        <v>46103</v>
      </c>
      <c r="I122" s="2">
        <v>46108</v>
      </c>
      <c r="J122" s="1" t="s">
        <v>29</v>
      </c>
      <c r="K122" s="1">
        <v>1121</v>
      </c>
      <c r="L122" s="1" t="str">
        <f t="shared" si="0"/>
        <v>PRIYA</v>
      </c>
      <c r="M122" s="1" t="str">
        <f t="shared" si="1"/>
        <v>keyboard</v>
      </c>
      <c r="N122" s="1">
        <f t="shared" si="2"/>
        <v>8</v>
      </c>
    </row>
    <row r="123" spans="1:14" x14ac:dyDescent="0.3">
      <c r="A123" s="1" t="s">
        <v>40</v>
      </c>
      <c r="B123" s="1" t="s">
        <v>22</v>
      </c>
      <c r="C123" s="1" t="s">
        <v>34</v>
      </c>
      <c r="D123" s="1" t="s">
        <v>39</v>
      </c>
      <c r="E123" s="1">
        <v>14</v>
      </c>
      <c r="F123" s="1">
        <v>49990</v>
      </c>
      <c r="G123" s="1">
        <v>10</v>
      </c>
      <c r="H123" s="2">
        <v>46132</v>
      </c>
      <c r="I123" s="2">
        <v>46135</v>
      </c>
      <c r="J123" s="1" t="s">
        <v>29</v>
      </c>
      <c r="K123" s="1">
        <v>1122</v>
      </c>
      <c r="L123" s="1" t="str">
        <f t="shared" si="0"/>
        <v>DEEPAK</v>
      </c>
      <c r="M123" s="1" t="str">
        <f t="shared" si="1"/>
        <v>keyboard</v>
      </c>
      <c r="N123" s="1">
        <f t="shared" si="2"/>
        <v>8</v>
      </c>
    </row>
    <row r="124" spans="1:14" x14ac:dyDescent="0.3">
      <c r="A124" s="1" t="s">
        <v>32</v>
      </c>
      <c r="B124" s="1" t="s">
        <v>31</v>
      </c>
      <c r="C124" s="1" t="s">
        <v>34</v>
      </c>
      <c r="D124" s="1" t="s">
        <v>45</v>
      </c>
      <c r="E124" s="1">
        <v>16</v>
      </c>
      <c r="F124" s="1">
        <v>1332</v>
      </c>
      <c r="G124" s="1">
        <v>7</v>
      </c>
      <c r="H124" s="2">
        <v>46107</v>
      </c>
      <c r="I124" s="2">
        <v>46109</v>
      </c>
      <c r="J124" s="1" t="s">
        <v>29</v>
      </c>
      <c r="K124" s="1">
        <v>1123</v>
      </c>
      <c r="L124" s="1" t="str">
        <f t="shared" si="0"/>
        <v>ASHA</v>
      </c>
      <c r="M124" s="1" t="str">
        <f t="shared" si="1"/>
        <v>monitor</v>
      </c>
      <c r="N124" s="1">
        <f t="shared" si="2"/>
        <v>7</v>
      </c>
    </row>
    <row r="125" spans="1:14" x14ac:dyDescent="0.3">
      <c r="A125" s="1" t="s">
        <v>27</v>
      </c>
      <c r="B125" s="1" t="s">
        <v>38</v>
      </c>
      <c r="C125" s="1" t="s">
        <v>18</v>
      </c>
      <c r="D125" s="1" t="s">
        <v>56</v>
      </c>
      <c r="E125" s="1">
        <v>4</v>
      </c>
      <c r="F125" s="1">
        <v>14195</v>
      </c>
      <c r="G125" s="1">
        <v>15</v>
      </c>
      <c r="H125" s="2">
        <v>46182</v>
      </c>
      <c r="I125" s="2">
        <v>46189</v>
      </c>
      <c r="J125" s="1" t="s">
        <v>51</v>
      </c>
      <c r="K125" s="1">
        <v>1124</v>
      </c>
      <c r="L125" s="1" t="str">
        <f t="shared" si="0"/>
        <v>ARJUN</v>
      </c>
      <c r="M125" s="1" t="str">
        <f t="shared" si="1"/>
        <v>cabinet</v>
      </c>
      <c r="N125" s="1">
        <f t="shared" si="2"/>
        <v>7</v>
      </c>
    </row>
    <row r="126" spans="1:14" x14ac:dyDescent="0.3">
      <c r="A126" s="1" t="s">
        <v>49</v>
      </c>
      <c r="B126" s="1" t="s">
        <v>33</v>
      </c>
      <c r="C126" s="1" t="s">
        <v>13</v>
      </c>
      <c r="D126" s="1" t="s">
        <v>14</v>
      </c>
      <c r="E126" s="1">
        <v>6</v>
      </c>
      <c r="F126" s="1">
        <v>30</v>
      </c>
      <c r="G126" s="1">
        <v>2</v>
      </c>
      <c r="H126" s="2">
        <v>46133</v>
      </c>
      <c r="I126" s="2">
        <v>46138</v>
      </c>
      <c r="J126" s="1" t="s">
        <v>24</v>
      </c>
      <c r="K126" s="1">
        <v>1125</v>
      </c>
      <c r="L126" s="1" t="str">
        <f t="shared" si="0"/>
        <v>AJAY</v>
      </c>
      <c r="M126" s="1" t="str">
        <f t="shared" si="1"/>
        <v>notebook</v>
      </c>
      <c r="N126" s="1">
        <f t="shared" si="2"/>
        <v>8</v>
      </c>
    </row>
    <row r="127" spans="1:14" x14ac:dyDescent="0.3">
      <c r="A127" s="1" t="s">
        <v>46</v>
      </c>
      <c r="B127" s="1" t="s">
        <v>22</v>
      </c>
      <c r="C127" s="1" t="s">
        <v>34</v>
      </c>
      <c r="D127" s="1" t="s">
        <v>39</v>
      </c>
      <c r="E127" s="1">
        <v>17</v>
      </c>
      <c r="F127" s="1">
        <v>19390</v>
      </c>
      <c r="G127" s="1">
        <v>12</v>
      </c>
      <c r="H127" s="2">
        <v>46201</v>
      </c>
      <c r="I127" s="2">
        <v>46206</v>
      </c>
      <c r="J127" s="1" t="s">
        <v>29</v>
      </c>
      <c r="K127" s="1">
        <v>1126</v>
      </c>
      <c r="L127" s="1" t="str">
        <f t="shared" si="0"/>
        <v>KIRAN</v>
      </c>
      <c r="M127" s="1" t="str">
        <f t="shared" si="1"/>
        <v>keyboard</v>
      </c>
      <c r="N127" s="1">
        <f t="shared" si="2"/>
        <v>8</v>
      </c>
    </row>
    <row r="128" spans="1:14" x14ac:dyDescent="0.3">
      <c r="A128" s="1" t="s">
        <v>26</v>
      </c>
      <c r="B128" s="1" t="s">
        <v>33</v>
      </c>
      <c r="C128" s="1" t="s">
        <v>18</v>
      </c>
      <c r="D128" s="1" t="s">
        <v>28</v>
      </c>
      <c r="E128" s="1">
        <v>15</v>
      </c>
      <c r="F128" s="1">
        <v>11694</v>
      </c>
      <c r="G128" s="1">
        <v>12</v>
      </c>
      <c r="H128" s="2">
        <v>46170</v>
      </c>
      <c r="I128" s="2">
        <v>46179</v>
      </c>
      <c r="J128" s="1" t="s">
        <v>29</v>
      </c>
      <c r="K128" s="1">
        <v>1127</v>
      </c>
      <c r="L128" s="1" t="str">
        <f t="shared" si="0"/>
        <v>VIKRAM</v>
      </c>
      <c r="M128" s="1" t="str">
        <f t="shared" si="1"/>
        <v>chair</v>
      </c>
      <c r="N128" s="1">
        <f t="shared" si="2"/>
        <v>5</v>
      </c>
    </row>
    <row r="129" spans="1:14" x14ac:dyDescent="0.3">
      <c r="A129" s="1" t="s">
        <v>30</v>
      </c>
      <c r="B129" s="1" t="s">
        <v>22</v>
      </c>
      <c r="C129" s="1" t="s">
        <v>34</v>
      </c>
      <c r="D129" s="1" t="s">
        <v>61</v>
      </c>
      <c r="E129" s="1">
        <v>6</v>
      </c>
      <c r="F129" s="1">
        <v>5001</v>
      </c>
      <c r="G129" s="1">
        <v>7</v>
      </c>
      <c r="H129" s="2">
        <v>46044</v>
      </c>
      <c r="I129" s="2">
        <v>46050</v>
      </c>
      <c r="J129" s="1" t="s">
        <v>29</v>
      </c>
      <c r="K129" s="1">
        <v>1128</v>
      </c>
      <c r="L129" s="1" t="str">
        <f t="shared" si="0"/>
        <v>NEHA</v>
      </c>
      <c r="M129" s="1" t="str">
        <f t="shared" si="1"/>
        <v>mouse</v>
      </c>
      <c r="N129" s="1">
        <f t="shared" si="2"/>
        <v>5</v>
      </c>
    </row>
    <row r="130" spans="1:14" x14ac:dyDescent="0.3">
      <c r="A130" s="1" t="s">
        <v>58</v>
      </c>
      <c r="B130" s="1" t="s">
        <v>17</v>
      </c>
      <c r="C130" s="1" t="s">
        <v>13</v>
      </c>
      <c r="D130" s="1" t="s">
        <v>50</v>
      </c>
      <c r="E130" s="1">
        <v>15</v>
      </c>
      <c r="F130" s="1">
        <v>75</v>
      </c>
      <c r="G130" s="1">
        <v>7</v>
      </c>
      <c r="H130" s="2">
        <v>46160</v>
      </c>
      <c r="I130" s="2">
        <v>46164</v>
      </c>
      <c r="J130" s="1" t="s">
        <v>29</v>
      </c>
      <c r="K130" s="1">
        <v>1129</v>
      </c>
      <c r="L130" s="1" t="str">
        <f t="shared" si="0"/>
        <v>ROHAN</v>
      </c>
      <c r="M130" s="1" t="str">
        <f t="shared" si="1"/>
        <v>marker</v>
      </c>
      <c r="N130" s="1">
        <f t="shared" si="2"/>
        <v>6</v>
      </c>
    </row>
    <row r="131" spans="1:14" x14ac:dyDescent="0.3">
      <c r="A131" s="1" t="s">
        <v>48</v>
      </c>
      <c r="B131" s="1" t="s">
        <v>33</v>
      </c>
      <c r="C131" s="1" t="s">
        <v>13</v>
      </c>
      <c r="D131" s="1" t="s">
        <v>14</v>
      </c>
      <c r="E131" s="1">
        <v>12</v>
      </c>
      <c r="F131" s="1">
        <v>50</v>
      </c>
      <c r="G131" s="1">
        <v>2</v>
      </c>
      <c r="H131" s="2">
        <v>46125</v>
      </c>
      <c r="I131" s="2">
        <v>46131</v>
      </c>
      <c r="J131" s="1" t="s">
        <v>24</v>
      </c>
      <c r="K131" s="1">
        <v>1130</v>
      </c>
      <c r="L131" s="1" t="str">
        <f t="shared" si="0"/>
        <v>NITIN</v>
      </c>
      <c r="M131" s="1" t="str">
        <f t="shared" si="1"/>
        <v>notebook</v>
      </c>
      <c r="N131" s="1">
        <f t="shared" si="2"/>
        <v>8</v>
      </c>
    </row>
    <row r="132" spans="1:14" x14ac:dyDescent="0.3">
      <c r="A132" s="1" t="s">
        <v>21</v>
      </c>
      <c r="B132" s="1" t="s">
        <v>31</v>
      </c>
      <c r="C132" s="1" t="s">
        <v>18</v>
      </c>
      <c r="D132" s="1" t="s">
        <v>23</v>
      </c>
      <c r="E132" s="1">
        <v>13</v>
      </c>
      <c r="F132" s="1">
        <v>3083</v>
      </c>
      <c r="G132" s="1">
        <v>7</v>
      </c>
      <c r="H132" s="2">
        <v>46168</v>
      </c>
      <c r="I132" s="2">
        <v>46173</v>
      </c>
      <c r="J132" s="1" t="s">
        <v>51</v>
      </c>
      <c r="K132" s="1">
        <v>1131</v>
      </c>
      <c r="L132" s="1" t="str">
        <f t="shared" si="0"/>
        <v>MEERA</v>
      </c>
      <c r="M132" s="1" t="str">
        <f t="shared" si="1"/>
        <v>table</v>
      </c>
      <c r="N132" s="1">
        <f t="shared" si="2"/>
        <v>5</v>
      </c>
    </row>
    <row r="133" spans="1:14" x14ac:dyDescent="0.3">
      <c r="A133" s="1" t="s">
        <v>11</v>
      </c>
      <c r="B133" s="1" t="s">
        <v>31</v>
      </c>
      <c r="C133" s="1" t="s">
        <v>13</v>
      </c>
      <c r="D133" s="1" t="s">
        <v>50</v>
      </c>
      <c r="E133" s="1">
        <v>10</v>
      </c>
      <c r="F133" s="1">
        <v>270</v>
      </c>
      <c r="G133" s="1">
        <v>7</v>
      </c>
      <c r="H133" s="2">
        <v>46024</v>
      </c>
      <c r="I133" s="2">
        <v>46034</v>
      </c>
      <c r="J133" s="1" t="s">
        <v>24</v>
      </c>
      <c r="K133" s="1">
        <v>1132</v>
      </c>
      <c r="L133" s="1" t="str">
        <f t="shared" si="0"/>
        <v>RITESH</v>
      </c>
      <c r="M133" s="1" t="str">
        <f t="shared" si="1"/>
        <v>marker</v>
      </c>
      <c r="N133" s="1">
        <f t="shared" si="2"/>
        <v>6</v>
      </c>
    </row>
    <row r="134" spans="1:14" x14ac:dyDescent="0.3">
      <c r="A134" s="1" t="s">
        <v>11</v>
      </c>
      <c r="B134" s="1" t="s">
        <v>12</v>
      </c>
      <c r="C134" s="1" t="s">
        <v>18</v>
      </c>
      <c r="D134" s="1" t="s">
        <v>56</v>
      </c>
      <c r="E134" s="1">
        <v>6</v>
      </c>
      <c r="F134" s="1">
        <v>9037</v>
      </c>
      <c r="G134" s="1">
        <v>2</v>
      </c>
      <c r="H134" s="2">
        <v>46112</v>
      </c>
      <c r="I134" s="2">
        <v>46121</v>
      </c>
      <c r="J134" s="1" t="s">
        <v>51</v>
      </c>
      <c r="K134" s="1">
        <v>1133</v>
      </c>
      <c r="L134" s="1" t="str">
        <f t="shared" si="0"/>
        <v>RITESH</v>
      </c>
      <c r="M134" s="1" t="str">
        <f t="shared" si="1"/>
        <v>cabinet</v>
      </c>
      <c r="N134" s="1">
        <f t="shared" si="2"/>
        <v>7</v>
      </c>
    </row>
    <row r="135" spans="1:14" x14ac:dyDescent="0.3">
      <c r="A135" s="1" t="s">
        <v>57</v>
      </c>
      <c r="B135" s="1" t="s">
        <v>31</v>
      </c>
      <c r="C135" s="1" t="s">
        <v>34</v>
      </c>
      <c r="D135" s="1" t="s">
        <v>61</v>
      </c>
      <c r="E135" s="1">
        <v>10</v>
      </c>
      <c r="F135" s="1">
        <v>29217</v>
      </c>
      <c r="G135" s="1">
        <v>15</v>
      </c>
      <c r="H135" s="2">
        <v>46148</v>
      </c>
      <c r="I135" s="2">
        <v>46150</v>
      </c>
      <c r="J135" s="1" t="s">
        <v>24</v>
      </c>
      <c r="K135" s="1">
        <v>1134</v>
      </c>
      <c r="L135" s="1" t="str">
        <f t="shared" si="0"/>
        <v>SARA</v>
      </c>
      <c r="M135" s="1" t="str">
        <f t="shared" si="1"/>
        <v>mouse</v>
      </c>
      <c r="N135" s="1">
        <f t="shared" si="2"/>
        <v>5</v>
      </c>
    </row>
    <row r="136" spans="1:14" x14ac:dyDescent="0.3">
      <c r="A136" s="1" t="s">
        <v>49</v>
      </c>
      <c r="B136" s="1" t="s">
        <v>43</v>
      </c>
      <c r="C136" s="1" t="s">
        <v>34</v>
      </c>
      <c r="D136" s="1" t="s">
        <v>39</v>
      </c>
      <c r="E136" s="1">
        <v>14</v>
      </c>
      <c r="F136" s="1">
        <v>68534</v>
      </c>
      <c r="G136" s="1">
        <v>0</v>
      </c>
      <c r="H136" s="2">
        <v>46041</v>
      </c>
      <c r="I136" s="2">
        <v>46042</v>
      </c>
      <c r="J136" s="1" t="s">
        <v>15</v>
      </c>
      <c r="K136" s="1">
        <v>1135</v>
      </c>
      <c r="L136" s="1" t="str">
        <f t="shared" si="0"/>
        <v>AJAY</v>
      </c>
      <c r="M136" s="1" t="str">
        <f t="shared" si="1"/>
        <v>keyboard</v>
      </c>
      <c r="N136" s="1">
        <f t="shared" si="2"/>
        <v>8</v>
      </c>
    </row>
    <row r="137" spans="1:14" x14ac:dyDescent="0.3">
      <c r="A137" s="1" t="s">
        <v>27</v>
      </c>
      <c r="B137" s="1" t="s">
        <v>43</v>
      </c>
      <c r="C137" s="1" t="s">
        <v>18</v>
      </c>
      <c r="D137" s="1" t="s">
        <v>56</v>
      </c>
      <c r="E137" s="1">
        <v>19</v>
      </c>
      <c r="F137" s="1">
        <v>14528</v>
      </c>
      <c r="G137" s="1">
        <v>12</v>
      </c>
      <c r="H137" s="2">
        <v>46056</v>
      </c>
      <c r="I137" s="2">
        <v>46062</v>
      </c>
      <c r="J137" s="1" t="s">
        <v>24</v>
      </c>
      <c r="K137" s="1">
        <v>1136</v>
      </c>
      <c r="L137" s="1" t="str">
        <f t="shared" si="0"/>
        <v>ARJUN</v>
      </c>
      <c r="M137" s="1" t="str">
        <f t="shared" si="1"/>
        <v>cabinet</v>
      </c>
      <c r="N137" s="1">
        <f t="shared" si="2"/>
        <v>7</v>
      </c>
    </row>
    <row r="138" spans="1:14" x14ac:dyDescent="0.3">
      <c r="A138" s="1" t="s">
        <v>52</v>
      </c>
      <c r="B138" s="1" t="s">
        <v>12</v>
      </c>
      <c r="C138" s="1" t="s">
        <v>13</v>
      </c>
      <c r="D138" s="1" t="s">
        <v>37</v>
      </c>
      <c r="E138" s="1">
        <v>16</v>
      </c>
      <c r="F138" s="1">
        <v>270</v>
      </c>
      <c r="G138" s="1">
        <v>10</v>
      </c>
      <c r="H138" s="2">
        <v>46184</v>
      </c>
      <c r="I138" s="2">
        <v>46190</v>
      </c>
      <c r="J138" s="1" t="s">
        <v>29</v>
      </c>
      <c r="K138" s="1">
        <v>1137</v>
      </c>
      <c r="L138" s="1" t="str">
        <f t="shared" si="0"/>
        <v>KOMAL</v>
      </c>
      <c r="M138" s="1" t="str">
        <f t="shared" si="1"/>
        <v>pen pack</v>
      </c>
      <c r="N138" s="1">
        <f t="shared" si="2"/>
        <v>8</v>
      </c>
    </row>
    <row r="139" spans="1:14" x14ac:dyDescent="0.3">
      <c r="A139" s="1" t="s">
        <v>55</v>
      </c>
      <c r="B139" s="1" t="s">
        <v>43</v>
      </c>
      <c r="C139" s="1" t="s">
        <v>18</v>
      </c>
      <c r="D139" s="1" t="s">
        <v>19</v>
      </c>
      <c r="E139" s="1">
        <v>5</v>
      </c>
      <c r="F139" s="1">
        <v>14466</v>
      </c>
      <c r="G139" s="1">
        <v>2</v>
      </c>
      <c r="H139" s="2">
        <v>46084</v>
      </c>
      <c r="I139" s="2">
        <v>46092</v>
      </c>
      <c r="J139" s="1" t="s">
        <v>51</v>
      </c>
      <c r="K139" s="1">
        <v>1138</v>
      </c>
      <c r="L139" s="1" t="str">
        <f t="shared" si="0"/>
        <v>SNEHA</v>
      </c>
      <c r="M139" s="1" t="str">
        <f t="shared" si="1"/>
        <v>desk</v>
      </c>
      <c r="N139" s="1">
        <f t="shared" si="2"/>
        <v>4</v>
      </c>
    </row>
    <row r="140" spans="1:14" x14ac:dyDescent="0.3">
      <c r="A140" s="1" t="s">
        <v>55</v>
      </c>
      <c r="B140" s="1" t="s">
        <v>33</v>
      </c>
      <c r="C140" s="1" t="s">
        <v>34</v>
      </c>
      <c r="D140" s="1" t="s">
        <v>61</v>
      </c>
      <c r="E140" s="1">
        <v>17</v>
      </c>
      <c r="F140" s="1">
        <v>28839</v>
      </c>
      <c r="G140" s="1">
        <v>10</v>
      </c>
      <c r="H140" s="2">
        <v>46093</v>
      </c>
      <c r="I140" s="2">
        <v>46099</v>
      </c>
      <c r="J140" s="1" t="s">
        <v>15</v>
      </c>
      <c r="K140" s="1">
        <v>1139</v>
      </c>
      <c r="L140" s="1" t="str">
        <f t="shared" si="0"/>
        <v>SNEHA</v>
      </c>
      <c r="M140" s="1" t="str">
        <f t="shared" si="1"/>
        <v>mouse</v>
      </c>
      <c r="N140" s="1">
        <f t="shared" si="2"/>
        <v>5</v>
      </c>
    </row>
    <row r="141" spans="1:14" x14ac:dyDescent="0.3">
      <c r="A141" s="1" t="s">
        <v>57</v>
      </c>
      <c r="B141" s="1" t="s">
        <v>38</v>
      </c>
      <c r="C141" s="1" t="s">
        <v>34</v>
      </c>
      <c r="D141" s="1" t="s">
        <v>41</v>
      </c>
      <c r="E141" s="1">
        <v>5</v>
      </c>
      <c r="F141" s="1">
        <v>68012</v>
      </c>
      <c r="G141" s="1">
        <v>5</v>
      </c>
      <c r="H141" s="2">
        <v>46061</v>
      </c>
      <c r="I141" s="2">
        <v>46065</v>
      </c>
      <c r="J141" s="1" t="s">
        <v>15</v>
      </c>
      <c r="K141" s="1">
        <v>1140</v>
      </c>
      <c r="L141" s="1" t="str">
        <f t="shared" si="0"/>
        <v>SARA</v>
      </c>
      <c r="M141" s="1" t="str">
        <f t="shared" si="1"/>
        <v>headset</v>
      </c>
      <c r="N141" s="1">
        <f t="shared" si="2"/>
        <v>7</v>
      </c>
    </row>
    <row r="142" spans="1:14" x14ac:dyDescent="0.3">
      <c r="A142" s="1" t="s">
        <v>11</v>
      </c>
      <c r="B142" s="1" t="s">
        <v>17</v>
      </c>
      <c r="C142" s="1" t="s">
        <v>18</v>
      </c>
      <c r="D142" s="1" t="s">
        <v>44</v>
      </c>
      <c r="E142" s="1">
        <v>20</v>
      </c>
      <c r="F142" s="1">
        <v>6835</v>
      </c>
      <c r="G142" s="1">
        <v>2</v>
      </c>
      <c r="H142" s="2">
        <v>46043</v>
      </c>
      <c r="I142" s="2">
        <v>46053</v>
      </c>
      <c r="J142" s="1" t="s">
        <v>15</v>
      </c>
      <c r="K142" s="1">
        <v>1141</v>
      </c>
      <c r="L142" s="1" t="str">
        <f t="shared" si="0"/>
        <v>RITESH</v>
      </c>
      <c r="M142" s="1" t="str">
        <f t="shared" si="1"/>
        <v>bookshelf</v>
      </c>
      <c r="N142" s="1">
        <f t="shared" si="2"/>
        <v>9</v>
      </c>
    </row>
    <row r="143" spans="1:14" x14ac:dyDescent="0.3">
      <c r="A143" s="1" t="s">
        <v>40</v>
      </c>
      <c r="B143" s="1" t="s">
        <v>25</v>
      </c>
      <c r="C143" s="1" t="s">
        <v>34</v>
      </c>
      <c r="D143" s="1" t="s">
        <v>60</v>
      </c>
      <c r="E143" s="1">
        <v>9</v>
      </c>
      <c r="F143" s="1">
        <v>59788</v>
      </c>
      <c r="G143" s="1">
        <v>7</v>
      </c>
      <c r="H143" s="2">
        <v>46064</v>
      </c>
      <c r="I143" s="2">
        <v>46071</v>
      </c>
      <c r="J143" s="1" t="s">
        <v>29</v>
      </c>
      <c r="K143" s="1">
        <v>1142</v>
      </c>
      <c r="L143" s="1" t="str">
        <f t="shared" si="0"/>
        <v>DEEPAK</v>
      </c>
      <c r="M143" s="1" t="str">
        <f t="shared" si="1"/>
        <v>laptop</v>
      </c>
      <c r="N143" s="1">
        <f t="shared" si="2"/>
        <v>6</v>
      </c>
    </row>
    <row r="144" spans="1:14" x14ac:dyDescent="0.3">
      <c r="A144" s="1" t="s">
        <v>29</v>
      </c>
      <c r="B144" s="1" t="s">
        <v>17</v>
      </c>
      <c r="C144" s="1" t="s">
        <v>13</v>
      </c>
      <c r="D144" s="1" t="s">
        <v>37</v>
      </c>
      <c r="E144" s="1">
        <v>13</v>
      </c>
      <c r="F144" s="1">
        <v>456</v>
      </c>
      <c r="G144" s="1">
        <v>2</v>
      </c>
      <c r="H144" s="2">
        <v>46160</v>
      </c>
      <c r="I144" s="2">
        <v>46167</v>
      </c>
      <c r="J144" s="1" t="s">
        <v>24</v>
      </c>
      <c r="K144" s="1">
        <v>1143</v>
      </c>
      <c r="L144" s="1" t="str">
        <f t="shared" si="0"/>
        <v>PRIYA</v>
      </c>
      <c r="M144" s="1" t="str">
        <f t="shared" si="1"/>
        <v>pen pack</v>
      </c>
      <c r="N144" s="1">
        <f t="shared" si="2"/>
        <v>8</v>
      </c>
    </row>
    <row r="145" spans="1:14" x14ac:dyDescent="0.3">
      <c r="A145" s="1" t="s">
        <v>42</v>
      </c>
      <c r="B145" s="1" t="s">
        <v>25</v>
      </c>
      <c r="C145" s="1" t="s">
        <v>13</v>
      </c>
      <c r="D145" s="1" t="s">
        <v>14</v>
      </c>
      <c r="E145" s="1">
        <v>16</v>
      </c>
      <c r="F145" s="1">
        <v>219</v>
      </c>
      <c r="G145" s="1">
        <v>7</v>
      </c>
      <c r="H145" s="2">
        <v>46138</v>
      </c>
      <c r="I145" s="2">
        <v>46140</v>
      </c>
      <c r="J145" s="1" t="s">
        <v>20</v>
      </c>
      <c r="K145" s="1">
        <v>1144</v>
      </c>
      <c r="L145" s="1" t="str">
        <f t="shared" si="0"/>
        <v>NISHA</v>
      </c>
      <c r="M145" s="1" t="str">
        <f t="shared" si="1"/>
        <v>notebook</v>
      </c>
      <c r="N145" s="1">
        <f t="shared" si="2"/>
        <v>8</v>
      </c>
    </row>
    <row r="146" spans="1:14" x14ac:dyDescent="0.3">
      <c r="A146" s="1" t="s">
        <v>42</v>
      </c>
      <c r="B146" s="1" t="s">
        <v>33</v>
      </c>
      <c r="C146" s="1" t="s">
        <v>34</v>
      </c>
      <c r="D146" s="1" t="s">
        <v>39</v>
      </c>
      <c r="E146" s="1">
        <v>2</v>
      </c>
      <c r="F146" s="1">
        <v>34429</v>
      </c>
      <c r="G146" s="1">
        <v>12</v>
      </c>
      <c r="H146" s="2">
        <v>46102</v>
      </c>
      <c r="I146" s="2">
        <v>46112</v>
      </c>
      <c r="J146" s="1" t="s">
        <v>24</v>
      </c>
      <c r="K146" s="1">
        <v>1145</v>
      </c>
      <c r="L146" s="1" t="str">
        <f t="shared" si="0"/>
        <v>NISHA</v>
      </c>
      <c r="M146" s="1" t="str">
        <f t="shared" si="1"/>
        <v>keyboard</v>
      </c>
      <c r="N146" s="1">
        <f t="shared" si="2"/>
        <v>8</v>
      </c>
    </row>
    <row r="147" spans="1:14" x14ac:dyDescent="0.3">
      <c r="A147" s="1" t="s">
        <v>16</v>
      </c>
      <c r="B147" s="1" t="s">
        <v>43</v>
      </c>
      <c r="C147" s="1" t="s">
        <v>34</v>
      </c>
      <c r="D147" s="1" t="s">
        <v>45</v>
      </c>
      <c r="E147" s="1">
        <v>7</v>
      </c>
      <c r="F147" s="1">
        <v>68217</v>
      </c>
      <c r="G147" s="1">
        <v>0</v>
      </c>
      <c r="H147" s="2">
        <v>46190</v>
      </c>
      <c r="I147" s="2">
        <v>46197</v>
      </c>
      <c r="J147" s="1" t="s">
        <v>29</v>
      </c>
      <c r="K147" s="1">
        <v>1146</v>
      </c>
      <c r="L147" s="1" t="str">
        <f t="shared" si="0"/>
        <v>POOJA</v>
      </c>
      <c r="M147" s="1" t="str">
        <f t="shared" si="1"/>
        <v>monitor</v>
      </c>
      <c r="N147" s="1">
        <f t="shared" si="2"/>
        <v>7</v>
      </c>
    </row>
    <row r="148" spans="1:14" x14ac:dyDescent="0.3">
      <c r="A148" s="1" t="s">
        <v>11</v>
      </c>
      <c r="B148" s="1" t="s">
        <v>22</v>
      </c>
      <c r="C148" s="1" t="s">
        <v>18</v>
      </c>
      <c r="D148" s="1" t="s">
        <v>28</v>
      </c>
      <c r="E148" s="1">
        <v>7</v>
      </c>
      <c r="F148" s="1">
        <v>9581</v>
      </c>
      <c r="G148" s="1">
        <v>5</v>
      </c>
      <c r="H148" s="2">
        <v>46154</v>
      </c>
      <c r="I148" s="2">
        <v>46155</v>
      </c>
      <c r="J148" s="1" t="s">
        <v>20</v>
      </c>
      <c r="K148" s="1">
        <v>1147</v>
      </c>
      <c r="L148" s="1" t="str">
        <f t="shared" si="0"/>
        <v>RITESH</v>
      </c>
      <c r="M148" s="1" t="str">
        <f t="shared" si="1"/>
        <v>chair</v>
      </c>
      <c r="N148" s="1">
        <f t="shared" si="2"/>
        <v>5</v>
      </c>
    </row>
    <row r="149" spans="1:14" x14ac:dyDescent="0.3">
      <c r="A149" s="1" t="s">
        <v>59</v>
      </c>
      <c r="B149" s="1" t="s">
        <v>33</v>
      </c>
      <c r="C149" s="1" t="s">
        <v>18</v>
      </c>
      <c r="D149" s="1" t="s">
        <v>28</v>
      </c>
      <c r="E149" s="1">
        <v>11</v>
      </c>
      <c r="F149" s="1">
        <v>3023</v>
      </c>
      <c r="G149" s="1">
        <v>7</v>
      </c>
      <c r="H149" s="2">
        <v>46030</v>
      </c>
      <c r="I149" s="2">
        <v>46032</v>
      </c>
      <c r="J149" s="1" t="s">
        <v>24</v>
      </c>
      <c r="K149" s="1">
        <v>1148</v>
      </c>
      <c r="L149" s="1" t="str">
        <f t="shared" si="0"/>
        <v>ANITA</v>
      </c>
      <c r="M149" s="1" t="str">
        <f t="shared" si="1"/>
        <v>chair</v>
      </c>
      <c r="N149" s="1">
        <f t="shared" si="2"/>
        <v>5</v>
      </c>
    </row>
    <row r="150" spans="1:14" x14ac:dyDescent="0.3">
      <c r="A150" s="1" t="s">
        <v>26</v>
      </c>
      <c r="B150" s="1" t="s">
        <v>38</v>
      </c>
      <c r="C150" s="1" t="s">
        <v>34</v>
      </c>
      <c r="D150" s="1" t="s">
        <v>35</v>
      </c>
      <c r="E150" s="1">
        <v>10</v>
      </c>
      <c r="F150" s="1">
        <v>22853</v>
      </c>
      <c r="G150" s="1">
        <v>7</v>
      </c>
      <c r="H150" s="2">
        <v>46053</v>
      </c>
      <c r="I150" s="2">
        <v>46054</v>
      </c>
      <c r="J150" s="1" t="s">
        <v>29</v>
      </c>
      <c r="K150" s="1">
        <v>1149</v>
      </c>
      <c r="L150" s="1" t="str">
        <f t="shared" si="0"/>
        <v>VIKRAM</v>
      </c>
      <c r="M150" s="1" t="str">
        <f t="shared" si="1"/>
        <v>printer</v>
      </c>
      <c r="N150" s="1">
        <f t="shared" si="2"/>
        <v>7</v>
      </c>
    </row>
    <row r="151" spans="1:14" x14ac:dyDescent="0.3">
      <c r="A151" s="1" t="s">
        <v>42</v>
      </c>
      <c r="B151" s="1" t="s">
        <v>12</v>
      </c>
      <c r="C151" s="1" t="s">
        <v>18</v>
      </c>
      <c r="D151" s="1" t="s">
        <v>56</v>
      </c>
      <c r="E151" s="1">
        <v>10</v>
      </c>
      <c r="F151" s="1">
        <v>5323</v>
      </c>
      <c r="G151" s="1">
        <v>7</v>
      </c>
      <c r="H151" s="2">
        <v>46143</v>
      </c>
      <c r="I151" s="2">
        <v>46153</v>
      </c>
      <c r="J151" s="1" t="s">
        <v>24</v>
      </c>
      <c r="K151" s="1">
        <v>1150</v>
      </c>
      <c r="L151" s="1" t="str">
        <f t="shared" si="0"/>
        <v>NISHA</v>
      </c>
      <c r="M151" s="1" t="str">
        <f t="shared" si="1"/>
        <v>cabinet</v>
      </c>
      <c r="N151" s="1">
        <f t="shared" si="2"/>
        <v>7</v>
      </c>
    </row>
    <row r="152" spans="1:14" x14ac:dyDescent="0.3">
      <c r="A152" s="1" t="s">
        <v>46</v>
      </c>
      <c r="B152" s="1" t="s">
        <v>43</v>
      </c>
      <c r="C152" s="1" t="s">
        <v>13</v>
      </c>
      <c r="D152" s="1" t="s">
        <v>50</v>
      </c>
      <c r="E152" s="1">
        <v>20</v>
      </c>
      <c r="F152" s="1">
        <v>272</v>
      </c>
      <c r="G152" s="1">
        <v>15</v>
      </c>
      <c r="H152" s="2">
        <v>46024</v>
      </c>
      <c r="I152" s="2">
        <v>46029</v>
      </c>
      <c r="J152" s="1" t="s">
        <v>51</v>
      </c>
      <c r="K152" s="1">
        <v>1151</v>
      </c>
      <c r="L152" s="1" t="str">
        <f t="shared" si="0"/>
        <v>KIRAN</v>
      </c>
      <c r="M152" s="1" t="str">
        <f t="shared" si="1"/>
        <v>marker</v>
      </c>
      <c r="N152" s="1">
        <f t="shared" si="2"/>
        <v>6</v>
      </c>
    </row>
    <row r="153" spans="1:14" x14ac:dyDescent="0.3">
      <c r="A153" s="1" t="s">
        <v>27</v>
      </c>
      <c r="B153" s="1" t="s">
        <v>31</v>
      </c>
      <c r="C153" s="1" t="s">
        <v>34</v>
      </c>
      <c r="D153" s="1" t="s">
        <v>61</v>
      </c>
      <c r="E153" s="1">
        <v>14</v>
      </c>
      <c r="F153" s="1">
        <v>8150</v>
      </c>
      <c r="G153" s="1">
        <v>10</v>
      </c>
      <c r="H153" s="2">
        <v>46062</v>
      </c>
      <c r="I153" s="2">
        <v>46070</v>
      </c>
      <c r="J153" s="1" t="s">
        <v>15</v>
      </c>
      <c r="K153" s="1">
        <v>1152</v>
      </c>
      <c r="L153" s="1" t="str">
        <f t="shared" si="0"/>
        <v>ARJUN</v>
      </c>
      <c r="M153" s="1" t="str">
        <f t="shared" si="1"/>
        <v>mouse</v>
      </c>
      <c r="N153" s="1">
        <f t="shared" si="2"/>
        <v>5</v>
      </c>
    </row>
    <row r="154" spans="1:14" x14ac:dyDescent="0.3">
      <c r="A154" s="1" t="s">
        <v>42</v>
      </c>
      <c r="B154" s="1" t="s">
        <v>25</v>
      </c>
      <c r="C154" s="1" t="s">
        <v>18</v>
      </c>
      <c r="D154" s="1" t="s">
        <v>23</v>
      </c>
      <c r="E154" s="1">
        <v>19</v>
      </c>
      <c r="F154" s="1">
        <v>10273</v>
      </c>
      <c r="G154" s="1">
        <v>12</v>
      </c>
      <c r="H154" s="2">
        <v>46069</v>
      </c>
      <c r="I154" s="2">
        <v>46072</v>
      </c>
      <c r="J154" s="1" t="s">
        <v>29</v>
      </c>
      <c r="K154" s="1">
        <v>1153</v>
      </c>
      <c r="L154" s="1" t="str">
        <f t="shared" si="0"/>
        <v>NISHA</v>
      </c>
      <c r="M154" s="1" t="str">
        <f t="shared" si="1"/>
        <v>table</v>
      </c>
      <c r="N154" s="1">
        <f t="shared" si="2"/>
        <v>5</v>
      </c>
    </row>
    <row r="155" spans="1:14" x14ac:dyDescent="0.3">
      <c r="A155" s="1" t="s">
        <v>32</v>
      </c>
      <c r="B155" s="1" t="s">
        <v>17</v>
      </c>
      <c r="C155" s="1" t="s">
        <v>18</v>
      </c>
      <c r="D155" s="1" t="s">
        <v>56</v>
      </c>
      <c r="E155" s="1">
        <v>15</v>
      </c>
      <c r="F155" s="1">
        <v>6101</v>
      </c>
      <c r="G155" s="1">
        <v>0</v>
      </c>
      <c r="H155" s="2">
        <v>46178</v>
      </c>
      <c r="I155" s="2">
        <v>46183</v>
      </c>
      <c r="J155" s="1" t="s">
        <v>51</v>
      </c>
      <c r="K155" s="1">
        <v>1154</v>
      </c>
      <c r="L155" s="1" t="str">
        <f t="shared" si="0"/>
        <v>ASHA</v>
      </c>
      <c r="M155" s="1" t="str">
        <f t="shared" si="1"/>
        <v>cabinet</v>
      </c>
      <c r="N155" s="1">
        <f t="shared" si="2"/>
        <v>7</v>
      </c>
    </row>
    <row r="156" spans="1:14" x14ac:dyDescent="0.3">
      <c r="A156" s="1" t="s">
        <v>11</v>
      </c>
      <c r="B156" s="1" t="s">
        <v>31</v>
      </c>
      <c r="C156" s="1" t="s">
        <v>18</v>
      </c>
      <c r="D156" s="1" t="s">
        <v>28</v>
      </c>
      <c r="E156" s="1">
        <v>13</v>
      </c>
      <c r="F156" s="1">
        <v>4341</v>
      </c>
      <c r="G156" s="1">
        <v>15</v>
      </c>
      <c r="H156" s="2">
        <v>46093</v>
      </c>
      <c r="I156" s="2">
        <v>46096</v>
      </c>
      <c r="J156" s="1" t="s">
        <v>24</v>
      </c>
      <c r="K156" s="1">
        <v>1155</v>
      </c>
      <c r="L156" s="1" t="str">
        <f t="shared" si="0"/>
        <v>RITESH</v>
      </c>
      <c r="M156" s="1" t="str">
        <f t="shared" si="1"/>
        <v>chair</v>
      </c>
      <c r="N156" s="1">
        <f t="shared" si="2"/>
        <v>5</v>
      </c>
    </row>
    <row r="157" spans="1:14" x14ac:dyDescent="0.3">
      <c r="A157" s="1" t="s">
        <v>54</v>
      </c>
      <c r="B157" s="1" t="s">
        <v>38</v>
      </c>
      <c r="C157" s="1" t="s">
        <v>13</v>
      </c>
      <c r="D157" s="1" t="s">
        <v>36</v>
      </c>
      <c r="E157" s="1">
        <v>5</v>
      </c>
      <c r="F157" s="1">
        <v>466</v>
      </c>
      <c r="G157" s="1">
        <v>15</v>
      </c>
      <c r="H157" s="2">
        <v>46025</v>
      </c>
      <c r="I157" s="2">
        <v>46029</v>
      </c>
      <c r="J157" s="1" t="s">
        <v>15</v>
      </c>
      <c r="K157" s="1">
        <v>1156</v>
      </c>
      <c r="L157" s="1" t="str">
        <f t="shared" si="0"/>
        <v>MANOJ</v>
      </c>
      <c r="M157" s="1" t="str">
        <f t="shared" si="1"/>
        <v>stapler</v>
      </c>
      <c r="N157" s="1">
        <f t="shared" si="2"/>
        <v>7</v>
      </c>
    </row>
    <row r="158" spans="1:14" x14ac:dyDescent="0.3">
      <c r="A158" s="1" t="s">
        <v>52</v>
      </c>
      <c r="B158" s="1" t="s">
        <v>33</v>
      </c>
      <c r="C158" s="1" t="s">
        <v>13</v>
      </c>
      <c r="D158" s="1" t="s">
        <v>50</v>
      </c>
      <c r="E158" s="1">
        <v>3</v>
      </c>
      <c r="F158" s="1">
        <v>203</v>
      </c>
      <c r="G158" s="1">
        <v>15</v>
      </c>
      <c r="H158" s="2">
        <v>46076</v>
      </c>
      <c r="I158" s="2">
        <v>46080</v>
      </c>
      <c r="J158" s="1" t="s">
        <v>29</v>
      </c>
      <c r="K158" s="1">
        <v>1157</v>
      </c>
      <c r="L158" s="1" t="str">
        <f t="shared" si="0"/>
        <v>KOMAL</v>
      </c>
      <c r="M158" s="1" t="str">
        <f t="shared" si="1"/>
        <v>marker</v>
      </c>
      <c r="N158" s="1">
        <f t="shared" si="2"/>
        <v>6</v>
      </c>
    </row>
    <row r="159" spans="1:14" x14ac:dyDescent="0.3">
      <c r="A159" s="1" t="s">
        <v>26</v>
      </c>
      <c r="B159" s="1" t="s">
        <v>38</v>
      </c>
      <c r="C159" s="1" t="s">
        <v>34</v>
      </c>
      <c r="D159" s="1" t="s">
        <v>41</v>
      </c>
      <c r="E159" s="1">
        <v>13</v>
      </c>
      <c r="F159" s="1">
        <v>12518</v>
      </c>
      <c r="G159" s="1">
        <v>2</v>
      </c>
      <c r="H159" s="2">
        <v>46079</v>
      </c>
      <c r="I159" s="2">
        <v>46082</v>
      </c>
      <c r="J159" s="1" t="s">
        <v>51</v>
      </c>
      <c r="K159" s="1">
        <v>1158</v>
      </c>
      <c r="L159" s="1" t="str">
        <f t="shared" si="0"/>
        <v>VIKRAM</v>
      </c>
      <c r="M159" s="1" t="str">
        <f t="shared" si="1"/>
        <v>headset</v>
      </c>
      <c r="N159" s="1">
        <f t="shared" si="2"/>
        <v>7</v>
      </c>
    </row>
    <row r="160" spans="1:14" x14ac:dyDescent="0.3">
      <c r="A160" s="1" t="s">
        <v>32</v>
      </c>
      <c r="B160" s="1" t="s">
        <v>43</v>
      </c>
      <c r="C160" s="1" t="s">
        <v>18</v>
      </c>
      <c r="D160" s="1" t="s">
        <v>28</v>
      </c>
      <c r="E160" s="1">
        <v>20</v>
      </c>
      <c r="F160" s="1">
        <v>14000</v>
      </c>
      <c r="G160" s="1">
        <v>15</v>
      </c>
      <c r="H160" s="2">
        <v>46184</v>
      </c>
      <c r="I160" s="2">
        <v>46187</v>
      </c>
      <c r="J160" s="1" t="s">
        <v>15</v>
      </c>
      <c r="K160" s="1">
        <v>1159</v>
      </c>
      <c r="L160" s="1" t="str">
        <f t="shared" si="0"/>
        <v>ASHA</v>
      </c>
      <c r="M160" s="1" t="str">
        <f t="shared" si="1"/>
        <v>chair</v>
      </c>
      <c r="N160" s="1">
        <f t="shared" si="2"/>
        <v>5</v>
      </c>
    </row>
    <row r="161" spans="1:14" x14ac:dyDescent="0.3">
      <c r="A161" s="1" t="s">
        <v>59</v>
      </c>
      <c r="B161" s="1" t="s">
        <v>22</v>
      </c>
      <c r="C161" s="1" t="s">
        <v>34</v>
      </c>
      <c r="D161" s="1" t="s">
        <v>39</v>
      </c>
      <c r="E161" s="1">
        <v>7</v>
      </c>
      <c r="F161" s="1">
        <v>53986</v>
      </c>
      <c r="G161" s="1">
        <v>10</v>
      </c>
      <c r="H161" s="2">
        <v>46142</v>
      </c>
      <c r="I161" s="2">
        <v>46147</v>
      </c>
      <c r="J161" s="1" t="s">
        <v>51</v>
      </c>
      <c r="K161" s="1">
        <v>1160</v>
      </c>
      <c r="L161" s="1" t="str">
        <f t="shared" si="0"/>
        <v>ANITA</v>
      </c>
      <c r="M161" s="1" t="str">
        <f t="shared" si="1"/>
        <v>keyboard</v>
      </c>
      <c r="N161" s="1">
        <f t="shared" si="2"/>
        <v>8</v>
      </c>
    </row>
    <row r="162" spans="1:14" x14ac:dyDescent="0.3">
      <c r="A162" s="1" t="s">
        <v>27</v>
      </c>
      <c r="B162" s="1" t="s">
        <v>25</v>
      </c>
      <c r="C162" s="1" t="s">
        <v>34</v>
      </c>
      <c r="D162" s="1" t="s">
        <v>39</v>
      </c>
      <c r="E162" s="1">
        <v>4</v>
      </c>
      <c r="F162" s="1">
        <v>54659</v>
      </c>
      <c r="G162" s="1">
        <v>7</v>
      </c>
      <c r="H162" s="2">
        <v>46105</v>
      </c>
      <c r="I162" s="2">
        <v>46109</v>
      </c>
      <c r="J162" s="1" t="s">
        <v>20</v>
      </c>
      <c r="K162" s="1">
        <v>1161</v>
      </c>
      <c r="L162" s="1" t="str">
        <f t="shared" si="0"/>
        <v>ARJUN</v>
      </c>
      <c r="M162" s="1" t="str">
        <f t="shared" si="1"/>
        <v>keyboard</v>
      </c>
      <c r="N162" s="1">
        <f t="shared" si="2"/>
        <v>8</v>
      </c>
    </row>
    <row r="163" spans="1:14" x14ac:dyDescent="0.3">
      <c r="A163" s="1" t="s">
        <v>57</v>
      </c>
      <c r="B163" s="1" t="s">
        <v>31</v>
      </c>
      <c r="C163" s="1" t="s">
        <v>34</v>
      </c>
      <c r="D163" s="1" t="s">
        <v>45</v>
      </c>
      <c r="E163" s="1">
        <v>2</v>
      </c>
      <c r="F163" s="1">
        <v>28176</v>
      </c>
      <c r="G163" s="1">
        <v>10</v>
      </c>
      <c r="H163" s="2">
        <v>46100</v>
      </c>
      <c r="I163" s="2">
        <v>46101</v>
      </c>
      <c r="J163" s="1" t="s">
        <v>20</v>
      </c>
      <c r="K163" s="1">
        <v>1162</v>
      </c>
      <c r="L163" s="1" t="str">
        <f t="shared" si="0"/>
        <v>SARA</v>
      </c>
      <c r="M163" s="1" t="str">
        <f t="shared" si="1"/>
        <v>monitor</v>
      </c>
      <c r="N163" s="1">
        <f t="shared" si="2"/>
        <v>7</v>
      </c>
    </row>
    <row r="164" spans="1:14" x14ac:dyDescent="0.3">
      <c r="A164" s="1" t="s">
        <v>29</v>
      </c>
      <c r="B164" s="1" t="s">
        <v>38</v>
      </c>
      <c r="C164" s="1" t="s">
        <v>34</v>
      </c>
      <c r="D164" s="1" t="s">
        <v>39</v>
      </c>
      <c r="E164" s="1">
        <v>9</v>
      </c>
      <c r="F164" s="1">
        <v>62440</v>
      </c>
      <c r="G164" s="1">
        <v>2</v>
      </c>
      <c r="H164" s="2">
        <v>46081</v>
      </c>
      <c r="I164" s="2">
        <v>46086</v>
      </c>
      <c r="J164" s="1" t="s">
        <v>29</v>
      </c>
      <c r="K164" s="1">
        <v>1163</v>
      </c>
      <c r="L164" s="1" t="str">
        <f t="shared" si="0"/>
        <v>PRIYA</v>
      </c>
      <c r="M164" s="1" t="str">
        <f t="shared" si="1"/>
        <v>keyboard</v>
      </c>
      <c r="N164" s="1">
        <f t="shared" si="2"/>
        <v>8</v>
      </c>
    </row>
    <row r="165" spans="1:14" x14ac:dyDescent="0.3">
      <c r="A165" s="1" t="s">
        <v>40</v>
      </c>
      <c r="B165" s="1" t="s">
        <v>43</v>
      </c>
      <c r="C165" s="1" t="s">
        <v>34</v>
      </c>
      <c r="D165" s="1" t="s">
        <v>61</v>
      </c>
      <c r="E165" s="1">
        <v>7</v>
      </c>
      <c r="F165" s="1">
        <v>24615</v>
      </c>
      <c r="G165" s="1">
        <v>12</v>
      </c>
      <c r="H165" s="2">
        <v>46196</v>
      </c>
      <c r="I165" s="2">
        <v>46203</v>
      </c>
      <c r="J165" s="1" t="s">
        <v>51</v>
      </c>
      <c r="K165" s="1">
        <v>1164</v>
      </c>
      <c r="L165" s="1" t="str">
        <f t="shared" si="0"/>
        <v>DEEPAK</v>
      </c>
      <c r="M165" s="1" t="str">
        <f t="shared" si="1"/>
        <v>mouse</v>
      </c>
      <c r="N165" s="1">
        <f t="shared" si="2"/>
        <v>5</v>
      </c>
    </row>
    <row r="166" spans="1:14" x14ac:dyDescent="0.3">
      <c r="A166" s="1" t="s">
        <v>48</v>
      </c>
      <c r="B166" s="1" t="s">
        <v>25</v>
      </c>
      <c r="C166" s="1" t="s">
        <v>13</v>
      </c>
      <c r="D166" s="1" t="s">
        <v>37</v>
      </c>
      <c r="E166" s="1">
        <v>1</v>
      </c>
      <c r="F166" s="1">
        <v>427</v>
      </c>
      <c r="G166" s="1">
        <v>0</v>
      </c>
      <c r="H166" s="2">
        <v>46042</v>
      </c>
      <c r="I166" s="2">
        <v>46050</v>
      </c>
      <c r="J166" s="1" t="s">
        <v>51</v>
      </c>
      <c r="K166" s="1">
        <v>1165</v>
      </c>
      <c r="L166" s="1" t="str">
        <f t="shared" si="0"/>
        <v>NITIN</v>
      </c>
      <c r="M166" s="1" t="str">
        <f t="shared" si="1"/>
        <v>pen pack</v>
      </c>
      <c r="N166" s="1">
        <f t="shared" si="2"/>
        <v>8</v>
      </c>
    </row>
    <row r="167" spans="1:14" x14ac:dyDescent="0.3">
      <c r="A167" s="1" t="s">
        <v>32</v>
      </c>
      <c r="B167" s="1" t="s">
        <v>31</v>
      </c>
      <c r="C167" s="1" t="s">
        <v>13</v>
      </c>
      <c r="D167" s="1" t="s">
        <v>37</v>
      </c>
      <c r="E167" s="1">
        <v>1</v>
      </c>
      <c r="F167" s="1">
        <v>396</v>
      </c>
      <c r="G167" s="1">
        <v>5</v>
      </c>
      <c r="H167" s="2">
        <v>46092</v>
      </c>
      <c r="I167" s="2">
        <v>46093</v>
      </c>
      <c r="J167" s="1" t="s">
        <v>20</v>
      </c>
      <c r="K167" s="1">
        <v>1166</v>
      </c>
      <c r="L167" s="1" t="str">
        <f t="shared" si="0"/>
        <v>ASHA</v>
      </c>
      <c r="M167" s="1" t="str">
        <f t="shared" si="1"/>
        <v>pen pack</v>
      </c>
      <c r="N167" s="1">
        <f t="shared" si="2"/>
        <v>8</v>
      </c>
    </row>
    <row r="168" spans="1:14" x14ac:dyDescent="0.3">
      <c r="A168" s="1" t="s">
        <v>48</v>
      </c>
      <c r="B168" s="1" t="s">
        <v>17</v>
      </c>
      <c r="C168" s="1" t="s">
        <v>13</v>
      </c>
      <c r="D168" s="1" t="s">
        <v>37</v>
      </c>
      <c r="E168" s="1">
        <v>20</v>
      </c>
      <c r="F168" s="1">
        <v>251</v>
      </c>
      <c r="G168" s="1">
        <v>5</v>
      </c>
      <c r="H168" s="2">
        <v>46160</v>
      </c>
      <c r="I168" s="2">
        <v>46170</v>
      </c>
      <c r="J168" s="1" t="s">
        <v>29</v>
      </c>
      <c r="K168" s="1">
        <v>1167</v>
      </c>
      <c r="L168" s="1" t="str">
        <f t="shared" si="0"/>
        <v>NITIN</v>
      </c>
      <c r="M168" s="1" t="str">
        <f t="shared" si="1"/>
        <v>pen pack</v>
      </c>
      <c r="N168" s="1">
        <f t="shared" si="2"/>
        <v>8</v>
      </c>
    </row>
    <row r="169" spans="1:14" x14ac:dyDescent="0.3">
      <c r="A169" s="1" t="s">
        <v>54</v>
      </c>
      <c r="B169" s="1" t="s">
        <v>12</v>
      </c>
      <c r="C169" s="1" t="s">
        <v>13</v>
      </c>
      <c r="D169" s="1" t="s">
        <v>37</v>
      </c>
      <c r="E169" s="1">
        <v>18</v>
      </c>
      <c r="F169" s="1">
        <v>335</v>
      </c>
      <c r="G169" s="1">
        <v>15</v>
      </c>
      <c r="H169" s="2">
        <v>46130</v>
      </c>
      <c r="I169" s="2">
        <v>46140</v>
      </c>
      <c r="J169" s="1" t="s">
        <v>29</v>
      </c>
      <c r="K169" s="1">
        <v>1168</v>
      </c>
      <c r="L169" s="1" t="str">
        <f t="shared" si="0"/>
        <v>MANOJ</v>
      </c>
      <c r="M169" s="1" t="str">
        <f t="shared" si="1"/>
        <v>pen pack</v>
      </c>
      <c r="N169" s="1">
        <f t="shared" si="2"/>
        <v>8</v>
      </c>
    </row>
    <row r="170" spans="1:14" x14ac:dyDescent="0.3">
      <c r="A170" s="1" t="s">
        <v>47</v>
      </c>
      <c r="B170" s="1" t="s">
        <v>12</v>
      </c>
      <c r="C170" s="1" t="s">
        <v>18</v>
      </c>
      <c r="D170" s="1" t="s">
        <v>56</v>
      </c>
      <c r="E170" s="1">
        <v>12</v>
      </c>
      <c r="F170" s="1">
        <v>12104</v>
      </c>
      <c r="G170" s="1">
        <v>7</v>
      </c>
      <c r="H170" s="2">
        <v>46121</v>
      </c>
      <c r="I170" s="2">
        <v>46130</v>
      </c>
      <c r="J170" s="1" t="s">
        <v>24</v>
      </c>
      <c r="K170" s="1">
        <v>1169</v>
      </c>
      <c r="L170" s="1" t="str">
        <f t="shared" si="0"/>
        <v>YASH</v>
      </c>
      <c r="M170" s="1" t="str">
        <f t="shared" si="1"/>
        <v>cabinet</v>
      </c>
      <c r="N170" s="1">
        <f t="shared" si="2"/>
        <v>7</v>
      </c>
    </row>
    <row r="171" spans="1:14" x14ac:dyDescent="0.3">
      <c r="A171" s="1" t="s">
        <v>49</v>
      </c>
      <c r="B171" s="1" t="s">
        <v>38</v>
      </c>
      <c r="C171" s="1" t="s">
        <v>13</v>
      </c>
      <c r="D171" s="1" t="s">
        <v>14</v>
      </c>
      <c r="E171" s="1">
        <v>6</v>
      </c>
      <c r="F171" s="1">
        <v>339</v>
      </c>
      <c r="G171" s="1">
        <v>12</v>
      </c>
      <c r="H171" s="2">
        <v>46105</v>
      </c>
      <c r="I171" s="2">
        <v>46106</v>
      </c>
      <c r="J171" s="1" t="s">
        <v>24</v>
      </c>
      <c r="K171" s="1">
        <v>1170</v>
      </c>
      <c r="L171" s="1" t="str">
        <f t="shared" si="0"/>
        <v>AJAY</v>
      </c>
      <c r="M171" s="1" t="str">
        <f t="shared" si="1"/>
        <v>notebook</v>
      </c>
      <c r="N171" s="1">
        <f t="shared" si="2"/>
        <v>8</v>
      </c>
    </row>
    <row r="172" spans="1:14" x14ac:dyDescent="0.3">
      <c r="A172" s="1" t="s">
        <v>57</v>
      </c>
      <c r="B172" s="1" t="s">
        <v>25</v>
      </c>
      <c r="C172" s="1" t="s">
        <v>13</v>
      </c>
      <c r="D172" s="1" t="s">
        <v>50</v>
      </c>
      <c r="E172" s="1">
        <v>17</v>
      </c>
      <c r="F172" s="1">
        <v>147</v>
      </c>
      <c r="G172" s="1">
        <v>12</v>
      </c>
      <c r="H172" s="2">
        <v>46155</v>
      </c>
      <c r="I172" s="2">
        <v>46160</v>
      </c>
      <c r="J172" s="1" t="s">
        <v>20</v>
      </c>
      <c r="K172" s="1">
        <v>1171</v>
      </c>
      <c r="L172" s="1" t="str">
        <f t="shared" si="0"/>
        <v>SARA</v>
      </c>
      <c r="M172" s="1" t="str">
        <f t="shared" si="1"/>
        <v>marker</v>
      </c>
      <c r="N172" s="1">
        <f t="shared" si="2"/>
        <v>6</v>
      </c>
    </row>
    <row r="173" spans="1:14" x14ac:dyDescent="0.3">
      <c r="A173" s="1" t="s">
        <v>16</v>
      </c>
      <c r="B173" s="1" t="s">
        <v>12</v>
      </c>
      <c r="C173" s="1" t="s">
        <v>34</v>
      </c>
      <c r="D173" s="1" t="s">
        <v>45</v>
      </c>
      <c r="E173" s="1">
        <v>13</v>
      </c>
      <c r="F173" s="1">
        <v>43163</v>
      </c>
      <c r="G173" s="1">
        <v>12</v>
      </c>
      <c r="H173" s="2">
        <v>46120</v>
      </c>
      <c r="I173" s="2">
        <v>46129</v>
      </c>
      <c r="J173" s="1" t="s">
        <v>24</v>
      </c>
      <c r="K173" s="1">
        <v>1172</v>
      </c>
      <c r="L173" s="1" t="str">
        <f t="shared" si="0"/>
        <v>POOJA</v>
      </c>
      <c r="M173" s="1" t="str">
        <f t="shared" si="1"/>
        <v>monitor</v>
      </c>
      <c r="N173" s="1">
        <f t="shared" si="2"/>
        <v>7</v>
      </c>
    </row>
    <row r="174" spans="1:14" x14ac:dyDescent="0.3">
      <c r="A174" s="1" t="s">
        <v>40</v>
      </c>
      <c r="B174" s="1" t="s">
        <v>17</v>
      </c>
      <c r="C174" s="1" t="s">
        <v>13</v>
      </c>
      <c r="D174" s="1" t="s">
        <v>37</v>
      </c>
      <c r="E174" s="1">
        <v>15</v>
      </c>
      <c r="F174" s="1">
        <v>214</v>
      </c>
      <c r="G174" s="1">
        <v>10</v>
      </c>
      <c r="H174" s="2">
        <v>46050</v>
      </c>
      <c r="I174" s="2">
        <v>46060</v>
      </c>
      <c r="J174" s="1" t="s">
        <v>51</v>
      </c>
      <c r="K174" s="1">
        <v>1173</v>
      </c>
      <c r="L174" s="1" t="str">
        <f t="shared" si="0"/>
        <v>DEEPAK</v>
      </c>
      <c r="M174" s="1" t="str">
        <f t="shared" si="1"/>
        <v>pen pack</v>
      </c>
      <c r="N174" s="1">
        <f t="shared" si="2"/>
        <v>8</v>
      </c>
    </row>
    <row r="175" spans="1:14" x14ac:dyDescent="0.3">
      <c r="A175" s="1" t="s">
        <v>58</v>
      </c>
      <c r="B175" s="1" t="s">
        <v>38</v>
      </c>
      <c r="C175" s="1" t="s">
        <v>13</v>
      </c>
      <c r="D175" s="1" t="s">
        <v>14</v>
      </c>
      <c r="E175" s="1">
        <v>13</v>
      </c>
      <c r="F175" s="1">
        <v>155</v>
      </c>
      <c r="G175" s="1">
        <v>2</v>
      </c>
      <c r="H175" s="2">
        <v>46066</v>
      </c>
      <c r="I175" s="2">
        <v>46069</v>
      </c>
      <c r="J175" s="1" t="s">
        <v>24</v>
      </c>
      <c r="K175" s="1">
        <v>1174</v>
      </c>
      <c r="L175" s="1" t="str">
        <f t="shared" si="0"/>
        <v>ROHAN</v>
      </c>
      <c r="M175" s="1" t="str">
        <f t="shared" si="1"/>
        <v>notebook</v>
      </c>
      <c r="N175" s="1">
        <f t="shared" si="2"/>
        <v>8</v>
      </c>
    </row>
    <row r="176" spans="1:14" x14ac:dyDescent="0.3">
      <c r="A176" s="1" t="s">
        <v>26</v>
      </c>
      <c r="B176" s="1" t="s">
        <v>17</v>
      </c>
      <c r="C176" s="1" t="s">
        <v>34</v>
      </c>
      <c r="D176" s="1" t="s">
        <v>41</v>
      </c>
      <c r="E176" s="1">
        <v>10</v>
      </c>
      <c r="F176" s="1">
        <v>20339</v>
      </c>
      <c r="G176" s="1">
        <v>2</v>
      </c>
      <c r="H176" s="2">
        <v>46088</v>
      </c>
      <c r="I176" s="2">
        <v>46094</v>
      </c>
      <c r="J176" s="1" t="s">
        <v>20</v>
      </c>
      <c r="K176" s="1">
        <v>1175</v>
      </c>
      <c r="L176" s="1" t="str">
        <f t="shared" si="0"/>
        <v>VIKRAM</v>
      </c>
      <c r="M176" s="1" t="str">
        <f t="shared" si="1"/>
        <v>headset</v>
      </c>
      <c r="N176" s="1">
        <f t="shared" si="2"/>
        <v>7</v>
      </c>
    </row>
    <row r="177" spans="1:14" x14ac:dyDescent="0.3">
      <c r="A177" s="1" t="s">
        <v>58</v>
      </c>
      <c r="B177" s="1" t="s">
        <v>38</v>
      </c>
      <c r="C177" s="1" t="s">
        <v>34</v>
      </c>
      <c r="D177" s="1" t="s">
        <v>41</v>
      </c>
      <c r="E177" s="1">
        <v>17</v>
      </c>
      <c r="F177" s="1">
        <v>46937</v>
      </c>
      <c r="G177" s="1">
        <v>12</v>
      </c>
      <c r="H177" s="2">
        <v>46048</v>
      </c>
      <c r="I177" s="2">
        <v>46056</v>
      </c>
      <c r="J177" s="1" t="s">
        <v>29</v>
      </c>
      <c r="K177" s="1">
        <v>1176</v>
      </c>
      <c r="L177" s="1" t="str">
        <f t="shared" si="0"/>
        <v>ROHAN</v>
      </c>
      <c r="M177" s="1" t="str">
        <f t="shared" si="1"/>
        <v>headset</v>
      </c>
      <c r="N177" s="1">
        <f t="shared" si="2"/>
        <v>7</v>
      </c>
    </row>
    <row r="178" spans="1:14" x14ac:dyDescent="0.3">
      <c r="A178" s="1" t="s">
        <v>29</v>
      </c>
      <c r="B178" s="1" t="s">
        <v>22</v>
      </c>
      <c r="C178" s="1" t="s">
        <v>18</v>
      </c>
      <c r="D178" s="1" t="s">
        <v>19</v>
      </c>
      <c r="E178" s="1">
        <v>14</v>
      </c>
      <c r="F178" s="1">
        <v>7501</v>
      </c>
      <c r="G178" s="1">
        <v>7</v>
      </c>
      <c r="H178" s="2">
        <v>46169</v>
      </c>
      <c r="I178" s="2">
        <v>46179</v>
      </c>
      <c r="J178" s="1" t="s">
        <v>20</v>
      </c>
      <c r="K178" s="1">
        <v>1177</v>
      </c>
      <c r="L178" s="1" t="str">
        <f t="shared" si="0"/>
        <v>PRIYA</v>
      </c>
      <c r="M178" s="1" t="str">
        <f t="shared" si="1"/>
        <v>desk</v>
      </c>
      <c r="N178" s="1">
        <f t="shared" si="2"/>
        <v>4</v>
      </c>
    </row>
    <row r="179" spans="1:14" x14ac:dyDescent="0.3">
      <c r="A179" s="1" t="s">
        <v>57</v>
      </c>
      <c r="B179" s="1" t="s">
        <v>17</v>
      </c>
      <c r="C179" s="1" t="s">
        <v>13</v>
      </c>
      <c r="D179" s="1" t="s">
        <v>50</v>
      </c>
      <c r="E179" s="1">
        <v>5</v>
      </c>
      <c r="F179" s="1">
        <v>50</v>
      </c>
      <c r="G179" s="1">
        <v>0</v>
      </c>
      <c r="H179" s="2">
        <v>46111</v>
      </c>
      <c r="I179" s="2">
        <v>46117</v>
      </c>
      <c r="J179" s="1" t="s">
        <v>20</v>
      </c>
      <c r="K179" s="1">
        <v>1178</v>
      </c>
      <c r="L179" s="1" t="str">
        <f t="shared" si="0"/>
        <v>SARA</v>
      </c>
      <c r="M179" s="1" t="str">
        <f t="shared" si="1"/>
        <v>marker</v>
      </c>
      <c r="N179" s="1">
        <f t="shared" si="2"/>
        <v>6</v>
      </c>
    </row>
    <row r="180" spans="1:14" x14ac:dyDescent="0.3">
      <c r="A180" s="1" t="s">
        <v>47</v>
      </c>
      <c r="B180" s="1" t="s">
        <v>17</v>
      </c>
      <c r="C180" s="1" t="s">
        <v>34</v>
      </c>
      <c r="D180" s="1" t="s">
        <v>39</v>
      </c>
      <c r="E180" s="1">
        <v>6</v>
      </c>
      <c r="F180" s="1">
        <v>10400</v>
      </c>
      <c r="G180" s="1">
        <v>2</v>
      </c>
      <c r="H180" s="2">
        <v>46155</v>
      </c>
      <c r="I180" s="2">
        <v>46158</v>
      </c>
      <c r="J180" s="1" t="s">
        <v>15</v>
      </c>
      <c r="K180" s="1">
        <v>1179</v>
      </c>
      <c r="L180" s="1" t="str">
        <f t="shared" si="0"/>
        <v>YASH</v>
      </c>
      <c r="M180" s="1" t="str">
        <f t="shared" si="1"/>
        <v>keyboard</v>
      </c>
      <c r="N180" s="1">
        <f t="shared" si="2"/>
        <v>8</v>
      </c>
    </row>
    <row r="181" spans="1:14" x14ac:dyDescent="0.3">
      <c r="A181" s="1" t="s">
        <v>40</v>
      </c>
      <c r="B181" s="1" t="s">
        <v>31</v>
      </c>
      <c r="C181" s="1" t="s">
        <v>18</v>
      </c>
      <c r="D181" s="1" t="s">
        <v>28</v>
      </c>
      <c r="E181" s="1">
        <v>2</v>
      </c>
      <c r="F181" s="1">
        <v>2076</v>
      </c>
      <c r="G181" s="1">
        <v>2</v>
      </c>
      <c r="H181" s="2">
        <v>46111</v>
      </c>
      <c r="I181" s="2">
        <v>46121</v>
      </c>
      <c r="J181" s="1" t="s">
        <v>29</v>
      </c>
      <c r="K181" s="1">
        <v>1180</v>
      </c>
      <c r="L181" s="1" t="str">
        <f t="shared" si="0"/>
        <v>DEEPAK</v>
      </c>
      <c r="M181" s="1" t="str">
        <f t="shared" si="1"/>
        <v>chair</v>
      </c>
      <c r="N181" s="1">
        <f t="shared" si="2"/>
        <v>5</v>
      </c>
    </row>
    <row r="182" spans="1:14" x14ac:dyDescent="0.3">
      <c r="A182" s="1" t="s">
        <v>58</v>
      </c>
      <c r="B182" s="1" t="s">
        <v>33</v>
      </c>
      <c r="C182" s="1" t="s">
        <v>13</v>
      </c>
      <c r="D182" s="1" t="s">
        <v>36</v>
      </c>
      <c r="E182" s="1">
        <v>4</v>
      </c>
      <c r="F182" s="1">
        <v>357</v>
      </c>
      <c r="G182" s="1">
        <v>2</v>
      </c>
      <c r="H182" s="2">
        <v>46033</v>
      </c>
      <c r="I182" s="2">
        <v>46035</v>
      </c>
      <c r="J182" s="1" t="s">
        <v>15</v>
      </c>
      <c r="K182" s="1">
        <v>1181</v>
      </c>
      <c r="L182" s="1" t="str">
        <f t="shared" si="0"/>
        <v>ROHAN</v>
      </c>
      <c r="M182" s="1" t="str">
        <f t="shared" si="1"/>
        <v>stapler</v>
      </c>
      <c r="N182" s="1">
        <f t="shared" si="2"/>
        <v>7</v>
      </c>
    </row>
    <row r="183" spans="1:14" x14ac:dyDescent="0.3">
      <c r="A183" s="1" t="s">
        <v>42</v>
      </c>
      <c r="B183" s="1" t="s">
        <v>12</v>
      </c>
      <c r="C183" s="1" t="s">
        <v>34</v>
      </c>
      <c r="D183" s="1" t="s">
        <v>39</v>
      </c>
      <c r="E183" s="1">
        <v>8</v>
      </c>
      <c r="F183" s="1">
        <v>66022</v>
      </c>
      <c r="G183" s="1">
        <v>12</v>
      </c>
      <c r="H183" s="2">
        <v>46108</v>
      </c>
      <c r="I183" s="2">
        <v>46114</v>
      </c>
      <c r="J183" s="1" t="s">
        <v>24</v>
      </c>
      <c r="K183" s="1">
        <v>1182</v>
      </c>
      <c r="L183" s="1" t="str">
        <f t="shared" si="0"/>
        <v>NISHA</v>
      </c>
      <c r="M183" s="1" t="str">
        <f t="shared" si="1"/>
        <v>keyboard</v>
      </c>
      <c r="N183" s="1">
        <f t="shared" si="2"/>
        <v>8</v>
      </c>
    </row>
    <row r="184" spans="1:14" x14ac:dyDescent="0.3">
      <c r="A184" s="1" t="s">
        <v>52</v>
      </c>
      <c r="B184" s="1" t="s">
        <v>43</v>
      </c>
      <c r="C184" s="1" t="s">
        <v>13</v>
      </c>
      <c r="D184" s="1" t="s">
        <v>14</v>
      </c>
      <c r="E184" s="1">
        <v>2</v>
      </c>
      <c r="F184" s="1">
        <v>309</v>
      </c>
      <c r="G184" s="1">
        <v>2</v>
      </c>
      <c r="H184" s="2">
        <v>46109</v>
      </c>
      <c r="I184" s="2">
        <v>46111</v>
      </c>
      <c r="J184" s="1" t="s">
        <v>20</v>
      </c>
      <c r="K184" s="1">
        <v>1183</v>
      </c>
      <c r="L184" s="1" t="str">
        <f t="shared" si="0"/>
        <v>KOMAL</v>
      </c>
      <c r="M184" s="1" t="str">
        <f t="shared" si="1"/>
        <v>notebook</v>
      </c>
      <c r="N184" s="1">
        <f t="shared" si="2"/>
        <v>8</v>
      </c>
    </row>
    <row r="185" spans="1:14" x14ac:dyDescent="0.3">
      <c r="A185" s="1" t="s">
        <v>40</v>
      </c>
      <c r="B185" s="1" t="s">
        <v>31</v>
      </c>
      <c r="C185" s="1" t="s">
        <v>34</v>
      </c>
      <c r="D185" s="1" t="s">
        <v>39</v>
      </c>
      <c r="E185" s="1">
        <v>12</v>
      </c>
      <c r="F185" s="1">
        <v>50517</v>
      </c>
      <c r="G185" s="1">
        <v>15</v>
      </c>
      <c r="H185" s="2">
        <v>46145</v>
      </c>
      <c r="I185" s="2">
        <v>46153</v>
      </c>
      <c r="J185" s="1" t="s">
        <v>29</v>
      </c>
      <c r="K185" s="1">
        <v>1184</v>
      </c>
      <c r="L185" s="1" t="str">
        <f t="shared" si="0"/>
        <v>DEEPAK</v>
      </c>
      <c r="M185" s="1" t="str">
        <f t="shared" si="1"/>
        <v>keyboard</v>
      </c>
      <c r="N185" s="1">
        <f t="shared" si="2"/>
        <v>8</v>
      </c>
    </row>
    <row r="186" spans="1:14" x14ac:dyDescent="0.3">
      <c r="A186" s="1" t="s">
        <v>58</v>
      </c>
      <c r="B186" s="1" t="s">
        <v>22</v>
      </c>
      <c r="C186" s="1" t="s">
        <v>34</v>
      </c>
      <c r="D186" s="1" t="s">
        <v>60</v>
      </c>
      <c r="E186" s="1">
        <v>16</v>
      </c>
      <c r="F186" s="1">
        <v>15536</v>
      </c>
      <c r="G186" s="1">
        <v>2</v>
      </c>
      <c r="H186" s="2">
        <v>46153</v>
      </c>
      <c r="I186" s="2">
        <v>46156</v>
      </c>
      <c r="J186" s="1" t="s">
        <v>15</v>
      </c>
      <c r="K186" s="1">
        <v>1185</v>
      </c>
      <c r="L186" s="1" t="str">
        <f t="shared" si="0"/>
        <v>ROHAN</v>
      </c>
      <c r="M186" s="1" t="str">
        <f t="shared" si="1"/>
        <v>laptop</v>
      </c>
      <c r="N186" s="1">
        <f t="shared" si="2"/>
        <v>6</v>
      </c>
    </row>
    <row r="187" spans="1:14" x14ac:dyDescent="0.3">
      <c r="A187" s="1" t="s">
        <v>16</v>
      </c>
      <c r="B187" s="1" t="s">
        <v>25</v>
      </c>
      <c r="C187" s="1" t="s">
        <v>18</v>
      </c>
      <c r="D187" s="1" t="s">
        <v>44</v>
      </c>
      <c r="E187" s="1">
        <v>10</v>
      </c>
      <c r="F187" s="1">
        <v>14951</v>
      </c>
      <c r="G187" s="1">
        <v>2</v>
      </c>
      <c r="H187" s="2">
        <v>46188</v>
      </c>
      <c r="I187" s="2">
        <v>46196</v>
      </c>
      <c r="J187" s="1" t="s">
        <v>24</v>
      </c>
      <c r="K187" s="1">
        <v>1186</v>
      </c>
      <c r="L187" s="1" t="str">
        <f t="shared" si="0"/>
        <v>POOJA</v>
      </c>
      <c r="M187" s="1" t="str">
        <f t="shared" si="1"/>
        <v>bookshelf</v>
      </c>
      <c r="N187" s="1">
        <f t="shared" si="2"/>
        <v>9</v>
      </c>
    </row>
    <row r="188" spans="1:14" x14ac:dyDescent="0.3">
      <c r="A188" s="1" t="s">
        <v>54</v>
      </c>
      <c r="B188" s="1" t="s">
        <v>22</v>
      </c>
      <c r="C188" s="1" t="s">
        <v>34</v>
      </c>
      <c r="D188" s="1" t="s">
        <v>45</v>
      </c>
      <c r="E188" s="1">
        <v>18</v>
      </c>
      <c r="F188" s="1">
        <v>68527</v>
      </c>
      <c r="G188" s="1">
        <v>12</v>
      </c>
      <c r="H188" s="2">
        <v>46178</v>
      </c>
      <c r="I188" s="2">
        <v>46184</v>
      </c>
      <c r="J188" s="1" t="s">
        <v>51</v>
      </c>
      <c r="K188" s="1">
        <v>1187</v>
      </c>
      <c r="L188" s="1" t="str">
        <f t="shared" si="0"/>
        <v>MANOJ</v>
      </c>
      <c r="M188" s="1" t="str">
        <f t="shared" si="1"/>
        <v>monitor</v>
      </c>
      <c r="N188" s="1">
        <f t="shared" si="2"/>
        <v>7</v>
      </c>
    </row>
    <row r="189" spans="1:14" x14ac:dyDescent="0.3">
      <c r="A189" s="1" t="s">
        <v>29</v>
      </c>
      <c r="B189" s="1" t="s">
        <v>22</v>
      </c>
      <c r="C189" s="1" t="s">
        <v>18</v>
      </c>
      <c r="D189" s="1" t="s">
        <v>56</v>
      </c>
      <c r="E189" s="1">
        <v>6</v>
      </c>
      <c r="F189" s="1">
        <v>10368</v>
      </c>
      <c r="G189" s="1">
        <v>7</v>
      </c>
      <c r="H189" s="2">
        <v>46137</v>
      </c>
      <c r="I189" s="2">
        <v>46142</v>
      </c>
      <c r="J189" s="1" t="s">
        <v>15</v>
      </c>
      <c r="K189" s="1">
        <v>1188</v>
      </c>
      <c r="L189" s="1" t="str">
        <f t="shared" si="0"/>
        <v>PRIYA</v>
      </c>
      <c r="M189" s="1" t="str">
        <f t="shared" si="1"/>
        <v>cabinet</v>
      </c>
      <c r="N189" s="1">
        <f t="shared" si="2"/>
        <v>7</v>
      </c>
    </row>
    <row r="190" spans="1:14" x14ac:dyDescent="0.3">
      <c r="A190" s="1" t="s">
        <v>49</v>
      </c>
      <c r="B190" s="1" t="s">
        <v>31</v>
      </c>
      <c r="C190" s="1" t="s">
        <v>18</v>
      </c>
      <c r="D190" s="1" t="s">
        <v>56</v>
      </c>
      <c r="E190" s="1">
        <v>12</v>
      </c>
      <c r="F190" s="1">
        <v>8327</v>
      </c>
      <c r="G190" s="1">
        <v>10</v>
      </c>
      <c r="H190" s="2">
        <v>46184</v>
      </c>
      <c r="I190" s="2">
        <v>46185</v>
      </c>
      <c r="J190" s="1" t="s">
        <v>29</v>
      </c>
      <c r="K190" s="1">
        <v>1189</v>
      </c>
      <c r="L190" s="1" t="str">
        <f t="shared" si="0"/>
        <v>AJAY</v>
      </c>
      <c r="M190" s="1" t="str">
        <f t="shared" si="1"/>
        <v>cabinet</v>
      </c>
      <c r="N190" s="1">
        <f t="shared" si="2"/>
        <v>7</v>
      </c>
    </row>
    <row r="191" spans="1:14" x14ac:dyDescent="0.3">
      <c r="A191" s="1" t="s">
        <v>57</v>
      </c>
      <c r="B191" s="1" t="s">
        <v>17</v>
      </c>
      <c r="C191" s="1" t="s">
        <v>18</v>
      </c>
      <c r="D191" s="1" t="s">
        <v>28</v>
      </c>
      <c r="E191" s="1">
        <v>4</v>
      </c>
      <c r="F191" s="1">
        <v>10154</v>
      </c>
      <c r="G191" s="1">
        <v>7</v>
      </c>
      <c r="H191" s="2">
        <v>46052</v>
      </c>
      <c r="I191" s="2">
        <v>46062</v>
      </c>
      <c r="J191" s="1" t="s">
        <v>20</v>
      </c>
      <c r="K191" s="1">
        <v>1190</v>
      </c>
      <c r="L191" s="1" t="str">
        <f t="shared" si="0"/>
        <v>SARA</v>
      </c>
      <c r="M191" s="1" t="str">
        <f t="shared" si="1"/>
        <v>chair</v>
      </c>
      <c r="N191" s="1">
        <f t="shared" si="2"/>
        <v>5</v>
      </c>
    </row>
    <row r="192" spans="1:14" x14ac:dyDescent="0.3">
      <c r="A192" s="1" t="s">
        <v>52</v>
      </c>
      <c r="B192" s="1" t="s">
        <v>33</v>
      </c>
      <c r="C192" s="1" t="s">
        <v>18</v>
      </c>
      <c r="D192" s="1" t="s">
        <v>56</v>
      </c>
      <c r="E192" s="1">
        <v>9</v>
      </c>
      <c r="F192" s="1">
        <v>8631</v>
      </c>
      <c r="G192" s="1">
        <v>10</v>
      </c>
      <c r="H192" s="2">
        <v>46149</v>
      </c>
      <c r="I192" s="2">
        <v>46156</v>
      </c>
      <c r="J192" s="1" t="s">
        <v>20</v>
      </c>
      <c r="K192" s="1">
        <v>1191</v>
      </c>
      <c r="L192" s="1" t="str">
        <f t="shared" si="0"/>
        <v>KOMAL</v>
      </c>
      <c r="M192" s="1" t="str">
        <f t="shared" si="1"/>
        <v>cabinet</v>
      </c>
      <c r="N192" s="1">
        <f t="shared" si="2"/>
        <v>7</v>
      </c>
    </row>
    <row r="193" spans="1:14" x14ac:dyDescent="0.3">
      <c r="A193" s="1" t="s">
        <v>21</v>
      </c>
      <c r="B193" s="1" t="s">
        <v>33</v>
      </c>
      <c r="C193" s="1" t="s">
        <v>13</v>
      </c>
      <c r="D193" s="1" t="s">
        <v>53</v>
      </c>
      <c r="E193" s="1">
        <v>18</v>
      </c>
      <c r="F193" s="1">
        <v>49</v>
      </c>
      <c r="G193" s="1">
        <v>12</v>
      </c>
      <c r="H193" s="2">
        <v>46089</v>
      </c>
      <c r="I193" s="2">
        <v>46095</v>
      </c>
      <c r="J193" s="1" t="s">
        <v>24</v>
      </c>
      <c r="K193" s="1">
        <v>1192</v>
      </c>
      <c r="L193" s="1" t="str">
        <f t="shared" si="0"/>
        <v>MEERA</v>
      </c>
      <c r="M193" s="1" t="str">
        <f t="shared" si="1"/>
        <v>diary</v>
      </c>
      <c r="N193" s="1">
        <f t="shared" si="2"/>
        <v>5</v>
      </c>
    </row>
    <row r="194" spans="1:14" x14ac:dyDescent="0.3">
      <c r="A194" s="1" t="s">
        <v>57</v>
      </c>
      <c r="B194" s="1" t="s">
        <v>12</v>
      </c>
      <c r="C194" s="1" t="s">
        <v>18</v>
      </c>
      <c r="D194" s="1" t="s">
        <v>23</v>
      </c>
      <c r="E194" s="1">
        <v>19</v>
      </c>
      <c r="F194" s="1">
        <v>2699</v>
      </c>
      <c r="G194" s="1">
        <v>7</v>
      </c>
      <c r="H194" s="2">
        <v>46110</v>
      </c>
      <c r="I194" s="2">
        <v>46112</v>
      </c>
      <c r="J194" s="1" t="s">
        <v>29</v>
      </c>
      <c r="K194" s="1">
        <v>1193</v>
      </c>
      <c r="L194" s="1" t="str">
        <f t="shared" si="0"/>
        <v>SARA</v>
      </c>
      <c r="M194" s="1" t="str">
        <f t="shared" si="1"/>
        <v>table</v>
      </c>
      <c r="N194" s="1">
        <f t="shared" si="2"/>
        <v>5</v>
      </c>
    </row>
    <row r="195" spans="1:14" x14ac:dyDescent="0.3">
      <c r="A195" s="1" t="s">
        <v>57</v>
      </c>
      <c r="B195" s="1" t="s">
        <v>43</v>
      </c>
      <c r="C195" s="1" t="s">
        <v>18</v>
      </c>
      <c r="D195" s="1" t="s">
        <v>28</v>
      </c>
      <c r="E195" s="1">
        <v>13</v>
      </c>
      <c r="F195" s="1">
        <v>12856</v>
      </c>
      <c r="G195" s="1">
        <v>15</v>
      </c>
      <c r="H195" s="2">
        <v>46129</v>
      </c>
      <c r="I195" s="2">
        <v>46133</v>
      </c>
      <c r="J195" s="1" t="s">
        <v>51</v>
      </c>
      <c r="K195" s="1">
        <v>1194</v>
      </c>
      <c r="L195" s="1" t="str">
        <f t="shared" si="0"/>
        <v>SARA</v>
      </c>
      <c r="M195" s="1" t="str">
        <f t="shared" si="1"/>
        <v>chair</v>
      </c>
      <c r="N195" s="1">
        <f t="shared" si="2"/>
        <v>5</v>
      </c>
    </row>
    <row r="196" spans="1:14" x14ac:dyDescent="0.3">
      <c r="A196" s="1" t="s">
        <v>59</v>
      </c>
      <c r="B196" s="1" t="s">
        <v>17</v>
      </c>
      <c r="C196" s="1" t="s">
        <v>13</v>
      </c>
      <c r="D196" s="1" t="s">
        <v>50</v>
      </c>
      <c r="E196" s="1">
        <v>19</v>
      </c>
      <c r="F196" s="1">
        <v>313</v>
      </c>
      <c r="G196" s="1">
        <v>2</v>
      </c>
      <c r="H196" s="2">
        <v>46198</v>
      </c>
      <c r="I196" s="2">
        <v>46206</v>
      </c>
      <c r="J196" s="1" t="s">
        <v>51</v>
      </c>
      <c r="K196" s="1">
        <v>1195</v>
      </c>
      <c r="L196" s="1" t="str">
        <f t="shared" si="0"/>
        <v>ANITA</v>
      </c>
      <c r="M196" s="1" t="str">
        <f t="shared" si="1"/>
        <v>marker</v>
      </c>
      <c r="N196" s="1">
        <f t="shared" si="2"/>
        <v>6</v>
      </c>
    </row>
    <row r="197" spans="1:14" x14ac:dyDescent="0.3">
      <c r="A197" s="1" t="s">
        <v>48</v>
      </c>
      <c r="B197" s="1" t="s">
        <v>22</v>
      </c>
      <c r="C197" s="1" t="s">
        <v>34</v>
      </c>
      <c r="D197" s="1" t="s">
        <v>35</v>
      </c>
      <c r="E197" s="1">
        <v>20</v>
      </c>
      <c r="F197" s="1">
        <v>3172</v>
      </c>
      <c r="G197" s="1">
        <v>5</v>
      </c>
      <c r="H197" s="2">
        <v>46155</v>
      </c>
      <c r="I197" s="2">
        <v>46159</v>
      </c>
      <c r="J197" s="1" t="s">
        <v>20</v>
      </c>
      <c r="K197" s="1">
        <v>1196</v>
      </c>
      <c r="L197" s="1" t="str">
        <f t="shared" si="0"/>
        <v>NITIN</v>
      </c>
      <c r="M197" s="1" t="str">
        <f t="shared" si="1"/>
        <v>printer</v>
      </c>
      <c r="N197" s="1">
        <f t="shared" si="2"/>
        <v>7</v>
      </c>
    </row>
    <row r="198" spans="1:14" x14ac:dyDescent="0.3">
      <c r="A198" s="1" t="s">
        <v>52</v>
      </c>
      <c r="B198" s="1" t="s">
        <v>31</v>
      </c>
      <c r="C198" s="1" t="s">
        <v>34</v>
      </c>
      <c r="D198" s="1" t="s">
        <v>35</v>
      </c>
      <c r="E198" s="1">
        <v>5</v>
      </c>
      <c r="F198" s="1">
        <v>45352</v>
      </c>
      <c r="G198" s="1">
        <v>12</v>
      </c>
      <c r="H198" s="2">
        <v>46045</v>
      </c>
      <c r="I198" s="2">
        <v>46048</v>
      </c>
      <c r="J198" s="1" t="s">
        <v>15</v>
      </c>
      <c r="K198" s="1">
        <v>1197</v>
      </c>
      <c r="L198" s="1" t="str">
        <f t="shared" si="0"/>
        <v>KOMAL</v>
      </c>
      <c r="M198" s="1" t="str">
        <f t="shared" si="1"/>
        <v>printer</v>
      </c>
      <c r="N198" s="1">
        <f t="shared" si="2"/>
        <v>7</v>
      </c>
    </row>
    <row r="199" spans="1:14" x14ac:dyDescent="0.3">
      <c r="A199" s="1" t="s">
        <v>58</v>
      </c>
      <c r="B199" s="1" t="s">
        <v>12</v>
      </c>
      <c r="C199" s="1" t="s">
        <v>13</v>
      </c>
      <c r="D199" s="1" t="s">
        <v>14</v>
      </c>
      <c r="E199" s="1">
        <v>12</v>
      </c>
      <c r="F199" s="1">
        <v>491</v>
      </c>
      <c r="G199" s="1">
        <v>2</v>
      </c>
      <c r="H199" s="2">
        <v>46106</v>
      </c>
      <c r="I199" s="2">
        <v>46109</v>
      </c>
      <c r="J199" s="1" t="s">
        <v>51</v>
      </c>
      <c r="K199" s="1">
        <v>1198</v>
      </c>
      <c r="L199" s="1" t="str">
        <f t="shared" si="0"/>
        <v>ROHAN</v>
      </c>
      <c r="M199" s="1" t="str">
        <f t="shared" si="1"/>
        <v>notebook</v>
      </c>
      <c r="N199" s="1">
        <f t="shared" si="2"/>
        <v>8</v>
      </c>
    </row>
    <row r="200" spans="1:14" x14ac:dyDescent="0.3">
      <c r="A200" s="1" t="s">
        <v>11</v>
      </c>
      <c r="B200" s="1" t="s">
        <v>25</v>
      </c>
      <c r="C200" s="1" t="s">
        <v>34</v>
      </c>
      <c r="D200" s="1" t="s">
        <v>45</v>
      </c>
      <c r="E200" s="1">
        <v>2</v>
      </c>
      <c r="F200" s="1">
        <v>4375</v>
      </c>
      <c r="G200" s="1">
        <v>7</v>
      </c>
      <c r="H200" s="2">
        <v>46178</v>
      </c>
      <c r="I200" s="2">
        <v>46180</v>
      </c>
      <c r="J200" s="1" t="s">
        <v>24</v>
      </c>
      <c r="K200" s="1">
        <v>1199</v>
      </c>
      <c r="L200" s="1" t="str">
        <f t="shared" si="0"/>
        <v>RITESH</v>
      </c>
      <c r="M200" s="1" t="str">
        <f t="shared" si="1"/>
        <v>monitor</v>
      </c>
      <c r="N200" s="1">
        <f t="shared" si="2"/>
        <v>7</v>
      </c>
    </row>
    <row r="201" spans="1:14" x14ac:dyDescent="0.3">
      <c r="A201" s="1" t="s">
        <v>29</v>
      </c>
      <c r="B201" s="1" t="s">
        <v>31</v>
      </c>
      <c r="C201" s="1" t="s">
        <v>34</v>
      </c>
      <c r="D201" s="1" t="s">
        <v>45</v>
      </c>
      <c r="E201" s="1">
        <v>13</v>
      </c>
      <c r="F201" s="1">
        <v>69422</v>
      </c>
      <c r="G201" s="1">
        <v>0</v>
      </c>
      <c r="H201" s="2">
        <v>46134</v>
      </c>
      <c r="I201" s="2">
        <v>46143</v>
      </c>
      <c r="J201" s="1" t="s">
        <v>29</v>
      </c>
      <c r="K201" s="1">
        <v>1200</v>
      </c>
      <c r="L201" s="1" t="str">
        <f t="shared" si="0"/>
        <v>PRIYA</v>
      </c>
      <c r="M201" s="1" t="str">
        <f t="shared" si="1"/>
        <v>monitor</v>
      </c>
      <c r="N201" s="1">
        <f t="shared" si="2"/>
        <v>7</v>
      </c>
    </row>
    <row r="202" spans="1:14" x14ac:dyDescent="0.3">
      <c r="A202" s="1" t="s">
        <v>54</v>
      </c>
      <c r="B202" s="1" t="s">
        <v>31</v>
      </c>
      <c r="C202" s="1" t="s">
        <v>13</v>
      </c>
      <c r="D202" s="1" t="s">
        <v>53</v>
      </c>
      <c r="E202" s="1">
        <v>18</v>
      </c>
      <c r="F202" s="1">
        <v>139</v>
      </c>
      <c r="G202" s="1">
        <v>12</v>
      </c>
      <c r="H202" s="2">
        <v>46075</v>
      </c>
      <c r="I202" s="2">
        <v>46076</v>
      </c>
      <c r="J202" s="1" t="s">
        <v>20</v>
      </c>
      <c r="K202" s="1">
        <v>1201</v>
      </c>
      <c r="L202" s="1" t="str">
        <f t="shared" si="0"/>
        <v>MANOJ</v>
      </c>
      <c r="M202" s="1" t="str">
        <f t="shared" si="1"/>
        <v>diary</v>
      </c>
      <c r="N202" s="1">
        <f t="shared" si="2"/>
        <v>5</v>
      </c>
    </row>
    <row r="203" spans="1:14" x14ac:dyDescent="0.3">
      <c r="A203" s="1" t="s">
        <v>57</v>
      </c>
      <c r="B203" s="1" t="s">
        <v>22</v>
      </c>
      <c r="C203" s="1" t="s">
        <v>34</v>
      </c>
      <c r="D203" s="1" t="s">
        <v>35</v>
      </c>
      <c r="E203" s="1">
        <v>2</v>
      </c>
      <c r="F203" s="1">
        <v>20312</v>
      </c>
      <c r="G203" s="1">
        <v>12</v>
      </c>
      <c r="H203" s="2">
        <v>46082</v>
      </c>
      <c r="I203" s="2">
        <v>46091</v>
      </c>
      <c r="J203" s="1" t="s">
        <v>15</v>
      </c>
      <c r="K203" s="1">
        <v>1202</v>
      </c>
      <c r="L203" s="1" t="str">
        <f t="shared" si="0"/>
        <v>SARA</v>
      </c>
      <c r="M203" s="1" t="str">
        <f t="shared" si="1"/>
        <v>printer</v>
      </c>
      <c r="N203" s="1">
        <f t="shared" si="2"/>
        <v>7</v>
      </c>
    </row>
    <row r="204" spans="1:14" x14ac:dyDescent="0.3">
      <c r="A204" s="1" t="s">
        <v>40</v>
      </c>
      <c r="B204" s="1" t="s">
        <v>22</v>
      </c>
      <c r="C204" s="1" t="s">
        <v>18</v>
      </c>
      <c r="D204" s="1" t="s">
        <v>23</v>
      </c>
      <c r="E204" s="1">
        <v>17</v>
      </c>
      <c r="F204" s="1">
        <v>6695</v>
      </c>
      <c r="G204" s="1">
        <v>2</v>
      </c>
      <c r="H204" s="2">
        <v>46119</v>
      </c>
      <c r="I204" s="2">
        <v>46122</v>
      </c>
      <c r="J204" s="1" t="s">
        <v>51</v>
      </c>
      <c r="K204" s="1">
        <v>1203</v>
      </c>
      <c r="L204" s="1" t="str">
        <f t="shared" si="0"/>
        <v>DEEPAK</v>
      </c>
      <c r="M204" s="1" t="str">
        <f t="shared" si="1"/>
        <v>table</v>
      </c>
      <c r="N204" s="1">
        <f t="shared" si="2"/>
        <v>5</v>
      </c>
    </row>
    <row r="205" spans="1:14" x14ac:dyDescent="0.3">
      <c r="A205" s="1" t="s">
        <v>16</v>
      </c>
      <c r="B205" s="1" t="s">
        <v>31</v>
      </c>
      <c r="C205" s="1" t="s">
        <v>13</v>
      </c>
      <c r="D205" s="1" t="s">
        <v>37</v>
      </c>
      <c r="E205" s="1">
        <v>13</v>
      </c>
      <c r="F205" s="1">
        <v>416</v>
      </c>
      <c r="G205" s="1">
        <v>10</v>
      </c>
      <c r="H205" s="2">
        <v>46123</v>
      </c>
      <c r="I205" s="2">
        <v>46132</v>
      </c>
      <c r="J205" s="1" t="s">
        <v>20</v>
      </c>
      <c r="K205" s="1">
        <v>1204</v>
      </c>
      <c r="L205" s="1" t="str">
        <f t="shared" si="0"/>
        <v>POOJA</v>
      </c>
      <c r="M205" s="1" t="str">
        <f t="shared" si="1"/>
        <v>pen pack</v>
      </c>
      <c r="N205" s="1">
        <f t="shared" si="2"/>
        <v>8</v>
      </c>
    </row>
    <row r="206" spans="1:14" x14ac:dyDescent="0.3">
      <c r="A206" s="1" t="s">
        <v>21</v>
      </c>
      <c r="B206" s="1" t="s">
        <v>38</v>
      </c>
      <c r="C206" s="1" t="s">
        <v>13</v>
      </c>
      <c r="D206" s="1" t="s">
        <v>36</v>
      </c>
      <c r="E206" s="1">
        <v>1</v>
      </c>
      <c r="F206" s="1">
        <v>112</v>
      </c>
      <c r="G206" s="1">
        <v>7</v>
      </c>
      <c r="H206" s="2">
        <v>46033</v>
      </c>
      <c r="I206" s="2">
        <v>46040</v>
      </c>
      <c r="J206" s="1" t="s">
        <v>51</v>
      </c>
      <c r="K206" s="1">
        <v>1205</v>
      </c>
      <c r="L206" s="1" t="str">
        <f t="shared" si="0"/>
        <v>MEERA</v>
      </c>
      <c r="M206" s="1" t="str">
        <f t="shared" si="1"/>
        <v>stapler</v>
      </c>
      <c r="N206" s="1">
        <f t="shared" si="2"/>
        <v>7</v>
      </c>
    </row>
    <row r="207" spans="1:14" x14ac:dyDescent="0.3">
      <c r="A207" s="1" t="s">
        <v>55</v>
      </c>
      <c r="B207" s="1" t="s">
        <v>33</v>
      </c>
      <c r="C207" s="1" t="s">
        <v>13</v>
      </c>
      <c r="D207" s="1" t="s">
        <v>14</v>
      </c>
      <c r="E207" s="1">
        <v>9</v>
      </c>
      <c r="F207" s="1">
        <v>60</v>
      </c>
      <c r="G207" s="1">
        <v>0</v>
      </c>
      <c r="H207" s="2">
        <v>46166</v>
      </c>
      <c r="I207" s="2">
        <v>46174</v>
      </c>
      <c r="J207" s="1" t="s">
        <v>15</v>
      </c>
      <c r="K207" s="1">
        <v>1206</v>
      </c>
      <c r="L207" s="1" t="str">
        <f t="shared" si="0"/>
        <v>SNEHA</v>
      </c>
      <c r="M207" s="1" t="str">
        <f t="shared" si="1"/>
        <v>notebook</v>
      </c>
      <c r="N207" s="1">
        <f t="shared" si="2"/>
        <v>8</v>
      </c>
    </row>
    <row r="208" spans="1:14" x14ac:dyDescent="0.3">
      <c r="A208" s="1" t="s">
        <v>55</v>
      </c>
      <c r="B208" s="1" t="s">
        <v>25</v>
      </c>
      <c r="C208" s="1" t="s">
        <v>13</v>
      </c>
      <c r="D208" s="1" t="s">
        <v>53</v>
      </c>
      <c r="E208" s="1">
        <v>7</v>
      </c>
      <c r="F208" s="1">
        <v>244</v>
      </c>
      <c r="G208" s="1">
        <v>2</v>
      </c>
      <c r="H208" s="2">
        <v>46164</v>
      </c>
      <c r="I208" s="2">
        <v>46173</v>
      </c>
      <c r="J208" s="1" t="s">
        <v>24</v>
      </c>
      <c r="K208" s="1">
        <v>1207</v>
      </c>
      <c r="L208" s="1" t="str">
        <f t="shared" si="0"/>
        <v>SNEHA</v>
      </c>
      <c r="M208" s="1" t="str">
        <f t="shared" si="1"/>
        <v>diary</v>
      </c>
      <c r="N208" s="1">
        <f t="shared" si="2"/>
        <v>5</v>
      </c>
    </row>
    <row r="209" spans="1:14" x14ac:dyDescent="0.3">
      <c r="A209" s="1" t="s">
        <v>54</v>
      </c>
      <c r="B209" s="1" t="s">
        <v>43</v>
      </c>
      <c r="C209" s="1" t="s">
        <v>18</v>
      </c>
      <c r="D209" s="1" t="s">
        <v>44</v>
      </c>
      <c r="E209" s="1">
        <v>6</v>
      </c>
      <c r="F209" s="1">
        <v>7627</v>
      </c>
      <c r="G209" s="1">
        <v>10</v>
      </c>
      <c r="H209" s="2">
        <v>46042</v>
      </c>
      <c r="I209" s="2">
        <v>46047</v>
      </c>
      <c r="J209" s="1" t="s">
        <v>20</v>
      </c>
      <c r="K209" s="1">
        <v>1208</v>
      </c>
      <c r="L209" s="1" t="str">
        <f t="shared" si="0"/>
        <v>MANOJ</v>
      </c>
      <c r="M209" s="1" t="str">
        <f t="shared" si="1"/>
        <v>bookshelf</v>
      </c>
      <c r="N209" s="1">
        <f t="shared" si="2"/>
        <v>9</v>
      </c>
    </row>
    <row r="210" spans="1:14" x14ac:dyDescent="0.3">
      <c r="A210" s="1" t="s">
        <v>48</v>
      </c>
      <c r="B210" s="1" t="s">
        <v>38</v>
      </c>
      <c r="C210" s="1" t="s">
        <v>34</v>
      </c>
      <c r="D210" s="1" t="s">
        <v>35</v>
      </c>
      <c r="E210" s="1">
        <v>19</v>
      </c>
      <c r="F210" s="1">
        <v>20284</v>
      </c>
      <c r="G210" s="1">
        <v>10</v>
      </c>
      <c r="H210" s="2">
        <v>46103</v>
      </c>
      <c r="I210" s="2">
        <v>46110</v>
      </c>
      <c r="J210" s="1" t="s">
        <v>20</v>
      </c>
      <c r="K210" s="1">
        <v>1209</v>
      </c>
      <c r="L210" s="1" t="str">
        <f t="shared" si="0"/>
        <v>NITIN</v>
      </c>
      <c r="M210" s="1" t="str">
        <f t="shared" si="1"/>
        <v>printer</v>
      </c>
      <c r="N210" s="1">
        <f t="shared" si="2"/>
        <v>7</v>
      </c>
    </row>
    <row r="211" spans="1:14" x14ac:dyDescent="0.3">
      <c r="A211" s="1" t="s">
        <v>30</v>
      </c>
      <c r="B211" s="1" t="s">
        <v>31</v>
      </c>
      <c r="C211" s="1" t="s">
        <v>13</v>
      </c>
      <c r="D211" s="1" t="s">
        <v>53</v>
      </c>
      <c r="E211" s="1">
        <v>10</v>
      </c>
      <c r="F211" s="1">
        <v>349</v>
      </c>
      <c r="G211" s="1">
        <v>0</v>
      </c>
      <c r="H211" s="2">
        <v>46052</v>
      </c>
      <c r="I211" s="2">
        <v>46060</v>
      </c>
      <c r="J211" s="1" t="s">
        <v>29</v>
      </c>
      <c r="K211" s="1">
        <v>1210</v>
      </c>
      <c r="L211" s="1" t="str">
        <f t="shared" si="0"/>
        <v>NEHA</v>
      </c>
      <c r="M211" s="1" t="str">
        <f t="shared" si="1"/>
        <v>diary</v>
      </c>
      <c r="N211" s="1">
        <f t="shared" si="2"/>
        <v>5</v>
      </c>
    </row>
    <row r="212" spans="1:14" x14ac:dyDescent="0.3">
      <c r="A212" s="1" t="s">
        <v>48</v>
      </c>
      <c r="B212" s="1" t="s">
        <v>17</v>
      </c>
      <c r="C212" s="1" t="s">
        <v>34</v>
      </c>
      <c r="D212" s="1" t="s">
        <v>35</v>
      </c>
      <c r="E212" s="1">
        <v>3</v>
      </c>
      <c r="F212" s="1">
        <v>5962</v>
      </c>
      <c r="G212" s="1">
        <v>7</v>
      </c>
      <c r="H212" s="2">
        <v>46175</v>
      </c>
      <c r="I212" s="2">
        <v>46183</v>
      </c>
      <c r="J212" s="1" t="s">
        <v>15</v>
      </c>
      <c r="K212" s="1">
        <v>1211</v>
      </c>
      <c r="L212" s="1" t="str">
        <f t="shared" si="0"/>
        <v>NITIN</v>
      </c>
      <c r="M212" s="1" t="str">
        <f t="shared" si="1"/>
        <v>printer</v>
      </c>
      <c r="N212" s="1">
        <f t="shared" si="2"/>
        <v>7</v>
      </c>
    </row>
    <row r="213" spans="1:14" x14ac:dyDescent="0.3">
      <c r="A213" s="1" t="s">
        <v>59</v>
      </c>
      <c r="B213" s="1" t="s">
        <v>25</v>
      </c>
      <c r="C213" s="1" t="s">
        <v>34</v>
      </c>
      <c r="D213" s="1" t="s">
        <v>60</v>
      </c>
      <c r="E213" s="1">
        <v>10</v>
      </c>
      <c r="F213" s="1">
        <v>34380</v>
      </c>
      <c r="G213" s="1">
        <v>7</v>
      </c>
      <c r="H213" s="2">
        <v>46194</v>
      </c>
      <c r="I213" s="2">
        <v>46195</v>
      </c>
      <c r="J213" s="1" t="s">
        <v>29</v>
      </c>
      <c r="K213" s="1">
        <v>1212</v>
      </c>
      <c r="L213" s="1" t="str">
        <f t="shared" si="0"/>
        <v>ANITA</v>
      </c>
      <c r="M213" s="1" t="str">
        <f t="shared" si="1"/>
        <v>laptop</v>
      </c>
      <c r="N213" s="1">
        <f t="shared" si="2"/>
        <v>6</v>
      </c>
    </row>
    <row r="214" spans="1:14" x14ac:dyDescent="0.3">
      <c r="A214" s="1" t="s">
        <v>32</v>
      </c>
      <c r="B214" s="1" t="s">
        <v>38</v>
      </c>
      <c r="C214" s="1" t="s">
        <v>34</v>
      </c>
      <c r="D214" s="1" t="s">
        <v>45</v>
      </c>
      <c r="E214" s="1">
        <v>16</v>
      </c>
      <c r="F214" s="1">
        <v>27741</v>
      </c>
      <c r="G214" s="1">
        <v>12</v>
      </c>
      <c r="H214" s="2">
        <v>46116</v>
      </c>
      <c r="I214" s="2">
        <v>46119</v>
      </c>
      <c r="J214" s="1" t="s">
        <v>15</v>
      </c>
      <c r="K214" s="1">
        <v>1213</v>
      </c>
      <c r="L214" s="1" t="str">
        <f t="shared" si="0"/>
        <v>ASHA</v>
      </c>
      <c r="M214" s="1" t="str">
        <f t="shared" si="1"/>
        <v>monitor</v>
      </c>
      <c r="N214" s="1">
        <f t="shared" si="2"/>
        <v>7</v>
      </c>
    </row>
    <row r="215" spans="1:14" x14ac:dyDescent="0.3">
      <c r="A215" s="1" t="s">
        <v>42</v>
      </c>
      <c r="B215" s="1" t="s">
        <v>25</v>
      </c>
      <c r="C215" s="1" t="s">
        <v>18</v>
      </c>
      <c r="D215" s="1" t="s">
        <v>28</v>
      </c>
      <c r="E215" s="1">
        <v>19</v>
      </c>
      <c r="F215" s="1">
        <v>13832</v>
      </c>
      <c r="G215" s="1">
        <v>0</v>
      </c>
      <c r="H215" s="2">
        <v>46140</v>
      </c>
      <c r="I215" s="2">
        <v>46145</v>
      </c>
      <c r="J215" s="1" t="s">
        <v>51</v>
      </c>
      <c r="K215" s="1">
        <v>1214</v>
      </c>
      <c r="L215" s="1" t="str">
        <f t="shared" si="0"/>
        <v>NISHA</v>
      </c>
      <c r="M215" s="1" t="str">
        <f t="shared" si="1"/>
        <v>chair</v>
      </c>
      <c r="N215" s="1">
        <f t="shared" si="2"/>
        <v>5</v>
      </c>
    </row>
    <row r="216" spans="1:14" x14ac:dyDescent="0.3">
      <c r="A216" s="1" t="s">
        <v>27</v>
      </c>
      <c r="B216" s="1" t="s">
        <v>12</v>
      </c>
      <c r="C216" s="1" t="s">
        <v>18</v>
      </c>
      <c r="D216" s="1" t="s">
        <v>28</v>
      </c>
      <c r="E216" s="1">
        <v>6</v>
      </c>
      <c r="F216" s="1">
        <v>1254</v>
      </c>
      <c r="G216" s="1">
        <v>0</v>
      </c>
      <c r="H216" s="2">
        <v>46131</v>
      </c>
      <c r="I216" s="2">
        <v>46136</v>
      </c>
      <c r="J216" s="1" t="s">
        <v>29</v>
      </c>
      <c r="K216" s="1">
        <v>1215</v>
      </c>
      <c r="L216" s="1" t="str">
        <f t="shared" si="0"/>
        <v>ARJUN</v>
      </c>
      <c r="M216" s="1" t="str">
        <f t="shared" si="1"/>
        <v>chair</v>
      </c>
      <c r="N216" s="1">
        <f t="shared" si="2"/>
        <v>5</v>
      </c>
    </row>
    <row r="217" spans="1:14" x14ac:dyDescent="0.3">
      <c r="A217" s="1" t="s">
        <v>40</v>
      </c>
      <c r="B217" s="1" t="s">
        <v>22</v>
      </c>
      <c r="C217" s="1" t="s">
        <v>34</v>
      </c>
      <c r="D217" s="1" t="s">
        <v>45</v>
      </c>
      <c r="E217" s="1">
        <v>10</v>
      </c>
      <c r="F217" s="1">
        <v>56709</v>
      </c>
      <c r="G217" s="1">
        <v>15</v>
      </c>
      <c r="H217" s="2">
        <v>46135</v>
      </c>
      <c r="I217" s="2">
        <v>46139</v>
      </c>
      <c r="J217" s="1" t="s">
        <v>29</v>
      </c>
      <c r="K217" s="1">
        <v>1216</v>
      </c>
      <c r="L217" s="1" t="str">
        <f t="shared" si="0"/>
        <v>DEEPAK</v>
      </c>
      <c r="M217" s="1" t="str">
        <f t="shared" si="1"/>
        <v>monitor</v>
      </c>
      <c r="N217" s="1">
        <f t="shared" si="2"/>
        <v>7</v>
      </c>
    </row>
    <row r="218" spans="1:14" x14ac:dyDescent="0.3">
      <c r="A218" s="1" t="s">
        <v>30</v>
      </c>
      <c r="B218" s="1" t="s">
        <v>22</v>
      </c>
      <c r="C218" s="1" t="s">
        <v>13</v>
      </c>
      <c r="D218" s="1" t="s">
        <v>50</v>
      </c>
      <c r="E218" s="1">
        <v>18</v>
      </c>
      <c r="F218" s="1">
        <v>60</v>
      </c>
      <c r="G218" s="1">
        <v>0</v>
      </c>
      <c r="H218" s="2">
        <v>46171</v>
      </c>
      <c r="I218" s="2">
        <v>46172</v>
      </c>
      <c r="J218" s="1" t="s">
        <v>29</v>
      </c>
      <c r="K218" s="1">
        <v>1217</v>
      </c>
      <c r="L218" s="1" t="str">
        <f t="shared" si="0"/>
        <v>NEHA</v>
      </c>
      <c r="M218" s="1" t="str">
        <f t="shared" si="1"/>
        <v>marker</v>
      </c>
      <c r="N218" s="1">
        <f t="shared" si="2"/>
        <v>6</v>
      </c>
    </row>
    <row r="219" spans="1:14" x14ac:dyDescent="0.3">
      <c r="A219" s="1" t="s">
        <v>55</v>
      </c>
      <c r="B219" s="1" t="s">
        <v>38</v>
      </c>
      <c r="C219" s="1" t="s">
        <v>13</v>
      </c>
      <c r="D219" s="1" t="s">
        <v>14</v>
      </c>
      <c r="E219" s="1">
        <v>1</v>
      </c>
      <c r="F219" s="1">
        <v>134</v>
      </c>
      <c r="G219" s="1">
        <v>10</v>
      </c>
      <c r="H219" s="2">
        <v>46143</v>
      </c>
      <c r="I219" s="2">
        <v>46151</v>
      </c>
      <c r="J219" s="1" t="s">
        <v>51</v>
      </c>
      <c r="K219" s="1">
        <v>1218</v>
      </c>
      <c r="L219" s="1" t="str">
        <f t="shared" si="0"/>
        <v>SNEHA</v>
      </c>
      <c r="M219" s="1" t="str">
        <f t="shared" si="1"/>
        <v>notebook</v>
      </c>
      <c r="N219" s="1">
        <f t="shared" si="2"/>
        <v>8</v>
      </c>
    </row>
    <row r="220" spans="1:14" x14ac:dyDescent="0.3">
      <c r="A220" s="1" t="s">
        <v>46</v>
      </c>
      <c r="B220" s="1" t="s">
        <v>22</v>
      </c>
      <c r="C220" s="1" t="s">
        <v>13</v>
      </c>
      <c r="D220" s="1" t="s">
        <v>14</v>
      </c>
      <c r="E220" s="1">
        <v>4</v>
      </c>
      <c r="F220" s="1">
        <v>117</v>
      </c>
      <c r="G220" s="1">
        <v>15</v>
      </c>
      <c r="H220" s="2">
        <v>46202</v>
      </c>
      <c r="I220" s="2">
        <v>46206</v>
      </c>
      <c r="J220" s="1" t="s">
        <v>29</v>
      </c>
      <c r="K220" s="1">
        <v>1219</v>
      </c>
      <c r="L220" s="1" t="str">
        <f t="shared" si="0"/>
        <v>KIRAN</v>
      </c>
      <c r="M220" s="1" t="str">
        <f t="shared" si="1"/>
        <v>notebook</v>
      </c>
      <c r="N220" s="1">
        <f t="shared" si="2"/>
        <v>8</v>
      </c>
    </row>
    <row r="221" spans="1:14" x14ac:dyDescent="0.3">
      <c r="A221" s="1" t="s">
        <v>11</v>
      </c>
      <c r="B221" s="1" t="s">
        <v>25</v>
      </c>
      <c r="C221" s="1" t="s">
        <v>18</v>
      </c>
      <c r="D221" s="1" t="s">
        <v>56</v>
      </c>
      <c r="E221" s="1">
        <v>2</v>
      </c>
      <c r="F221" s="1">
        <v>8861</v>
      </c>
      <c r="G221" s="1">
        <v>2</v>
      </c>
      <c r="H221" s="2">
        <v>46170</v>
      </c>
      <c r="I221" s="2">
        <v>46174</v>
      </c>
      <c r="J221" s="1" t="s">
        <v>24</v>
      </c>
      <c r="K221" s="1">
        <v>1220</v>
      </c>
      <c r="L221" s="1" t="str">
        <f t="shared" si="0"/>
        <v>RITESH</v>
      </c>
      <c r="M221" s="1" t="str">
        <f t="shared" si="1"/>
        <v>cabinet</v>
      </c>
      <c r="N221" s="1">
        <f t="shared" si="2"/>
        <v>7</v>
      </c>
    </row>
    <row r="222" spans="1:14" x14ac:dyDescent="0.3">
      <c r="A222" s="1" t="s">
        <v>11</v>
      </c>
      <c r="B222" s="1" t="s">
        <v>31</v>
      </c>
      <c r="C222" s="1" t="s">
        <v>18</v>
      </c>
      <c r="D222" s="1" t="s">
        <v>56</v>
      </c>
      <c r="E222" s="1">
        <v>18</v>
      </c>
      <c r="F222" s="1">
        <v>2681</v>
      </c>
      <c r="G222" s="1">
        <v>10</v>
      </c>
      <c r="H222" s="2">
        <v>46122</v>
      </c>
      <c r="I222" s="2">
        <v>46125</v>
      </c>
      <c r="J222" s="1" t="s">
        <v>51</v>
      </c>
      <c r="K222" s="1">
        <v>1221</v>
      </c>
      <c r="L222" s="1" t="str">
        <f t="shared" si="0"/>
        <v>RITESH</v>
      </c>
      <c r="M222" s="1" t="str">
        <f t="shared" si="1"/>
        <v>cabinet</v>
      </c>
      <c r="N222" s="1">
        <f t="shared" si="2"/>
        <v>7</v>
      </c>
    </row>
    <row r="223" spans="1:14" x14ac:dyDescent="0.3">
      <c r="A223" s="1" t="s">
        <v>30</v>
      </c>
      <c r="B223" s="1" t="s">
        <v>33</v>
      </c>
      <c r="C223" s="1" t="s">
        <v>18</v>
      </c>
      <c r="D223" s="1" t="s">
        <v>23</v>
      </c>
      <c r="E223" s="1">
        <v>9</v>
      </c>
      <c r="F223" s="1">
        <v>2712</v>
      </c>
      <c r="G223" s="1">
        <v>12</v>
      </c>
      <c r="H223" s="2">
        <v>46154</v>
      </c>
      <c r="I223" s="2">
        <v>46163</v>
      </c>
      <c r="J223" s="1" t="s">
        <v>15</v>
      </c>
      <c r="K223" s="1">
        <v>1222</v>
      </c>
      <c r="L223" s="1" t="str">
        <f t="shared" si="0"/>
        <v>NEHA</v>
      </c>
      <c r="M223" s="1" t="str">
        <f t="shared" si="1"/>
        <v>table</v>
      </c>
      <c r="N223" s="1">
        <f t="shared" si="2"/>
        <v>5</v>
      </c>
    </row>
    <row r="224" spans="1:14" x14ac:dyDescent="0.3">
      <c r="A224" s="1" t="s">
        <v>59</v>
      </c>
      <c r="B224" s="1" t="s">
        <v>17</v>
      </c>
      <c r="C224" s="1" t="s">
        <v>18</v>
      </c>
      <c r="D224" s="1" t="s">
        <v>23</v>
      </c>
      <c r="E224" s="1">
        <v>4</v>
      </c>
      <c r="F224" s="1">
        <v>2249</v>
      </c>
      <c r="G224" s="1">
        <v>7</v>
      </c>
      <c r="H224" s="2">
        <v>46077</v>
      </c>
      <c r="I224" s="2">
        <v>46084</v>
      </c>
      <c r="J224" s="1" t="s">
        <v>15</v>
      </c>
      <c r="K224" s="1">
        <v>1223</v>
      </c>
      <c r="L224" s="1" t="str">
        <f t="shared" si="0"/>
        <v>ANITA</v>
      </c>
      <c r="M224" s="1" t="str">
        <f t="shared" si="1"/>
        <v>table</v>
      </c>
      <c r="N224" s="1">
        <f t="shared" si="2"/>
        <v>5</v>
      </c>
    </row>
    <row r="225" spans="1:14" x14ac:dyDescent="0.3">
      <c r="A225" s="1" t="s">
        <v>30</v>
      </c>
      <c r="B225" s="1" t="s">
        <v>38</v>
      </c>
      <c r="C225" s="1" t="s">
        <v>34</v>
      </c>
      <c r="D225" s="1" t="s">
        <v>45</v>
      </c>
      <c r="E225" s="1">
        <v>16</v>
      </c>
      <c r="F225" s="1">
        <v>18378</v>
      </c>
      <c r="G225" s="1">
        <v>10</v>
      </c>
      <c r="H225" s="2">
        <v>46045</v>
      </c>
      <c r="I225" s="2">
        <v>46052</v>
      </c>
      <c r="J225" s="1" t="s">
        <v>24</v>
      </c>
      <c r="K225" s="1">
        <v>1224</v>
      </c>
      <c r="L225" s="1" t="str">
        <f t="shared" si="0"/>
        <v>NEHA</v>
      </c>
      <c r="M225" s="1" t="str">
        <f t="shared" si="1"/>
        <v>monitor</v>
      </c>
      <c r="N225" s="1">
        <f t="shared" si="2"/>
        <v>7</v>
      </c>
    </row>
    <row r="226" spans="1:14" x14ac:dyDescent="0.3">
      <c r="A226" s="1" t="s">
        <v>42</v>
      </c>
      <c r="B226" s="1" t="s">
        <v>31</v>
      </c>
      <c r="C226" s="1" t="s">
        <v>34</v>
      </c>
      <c r="D226" s="1" t="s">
        <v>35</v>
      </c>
      <c r="E226" s="1">
        <v>16</v>
      </c>
      <c r="F226" s="1">
        <v>32262</v>
      </c>
      <c r="G226" s="1">
        <v>12</v>
      </c>
      <c r="H226" s="2">
        <v>46125</v>
      </c>
      <c r="I226" s="2">
        <v>46126</v>
      </c>
      <c r="J226" s="1" t="s">
        <v>20</v>
      </c>
      <c r="K226" s="1">
        <v>1225</v>
      </c>
      <c r="L226" s="1" t="str">
        <f t="shared" si="0"/>
        <v>NISHA</v>
      </c>
      <c r="M226" s="1" t="str">
        <f t="shared" si="1"/>
        <v>printer</v>
      </c>
      <c r="N226" s="1">
        <f t="shared" si="2"/>
        <v>7</v>
      </c>
    </row>
    <row r="227" spans="1:14" x14ac:dyDescent="0.3">
      <c r="A227" s="1" t="s">
        <v>29</v>
      </c>
      <c r="B227" s="1" t="s">
        <v>31</v>
      </c>
      <c r="C227" s="1" t="s">
        <v>34</v>
      </c>
      <c r="D227" s="1" t="s">
        <v>41</v>
      </c>
      <c r="E227" s="1">
        <v>13</v>
      </c>
      <c r="F227" s="1">
        <v>21332</v>
      </c>
      <c r="G227" s="1">
        <v>0</v>
      </c>
      <c r="H227" s="2">
        <v>46044</v>
      </c>
      <c r="I227" s="2">
        <v>46048</v>
      </c>
      <c r="J227" s="1" t="s">
        <v>29</v>
      </c>
      <c r="K227" s="1">
        <v>1226</v>
      </c>
      <c r="L227" s="1" t="str">
        <f t="shared" si="0"/>
        <v>PRIYA</v>
      </c>
      <c r="M227" s="1" t="str">
        <f t="shared" si="1"/>
        <v>headset</v>
      </c>
      <c r="N227" s="1">
        <f t="shared" si="2"/>
        <v>7</v>
      </c>
    </row>
    <row r="228" spans="1:14" x14ac:dyDescent="0.3">
      <c r="A228" s="1" t="s">
        <v>58</v>
      </c>
      <c r="B228" s="1" t="s">
        <v>22</v>
      </c>
      <c r="C228" s="1" t="s">
        <v>34</v>
      </c>
      <c r="D228" s="1" t="s">
        <v>45</v>
      </c>
      <c r="E228" s="1">
        <v>16</v>
      </c>
      <c r="F228" s="1">
        <v>1321</v>
      </c>
      <c r="G228" s="1">
        <v>12</v>
      </c>
      <c r="H228" s="2">
        <v>46113</v>
      </c>
      <c r="I228" s="2">
        <v>46116</v>
      </c>
      <c r="J228" s="1" t="s">
        <v>15</v>
      </c>
      <c r="K228" s="1">
        <v>1227</v>
      </c>
      <c r="L228" s="1" t="str">
        <f t="shared" si="0"/>
        <v>ROHAN</v>
      </c>
      <c r="M228" s="1" t="str">
        <f t="shared" si="1"/>
        <v>monitor</v>
      </c>
      <c r="N228" s="1">
        <f t="shared" si="2"/>
        <v>7</v>
      </c>
    </row>
    <row r="229" spans="1:14" x14ac:dyDescent="0.3">
      <c r="A229" s="1" t="s">
        <v>29</v>
      </c>
      <c r="B229" s="1" t="s">
        <v>25</v>
      </c>
      <c r="C229" s="1" t="s">
        <v>34</v>
      </c>
      <c r="D229" s="1" t="s">
        <v>45</v>
      </c>
      <c r="E229" s="1">
        <v>16</v>
      </c>
      <c r="F229" s="1">
        <v>17477</v>
      </c>
      <c r="G229" s="1">
        <v>10</v>
      </c>
      <c r="H229" s="2">
        <v>46041</v>
      </c>
      <c r="I229" s="2">
        <v>46043</v>
      </c>
      <c r="J229" s="1" t="s">
        <v>24</v>
      </c>
      <c r="K229" s="1">
        <v>1228</v>
      </c>
      <c r="L229" s="1" t="str">
        <f t="shared" si="0"/>
        <v>PRIYA</v>
      </c>
      <c r="M229" s="1" t="str">
        <f t="shared" si="1"/>
        <v>monitor</v>
      </c>
      <c r="N229" s="1">
        <f t="shared" si="2"/>
        <v>7</v>
      </c>
    </row>
    <row r="230" spans="1:14" x14ac:dyDescent="0.3">
      <c r="A230" s="1" t="s">
        <v>57</v>
      </c>
      <c r="B230" s="1" t="s">
        <v>12</v>
      </c>
      <c r="C230" s="1" t="s">
        <v>18</v>
      </c>
      <c r="D230" s="1" t="s">
        <v>56</v>
      </c>
      <c r="E230" s="1">
        <v>14</v>
      </c>
      <c r="F230" s="1">
        <v>5859</v>
      </c>
      <c r="G230" s="1">
        <v>12</v>
      </c>
      <c r="H230" s="2">
        <v>46027</v>
      </c>
      <c r="I230" s="2">
        <v>46036</v>
      </c>
      <c r="J230" s="1" t="s">
        <v>20</v>
      </c>
      <c r="K230" s="1">
        <v>1229</v>
      </c>
      <c r="L230" s="1" t="str">
        <f t="shared" si="0"/>
        <v>SARA</v>
      </c>
      <c r="M230" s="1" t="str">
        <f t="shared" si="1"/>
        <v>cabinet</v>
      </c>
      <c r="N230" s="1">
        <f t="shared" si="2"/>
        <v>7</v>
      </c>
    </row>
    <row r="231" spans="1:14" x14ac:dyDescent="0.3">
      <c r="A231" s="1" t="s">
        <v>59</v>
      </c>
      <c r="B231" s="1" t="s">
        <v>33</v>
      </c>
      <c r="C231" s="1" t="s">
        <v>34</v>
      </c>
      <c r="D231" s="1" t="s">
        <v>60</v>
      </c>
      <c r="E231" s="1">
        <v>7</v>
      </c>
      <c r="F231" s="1">
        <v>2932</v>
      </c>
      <c r="G231" s="1">
        <v>7</v>
      </c>
      <c r="H231" s="2">
        <v>46050</v>
      </c>
      <c r="I231" s="2">
        <v>46059</v>
      </c>
      <c r="J231" s="1" t="s">
        <v>24</v>
      </c>
      <c r="K231" s="1">
        <v>1230</v>
      </c>
      <c r="L231" s="1" t="str">
        <f t="shared" si="0"/>
        <v>ANITA</v>
      </c>
      <c r="M231" s="1" t="str">
        <f t="shared" si="1"/>
        <v>laptop</v>
      </c>
      <c r="N231" s="1">
        <f t="shared" si="2"/>
        <v>6</v>
      </c>
    </row>
    <row r="232" spans="1:14" x14ac:dyDescent="0.3">
      <c r="A232" s="1" t="s">
        <v>48</v>
      </c>
      <c r="B232" s="1" t="s">
        <v>38</v>
      </c>
      <c r="C232" s="1" t="s">
        <v>18</v>
      </c>
      <c r="D232" s="1" t="s">
        <v>19</v>
      </c>
      <c r="E232" s="1">
        <v>13</v>
      </c>
      <c r="F232" s="1">
        <v>10297</v>
      </c>
      <c r="G232" s="1">
        <v>12</v>
      </c>
      <c r="H232" s="2">
        <v>46178</v>
      </c>
      <c r="I232" s="2">
        <v>46186</v>
      </c>
      <c r="J232" s="1" t="s">
        <v>20</v>
      </c>
      <c r="K232" s="1">
        <v>1231</v>
      </c>
      <c r="L232" s="1" t="str">
        <f t="shared" si="0"/>
        <v>NITIN</v>
      </c>
      <c r="M232" s="1" t="str">
        <f t="shared" si="1"/>
        <v>desk</v>
      </c>
      <c r="N232" s="1">
        <f t="shared" si="2"/>
        <v>4</v>
      </c>
    </row>
    <row r="233" spans="1:14" x14ac:dyDescent="0.3">
      <c r="A233" s="1" t="s">
        <v>21</v>
      </c>
      <c r="B233" s="1" t="s">
        <v>12</v>
      </c>
      <c r="C233" s="1" t="s">
        <v>34</v>
      </c>
      <c r="D233" s="1" t="s">
        <v>60</v>
      </c>
      <c r="E233" s="1">
        <v>3</v>
      </c>
      <c r="F233" s="1">
        <v>13272</v>
      </c>
      <c r="G233" s="1">
        <v>2</v>
      </c>
      <c r="H233" s="2">
        <v>46060</v>
      </c>
      <c r="I233" s="2">
        <v>46065</v>
      </c>
      <c r="J233" s="1" t="s">
        <v>15</v>
      </c>
      <c r="K233" s="1">
        <v>1232</v>
      </c>
      <c r="L233" s="1" t="str">
        <f t="shared" si="0"/>
        <v>MEERA</v>
      </c>
      <c r="M233" s="1" t="str">
        <f t="shared" si="1"/>
        <v>laptop</v>
      </c>
      <c r="N233" s="1">
        <f t="shared" si="2"/>
        <v>6</v>
      </c>
    </row>
    <row r="234" spans="1:14" x14ac:dyDescent="0.3">
      <c r="A234" s="1" t="s">
        <v>58</v>
      </c>
      <c r="B234" s="1" t="s">
        <v>22</v>
      </c>
      <c r="C234" s="1" t="s">
        <v>18</v>
      </c>
      <c r="D234" s="1" t="s">
        <v>19</v>
      </c>
      <c r="E234" s="1">
        <v>20</v>
      </c>
      <c r="F234" s="1">
        <v>13941</v>
      </c>
      <c r="G234" s="1">
        <v>15</v>
      </c>
      <c r="H234" s="2">
        <v>46198</v>
      </c>
      <c r="I234" s="2">
        <v>46202</v>
      </c>
      <c r="J234" s="1" t="s">
        <v>24</v>
      </c>
      <c r="K234" s="1">
        <v>1233</v>
      </c>
      <c r="L234" s="1" t="str">
        <f t="shared" si="0"/>
        <v>ROHAN</v>
      </c>
      <c r="M234" s="1" t="str">
        <f t="shared" si="1"/>
        <v>desk</v>
      </c>
      <c r="N234" s="1">
        <f t="shared" si="2"/>
        <v>4</v>
      </c>
    </row>
    <row r="235" spans="1:14" x14ac:dyDescent="0.3">
      <c r="A235" s="1" t="s">
        <v>11</v>
      </c>
      <c r="B235" s="1" t="s">
        <v>25</v>
      </c>
      <c r="C235" s="1" t="s">
        <v>18</v>
      </c>
      <c r="D235" s="1" t="s">
        <v>28</v>
      </c>
      <c r="E235" s="1">
        <v>1</v>
      </c>
      <c r="F235" s="1">
        <v>14320</v>
      </c>
      <c r="G235" s="1">
        <v>12</v>
      </c>
      <c r="H235" s="2">
        <v>46114</v>
      </c>
      <c r="I235" s="2">
        <v>46121</v>
      </c>
      <c r="J235" s="1" t="s">
        <v>51</v>
      </c>
      <c r="K235" s="1">
        <v>1234</v>
      </c>
      <c r="L235" s="1" t="str">
        <f t="shared" si="0"/>
        <v>RITESH</v>
      </c>
      <c r="M235" s="1" t="str">
        <f t="shared" si="1"/>
        <v>chair</v>
      </c>
      <c r="N235" s="1">
        <f t="shared" si="2"/>
        <v>5</v>
      </c>
    </row>
    <row r="236" spans="1:14" x14ac:dyDescent="0.3">
      <c r="A236" s="1" t="s">
        <v>57</v>
      </c>
      <c r="B236" s="1" t="s">
        <v>25</v>
      </c>
      <c r="C236" s="1" t="s">
        <v>13</v>
      </c>
      <c r="D236" s="1" t="s">
        <v>50</v>
      </c>
      <c r="E236" s="1">
        <v>15</v>
      </c>
      <c r="F236" s="1">
        <v>267</v>
      </c>
      <c r="G236" s="1">
        <v>15</v>
      </c>
      <c r="H236" s="2">
        <v>46172</v>
      </c>
      <c r="I236" s="2">
        <v>46177</v>
      </c>
      <c r="J236" s="1" t="s">
        <v>29</v>
      </c>
      <c r="K236" s="1">
        <v>1235</v>
      </c>
      <c r="L236" s="1" t="str">
        <f t="shared" si="0"/>
        <v>SARA</v>
      </c>
      <c r="M236" s="1" t="str">
        <f t="shared" si="1"/>
        <v>marker</v>
      </c>
      <c r="N236" s="1">
        <f t="shared" si="2"/>
        <v>6</v>
      </c>
    </row>
    <row r="237" spans="1:14" x14ac:dyDescent="0.3">
      <c r="A237" s="1" t="s">
        <v>54</v>
      </c>
      <c r="B237" s="1" t="s">
        <v>43</v>
      </c>
      <c r="C237" s="1" t="s">
        <v>13</v>
      </c>
      <c r="D237" s="1" t="s">
        <v>37</v>
      </c>
      <c r="E237" s="1">
        <v>12</v>
      </c>
      <c r="F237" s="1">
        <v>189</v>
      </c>
      <c r="G237" s="1">
        <v>7</v>
      </c>
      <c r="H237" s="2">
        <v>46164</v>
      </c>
      <c r="I237" s="2">
        <v>46169</v>
      </c>
      <c r="J237" s="1" t="s">
        <v>29</v>
      </c>
      <c r="K237" s="1">
        <v>1236</v>
      </c>
      <c r="L237" s="1" t="str">
        <f t="shared" si="0"/>
        <v>MANOJ</v>
      </c>
      <c r="M237" s="1" t="str">
        <f t="shared" si="1"/>
        <v>pen pack</v>
      </c>
      <c r="N237" s="1">
        <f t="shared" si="2"/>
        <v>8</v>
      </c>
    </row>
    <row r="238" spans="1:14" x14ac:dyDescent="0.3">
      <c r="A238" s="1" t="s">
        <v>46</v>
      </c>
      <c r="B238" s="1" t="s">
        <v>38</v>
      </c>
      <c r="C238" s="1" t="s">
        <v>18</v>
      </c>
      <c r="D238" s="1" t="s">
        <v>56</v>
      </c>
      <c r="E238" s="1">
        <v>8</v>
      </c>
      <c r="F238" s="1">
        <v>12123</v>
      </c>
      <c r="G238" s="1">
        <v>2</v>
      </c>
      <c r="H238" s="2">
        <v>46137</v>
      </c>
      <c r="I238" s="2">
        <v>46145</v>
      </c>
      <c r="J238" s="1" t="s">
        <v>15</v>
      </c>
      <c r="K238" s="1">
        <v>1237</v>
      </c>
      <c r="L238" s="1" t="str">
        <f t="shared" si="0"/>
        <v>KIRAN</v>
      </c>
      <c r="M238" s="1" t="str">
        <f t="shared" si="1"/>
        <v>cabinet</v>
      </c>
      <c r="N238" s="1">
        <f t="shared" si="2"/>
        <v>7</v>
      </c>
    </row>
    <row r="239" spans="1:14" x14ac:dyDescent="0.3">
      <c r="A239" s="1" t="s">
        <v>30</v>
      </c>
      <c r="B239" s="1" t="s">
        <v>31</v>
      </c>
      <c r="C239" s="1" t="s">
        <v>13</v>
      </c>
      <c r="D239" s="1" t="s">
        <v>14</v>
      </c>
      <c r="E239" s="1">
        <v>6</v>
      </c>
      <c r="F239" s="1">
        <v>180</v>
      </c>
      <c r="G239" s="1">
        <v>12</v>
      </c>
      <c r="H239" s="2">
        <v>46096</v>
      </c>
      <c r="I239" s="2">
        <v>46097</v>
      </c>
      <c r="J239" s="1" t="s">
        <v>51</v>
      </c>
      <c r="K239" s="1">
        <v>1238</v>
      </c>
      <c r="L239" s="1" t="str">
        <f t="shared" si="0"/>
        <v>NEHA</v>
      </c>
      <c r="M239" s="1" t="str">
        <f t="shared" si="1"/>
        <v>notebook</v>
      </c>
      <c r="N239" s="1">
        <f t="shared" si="2"/>
        <v>8</v>
      </c>
    </row>
    <row r="240" spans="1:14" x14ac:dyDescent="0.3">
      <c r="A240" s="1" t="s">
        <v>48</v>
      </c>
      <c r="B240" s="1" t="s">
        <v>17</v>
      </c>
      <c r="C240" s="1" t="s">
        <v>18</v>
      </c>
      <c r="D240" s="1" t="s">
        <v>56</v>
      </c>
      <c r="E240" s="1">
        <v>2</v>
      </c>
      <c r="F240" s="1">
        <v>12330</v>
      </c>
      <c r="G240" s="1">
        <v>12</v>
      </c>
      <c r="H240" s="2">
        <v>46122</v>
      </c>
      <c r="I240" s="2">
        <v>46125</v>
      </c>
      <c r="J240" s="1" t="s">
        <v>15</v>
      </c>
      <c r="K240" s="1">
        <v>1239</v>
      </c>
      <c r="L240" s="1" t="str">
        <f t="shared" si="0"/>
        <v>NITIN</v>
      </c>
      <c r="M240" s="1" t="str">
        <f t="shared" si="1"/>
        <v>cabinet</v>
      </c>
      <c r="N240" s="1">
        <f t="shared" si="2"/>
        <v>7</v>
      </c>
    </row>
    <row r="241" spans="1:14" x14ac:dyDescent="0.3">
      <c r="A241" s="1" t="s">
        <v>55</v>
      </c>
      <c r="B241" s="1" t="s">
        <v>33</v>
      </c>
      <c r="C241" s="1" t="s">
        <v>18</v>
      </c>
      <c r="D241" s="1" t="s">
        <v>23</v>
      </c>
      <c r="E241" s="1">
        <v>2</v>
      </c>
      <c r="F241" s="1">
        <v>5475</v>
      </c>
      <c r="G241" s="1">
        <v>2</v>
      </c>
      <c r="H241" s="2">
        <v>46142</v>
      </c>
      <c r="I241" s="2">
        <v>46146</v>
      </c>
      <c r="J241" s="1" t="s">
        <v>29</v>
      </c>
      <c r="K241" s="1">
        <v>1240</v>
      </c>
      <c r="L241" s="1" t="str">
        <f t="shared" si="0"/>
        <v>SNEHA</v>
      </c>
      <c r="M241" s="1" t="str">
        <f t="shared" si="1"/>
        <v>table</v>
      </c>
      <c r="N241" s="1">
        <f t="shared" si="2"/>
        <v>5</v>
      </c>
    </row>
    <row r="242" spans="1:14" x14ac:dyDescent="0.3">
      <c r="A242" s="1" t="s">
        <v>46</v>
      </c>
      <c r="B242" s="1" t="s">
        <v>31</v>
      </c>
      <c r="C242" s="1" t="s">
        <v>18</v>
      </c>
      <c r="D242" s="1" t="s">
        <v>44</v>
      </c>
      <c r="E242" s="1">
        <v>1</v>
      </c>
      <c r="F242" s="1">
        <v>12537</v>
      </c>
      <c r="G242" s="1">
        <v>0</v>
      </c>
      <c r="H242" s="2">
        <v>46119</v>
      </c>
      <c r="I242" s="2">
        <v>46122</v>
      </c>
      <c r="J242" s="1" t="s">
        <v>15</v>
      </c>
      <c r="K242" s="1">
        <v>1241</v>
      </c>
      <c r="L242" s="1" t="str">
        <f t="shared" si="0"/>
        <v>KIRAN</v>
      </c>
      <c r="M242" s="1" t="str">
        <f t="shared" si="1"/>
        <v>bookshelf</v>
      </c>
      <c r="N242" s="1">
        <f t="shared" si="2"/>
        <v>9</v>
      </c>
    </row>
    <row r="243" spans="1:14" x14ac:dyDescent="0.3">
      <c r="A243" s="1" t="s">
        <v>54</v>
      </c>
      <c r="B243" s="1" t="s">
        <v>38</v>
      </c>
      <c r="C243" s="1" t="s">
        <v>13</v>
      </c>
      <c r="D243" s="1" t="s">
        <v>50</v>
      </c>
      <c r="E243" s="1">
        <v>7</v>
      </c>
      <c r="F243" s="1">
        <v>168</v>
      </c>
      <c r="G243" s="1">
        <v>10</v>
      </c>
      <c r="H243" s="2">
        <v>46191</v>
      </c>
      <c r="I243" s="2">
        <v>46196</v>
      </c>
      <c r="J243" s="1" t="s">
        <v>51</v>
      </c>
      <c r="K243" s="1">
        <v>1242</v>
      </c>
      <c r="L243" s="1" t="str">
        <f t="shared" si="0"/>
        <v>MANOJ</v>
      </c>
      <c r="M243" s="1" t="str">
        <f t="shared" si="1"/>
        <v>marker</v>
      </c>
      <c r="N243" s="1">
        <f t="shared" si="2"/>
        <v>6</v>
      </c>
    </row>
    <row r="244" spans="1:14" x14ac:dyDescent="0.3">
      <c r="A244" s="1" t="s">
        <v>30</v>
      </c>
      <c r="B244" s="1" t="s">
        <v>31</v>
      </c>
      <c r="C244" s="1" t="s">
        <v>34</v>
      </c>
      <c r="D244" s="1" t="s">
        <v>41</v>
      </c>
      <c r="E244" s="1">
        <v>5</v>
      </c>
      <c r="F244" s="1">
        <v>11570</v>
      </c>
      <c r="G244" s="1">
        <v>15</v>
      </c>
      <c r="H244" s="2">
        <v>46069</v>
      </c>
      <c r="I244" s="2">
        <v>46077</v>
      </c>
      <c r="J244" s="1" t="s">
        <v>24</v>
      </c>
      <c r="K244" s="1">
        <v>1243</v>
      </c>
      <c r="L244" s="1" t="str">
        <f t="shared" si="0"/>
        <v>NEHA</v>
      </c>
      <c r="M244" s="1" t="str">
        <f t="shared" si="1"/>
        <v>headset</v>
      </c>
      <c r="N244" s="1">
        <f t="shared" si="2"/>
        <v>7</v>
      </c>
    </row>
    <row r="245" spans="1:14" x14ac:dyDescent="0.3">
      <c r="A245" s="1" t="s">
        <v>57</v>
      </c>
      <c r="B245" s="1" t="s">
        <v>38</v>
      </c>
      <c r="C245" s="1" t="s">
        <v>18</v>
      </c>
      <c r="D245" s="1" t="s">
        <v>28</v>
      </c>
      <c r="E245" s="1">
        <v>10</v>
      </c>
      <c r="F245" s="1">
        <v>6339</v>
      </c>
      <c r="G245" s="1">
        <v>12</v>
      </c>
      <c r="H245" s="2">
        <v>46200</v>
      </c>
      <c r="I245" s="2">
        <v>46205</v>
      </c>
      <c r="J245" s="1" t="s">
        <v>15</v>
      </c>
      <c r="K245" s="1">
        <v>1244</v>
      </c>
      <c r="L245" s="1" t="str">
        <f t="shared" si="0"/>
        <v>SARA</v>
      </c>
      <c r="M245" s="1" t="str">
        <f t="shared" si="1"/>
        <v>chair</v>
      </c>
      <c r="N245" s="1">
        <f t="shared" si="2"/>
        <v>5</v>
      </c>
    </row>
    <row r="246" spans="1:14" x14ac:dyDescent="0.3">
      <c r="A246" s="1" t="s">
        <v>55</v>
      </c>
      <c r="B246" s="1" t="s">
        <v>43</v>
      </c>
      <c r="C246" s="1" t="s">
        <v>34</v>
      </c>
      <c r="D246" s="1" t="s">
        <v>41</v>
      </c>
      <c r="E246" s="1">
        <v>19</v>
      </c>
      <c r="F246" s="1">
        <v>69029</v>
      </c>
      <c r="G246" s="1">
        <v>7</v>
      </c>
      <c r="H246" s="2">
        <v>46176</v>
      </c>
      <c r="I246" s="2">
        <v>46179</v>
      </c>
      <c r="J246" s="1" t="s">
        <v>29</v>
      </c>
      <c r="K246" s="1">
        <v>1245</v>
      </c>
      <c r="L246" s="1" t="str">
        <f t="shared" si="0"/>
        <v>SNEHA</v>
      </c>
      <c r="M246" s="1" t="str">
        <f t="shared" si="1"/>
        <v>headset</v>
      </c>
      <c r="N246" s="1">
        <f t="shared" si="2"/>
        <v>7</v>
      </c>
    </row>
    <row r="247" spans="1:14" x14ac:dyDescent="0.3">
      <c r="A247" s="1" t="s">
        <v>55</v>
      </c>
      <c r="B247" s="1" t="s">
        <v>22</v>
      </c>
      <c r="C247" s="1" t="s">
        <v>34</v>
      </c>
      <c r="D247" s="1" t="s">
        <v>35</v>
      </c>
      <c r="E247" s="1">
        <v>13</v>
      </c>
      <c r="F247" s="1">
        <v>1825</v>
      </c>
      <c r="G247" s="1">
        <v>2</v>
      </c>
      <c r="H247" s="2">
        <v>46039</v>
      </c>
      <c r="I247" s="2">
        <v>46045</v>
      </c>
      <c r="J247" s="1" t="s">
        <v>51</v>
      </c>
      <c r="K247" s="1">
        <v>1246</v>
      </c>
      <c r="L247" s="1" t="str">
        <f t="shared" si="0"/>
        <v>SNEHA</v>
      </c>
      <c r="M247" s="1" t="str">
        <f t="shared" si="1"/>
        <v>printer</v>
      </c>
      <c r="N247" s="1">
        <f t="shared" si="2"/>
        <v>7</v>
      </c>
    </row>
    <row r="248" spans="1:14" x14ac:dyDescent="0.3">
      <c r="A248" s="1" t="s">
        <v>26</v>
      </c>
      <c r="B248" s="1" t="s">
        <v>12</v>
      </c>
      <c r="C248" s="1" t="s">
        <v>13</v>
      </c>
      <c r="D248" s="1" t="s">
        <v>50</v>
      </c>
      <c r="E248" s="1">
        <v>10</v>
      </c>
      <c r="F248" s="1">
        <v>336</v>
      </c>
      <c r="G248" s="1">
        <v>7</v>
      </c>
      <c r="H248" s="2">
        <v>46173</v>
      </c>
      <c r="I248" s="2">
        <v>46175</v>
      </c>
      <c r="J248" s="1" t="s">
        <v>20</v>
      </c>
      <c r="K248" s="1">
        <v>1247</v>
      </c>
      <c r="L248" s="1" t="str">
        <f t="shared" si="0"/>
        <v>VIKRAM</v>
      </c>
      <c r="M248" s="1" t="str">
        <f t="shared" si="1"/>
        <v>marker</v>
      </c>
      <c r="N248" s="1">
        <f t="shared" si="2"/>
        <v>6</v>
      </c>
    </row>
    <row r="249" spans="1:14" x14ac:dyDescent="0.3">
      <c r="A249" s="1" t="s">
        <v>27</v>
      </c>
      <c r="B249" s="1" t="s">
        <v>43</v>
      </c>
      <c r="C249" s="1" t="s">
        <v>13</v>
      </c>
      <c r="D249" s="1" t="s">
        <v>37</v>
      </c>
      <c r="E249" s="1">
        <v>5</v>
      </c>
      <c r="F249" s="1">
        <v>398</v>
      </c>
      <c r="G249" s="1">
        <v>7</v>
      </c>
      <c r="H249" s="2">
        <v>46161</v>
      </c>
      <c r="I249" s="2">
        <v>46171</v>
      </c>
      <c r="J249" s="1" t="s">
        <v>29</v>
      </c>
      <c r="K249" s="1">
        <v>1248</v>
      </c>
      <c r="L249" s="1" t="str">
        <f t="shared" si="0"/>
        <v>ARJUN</v>
      </c>
      <c r="M249" s="1" t="str">
        <f t="shared" si="1"/>
        <v>pen pack</v>
      </c>
      <c r="N249" s="1">
        <f t="shared" si="2"/>
        <v>8</v>
      </c>
    </row>
    <row r="250" spans="1:14" x14ac:dyDescent="0.3">
      <c r="A250" s="1" t="s">
        <v>16</v>
      </c>
      <c r="B250" s="1" t="s">
        <v>25</v>
      </c>
      <c r="C250" s="1" t="s">
        <v>34</v>
      </c>
      <c r="D250" s="1" t="s">
        <v>41</v>
      </c>
      <c r="E250" s="1">
        <v>18</v>
      </c>
      <c r="F250" s="1">
        <v>6360</v>
      </c>
      <c r="G250" s="1">
        <v>12</v>
      </c>
      <c r="H250" s="2">
        <v>46163</v>
      </c>
      <c r="I250" s="2">
        <v>46165</v>
      </c>
      <c r="J250" s="1" t="s">
        <v>20</v>
      </c>
      <c r="K250" s="1">
        <v>1249</v>
      </c>
      <c r="L250" s="1" t="str">
        <f t="shared" si="0"/>
        <v>POOJA</v>
      </c>
      <c r="M250" s="1" t="str">
        <f t="shared" si="1"/>
        <v>headset</v>
      </c>
      <c r="N250" s="1">
        <f t="shared" si="2"/>
        <v>7</v>
      </c>
    </row>
    <row r="251" spans="1:14" x14ac:dyDescent="0.3">
      <c r="A251" s="1" t="s">
        <v>11</v>
      </c>
      <c r="B251" s="1" t="s">
        <v>17</v>
      </c>
      <c r="C251" s="1" t="s">
        <v>34</v>
      </c>
      <c r="D251" s="1" t="s">
        <v>45</v>
      </c>
      <c r="E251" s="1">
        <v>2</v>
      </c>
      <c r="F251" s="1">
        <v>65953</v>
      </c>
      <c r="G251" s="1">
        <v>7</v>
      </c>
      <c r="H251" s="2">
        <v>46051</v>
      </c>
      <c r="I251" s="2">
        <v>46053</v>
      </c>
      <c r="J251" s="1" t="s">
        <v>29</v>
      </c>
      <c r="K251" s="1">
        <v>1250</v>
      </c>
      <c r="L251" s="1" t="str">
        <f t="shared" si="0"/>
        <v>RITESH</v>
      </c>
      <c r="M251" s="1" t="str">
        <f t="shared" si="1"/>
        <v>monitor</v>
      </c>
      <c r="N251" s="1">
        <f t="shared" si="2"/>
        <v>7</v>
      </c>
    </row>
    <row r="252" spans="1:14" x14ac:dyDescent="0.3">
      <c r="A252" s="1" t="s">
        <v>55</v>
      </c>
      <c r="B252" s="1" t="s">
        <v>38</v>
      </c>
      <c r="C252" s="1" t="s">
        <v>34</v>
      </c>
      <c r="D252" s="1" t="s">
        <v>61</v>
      </c>
      <c r="E252" s="1">
        <v>19</v>
      </c>
      <c r="F252" s="1">
        <v>48548</v>
      </c>
      <c r="G252" s="1">
        <v>0</v>
      </c>
      <c r="H252" s="2">
        <v>46112</v>
      </c>
      <c r="I252" s="2">
        <v>46121</v>
      </c>
      <c r="J252" s="1" t="s">
        <v>51</v>
      </c>
      <c r="K252" s="1">
        <v>1251</v>
      </c>
      <c r="L252" s="1" t="str">
        <f t="shared" si="0"/>
        <v>SNEHA</v>
      </c>
      <c r="M252" s="1" t="str">
        <f t="shared" si="1"/>
        <v>mouse</v>
      </c>
      <c r="N252" s="1">
        <f t="shared" si="2"/>
        <v>5</v>
      </c>
    </row>
    <row r="253" spans="1:14" x14ac:dyDescent="0.3">
      <c r="A253" s="1" t="s">
        <v>47</v>
      </c>
      <c r="B253" s="1" t="s">
        <v>25</v>
      </c>
      <c r="C253" s="1" t="s">
        <v>13</v>
      </c>
      <c r="D253" s="1" t="s">
        <v>36</v>
      </c>
      <c r="E253" s="1">
        <v>15</v>
      </c>
      <c r="F253" s="1">
        <v>257</v>
      </c>
      <c r="G253" s="1">
        <v>5</v>
      </c>
      <c r="H253" s="2">
        <v>46166</v>
      </c>
      <c r="I253" s="2">
        <v>46173</v>
      </c>
      <c r="J253" s="1" t="s">
        <v>20</v>
      </c>
      <c r="K253" s="1">
        <v>1252</v>
      </c>
      <c r="L253" s="1" t="str">
        <f t="shared" si="0"/>
        <v>YASH</v>
      </c>
      <c r="M253" s="1" t="str">
        <f t="shared" si="1"/>
        <v>stapler</v>
      </c>
      <c r="N253" s="1">
        <f t="shared" si="2"/>
        <v>7</v>
      </c>
    </row>
    <row r="254" spans="1:14" x14ac:dyDescent="0.3">
      <c r="A254" s="1" t="s">
        <v>21</v>
      </c>
      <c r="B254" s="1" t="s">
        <v>31</v>
      </c>
      <c r="C254" s="1" t="s">
        <v>34</v>
      </c>
      <c r="D254" s="1" t="s">
        <v>45</v>
      </c>
      <c r="E254" s="1">
        <v>20</v>
      </c>
      <c r="F254" s="1">
        <v>47880</v>
      </c>
      <c r="G254" s="1">
        <v>7</v>
      </c>
      <c r="H254" s="2">
        <v>46074</v>
      </c>
      <c r="I254" s="2">
        <v>46075</v>
      </c>
      <c r="J254" s="1" t="s">
        <v>29</v>
      </c>
      <c r="K254" s="1">
        <v>1253</v>
      </c>
      <c r="L254" s="1" t="str">
        <f t="shared" si="0"/>
        <v>MEERA</v>
      </c>
      <c r="M254" s="1" t="str">
        <f t="shared" si="1"/>
        <v>monitor</v>
      </c>
      <c r="N254" s="1">
        <f t="shared" si="2"/>
        <v>7</v>
      </c>
    </row>
    <row r="255" spans="1:14" x14ac:dyDescent="0.3">
      <c r="A255" s="1" t="s">
        <v>52</v>
      </c>
      <c r="B255" s="1" t="s">
        <v>22</v>
      </c>
      <c r="C255" s="1" t="s">
        <v>13</v>
      </c>
      <c r="D255" s="1" t="s">
        <v>50</v>
      </c>
      <c r="E255" s="1">
        <v>18</v>
      </c>
      <c r="F255" s="1">
        <v>447</v>
      </c>
      <c r="G255" s="1">
        <v>15</v>
      </c>
      <c r="H255" s="2">
        <v>46141</v>
      </c>
      <c r="I255" s="2">
        <v>46149</v>
      </c>
      <c r="J255" s="1" t="s">
        <v>24</v>
      </c>
      <c r="K255" s="1">
        <v>1254</v>
      </c>
      <c r="L255" s="1" t="str">
        <f t="shared" si="0"/>
        <v>KOMAL</v>
      </c>
      <c r="M255" s="1" t="str">
        <f t="shared" si="1"/>
        <v>marker</v>
      </c>
      <c r="N255" s="1">
        <f t="shared" si="2"/>
        <v>6</v>
      </c>
    </row>
    <row r="256" spans="1:14" x14ac:dyDescent="0.3">
      <c r="A256" s="1" t="s">
        <v>32</v>
      </c>
      <c r="B256" s="1" t="s">
        <v>17</v>
      </c>
      <c r="C256" s="1" t="s">
        <v>18</v>
      </c>
      <c r="D256" s="1" t="s">
        <v>19</v>
      </c>
      <c r="E256" s="1">
        <v>1</v>
      </c>
      <c r="F256" s="1">
        <v>2240</v>
      </c>
      <c r="G256" s="1">
        <v>5</v>
      </c>
      <c r="H256" s="2">
        <v>46091</v>
      </c>
      <c r="I256" s="2">
        <v>46095</v>
      </c>
      <c r="J256" s="1" t="s">
        <v>20</v>
      </c>
      <c r="K256" s="1">
        <v>1255</v>
      </c>
      <c r="L256" s="1" t="str">
        <f t="shared" si="0"/>
        <v>ASHA</v>
      </c>
      <c r="M256" s="1" t="str">
        <f t="shared" si="1"/>
        <v>desk</v>
      </c>
      <c r="N256" s="1">
        <f t="shared" si="2"/>
        <v>4</v>
      </c>
    </row>
    <row r="257" spans="1:14" x14ac:dyDescent="0.3">
      <c r="A257" s="1" t="s">
        <v>48</v>
      </c>
      <c r="B257" s="1" t="s">
        <v>31</v>
      </c>
      <c r="C257" s="1" t="s">
        <v>13</v>
      </c>
      <c r="D257" s="1" t="s">
        <v>50</v>
      </c>
      <c r="E257" s="1">
        <v>19</v>
      </c>
      <c r="F257" s="1">
        <v>406</v>
      </c>
      <c r="G257" s="1">
        <v>7</v>
      </c>
      <c r="H257" s="2">
        <v>46057</v>
      </c>
      <c r="I257" s="2">
        <v>46061</v>
      </c>
      <c r="J257" s="1" t="s">
        <v>15</v>
      </c>
      <c r="K257" s="1">
        <v>1256</v>
      </c>
      <c r="L257" s="1" t="str">
        <f t="shared" ref="L257:L401" si="3">UPPER(A257)</f>
        <v>NITIN</v>
      </c>
      <c r="M257" s="1" t="str">
        <f t="shared" ref="M257:M401" si="4">LOWER(D257)</f>
        <v>marker</v>
      </c>
      <c r="N257" s="1">
        <f t="shared" ref="N257:N401" si="5">LEN(D257)</f>
        <v>6</v>
      </c>
    </row>
    <row r="258" spans="1:14" x14ac:dyDescent="0.3">
      <c r="A258" s="1" t="s">
        <v>54</v>
      </c>
      <c r="B258" s="1" t="s">
        <v>25</v>
      </c>
      <c r="C258" s="1" t="s">
        <v>34</v>
      </c>
      <c r="D258" s="1" t="s">
        <v>61</v>
      </c>
      <c r="E258" s="1">
        <v>7</v>
      </c>
      <c r="F258" s="1">
        <v>53243</v>
      </c>
      <c r="G258" s="1">
        <v>12</v>
      </c>
      <c r="H258" s="2">
        <v>46161</v>
      </c>
      <c r="I258" s="2">
        <v>46171</v>
      </c>
      <c r="J258" s="1" t="s">
        <v>15</v>
      </c>
      <c r="K258" s="1">
        <v>1257</v>
      </c>
      <c r="L258" s="1" t="str">
        <f t="shared" si="3"/>
        <v>MANOJ</v>
      </c>
      <c r="M258" s="1" t="str">
        <f t="shared" si="4"/>
        <v>mouse</v>
      </c>
      <c r="N258" s="1">
        <f t="shared" si="5"/>
        <v>5</v>
      </c>
    </row>
    <row r="259" spans="1:14" x14ac:dyDescent="0.3">
      <c r="A259" s="1" t="s">
        <v>32</v>
      </c>
      <c r="B259" s="1" t="s">
        <v>31</v>
      </c>
      <c r="C259" s="1" t="s">
        <v>34</v>
      </c>
      <c r="D259" s="1" t="s">
        <v>60</v>
      </c>
      <c r="E259" s="1">
        <v>1</v>
      </c>
      <c r="F259" s="1">
        <v>10600</v>
      </c>
      <c r="G259" s="1">
        <v>5</v>
      </c>
      <c r="H259" s="2">
        <v>46137</v>
      </c>
      <c r="I259" s="2">
        <v>46138</v>
      </c>
      <c r="J259" s="1" t="s">
        <v>29</v>
      </c>
      <c r="K259" s="1">
        <v>1258</v>
      </c>
      <c r="L259" s="1" t="str">
        <f t="shared" si="3"/>
        <v>ASHA</v>
      </c>
      <c r="M259" s="1" t="str">
        <f t="shared" si="4"/>
        <v>laptop</v>
      </c>
      <c r="N259" s="1">
        <f t="shared" si="5"/>
        <v>6</v>
      </c>
    </row>
    <row r="260" spans="1:14" x14ac:dyDescent="0.3">
      <c r="A260" s="1" t="s">
        <v>42</v>
      </c>
      <c r="B260" s="1" t="s">
        <v>22</v>
      </c>
      <c r="C260" s="1" t="s">
        <v>34</v>
      </c>
      <c r="D260" s="1" t="s">
        <v>45</v>
      </c>
      <c r="E260" s="1">
        <v>10</v>
      </c>
      <c r="F260" s="1">
        <v>38771</v>
      </c>
      <c r="G260" s="1">
        <v>15</v>
      </c>
      <c r="H260" s="2">
        <v>46172</v>
      </c>
      <c r="I260" s="2">
        <v>46182</v>
      </c>
      <c r="J260" s="1" t="s">
        <v>15</v>
      </c>
      <c r="K260" s="1">
        <v>1259</v>
      </c>
      <c r="L260" s="1" t="str">
        <f t="shared" si="3"/>
        <v>NISHA</v>
      </c>
      <c r="M260" s="1" t="str">
        <f t="shared" si="4"/>
        <v>monitor</v>
      </c>
      <c r="N260" s="1">
        <f t="shared" si="5"/>
        <v>7</v>
      </c>
    </row>
    <row r="261" spans="1:14" x14ac:dyDescent="0.3">
      <c r="A261" s="1" t="s">
        <v>54</v>
      </c>
      <c r="B261" s="1" t="s">
        <v>38</v>
      </c>
      <c r="C261" s="1" t="s">
        <v>34</v>
      </c>
      <c r="D261" s="1" t="s">
        <v>41</v>
      </c>
      <c r="E261" s="1">
        <v>19</v>
      </c>
      <c r="F261" s="1">
        <v>54981</v>
      </c>
      <c r="G261" s="1">
        <v>10</v>
      </c>
      <c r="H261" s="2">
        <v>46040</v>
      </c>
      <c r="I261" s="2">
        <v>46045</v>
      </c>
      <c r="J261" s="1" t="s">
        <v>29</v>
      </c>
      <c r="K261" s="1">
        <v>1260</v>
      </c>
      <c r="L261" s="1" t="str">
        <f t="shared" si="3"/>
        <v>MANOJ</v>
      </c>
      <c r="M261" s="1" t="str">
        <f t="shared" si="4"/>
        <v>headset</v>
      </c>
      <c r="N261" s="1">
        <f t="shared" si="5"/>
        <v>7</v>
      </c>
    </row>
    <row r="262" spans="1:14" x14ac:dyDescent="0.3">
      <c r="A262" s="1" t="s">
        <v>40</v>
      </c>
      <c r="B262" s="1" t="s">
        <v>17</v>
      </c>
      <c r="C262" s="1" t="s">
        <v>13</v>
      </c>
      <c r="D262" s="1" t="s">
        <v>50</v>
      </c>
      <c r="E262" s="1">
        <v>20</v>
      </c>
      <c r="F262" s="1">
        <v>162</v>
      </c>
      <c r="G262" s="1">
        <v>7</v>
      </c>
      <c r="H262" s="2">
        <v>46119</v>
      </c>
      <c r="I262" s="2">
        <v>46120</v>
      </c>
      <c r="J262" s="1" t="s">
        <v>51</v>
      </c>
      <c r="K262" s="1">
        <v>1261</v>
      </c>
      <c r="L262" s="1" t="str">
        <f t="shared" si="3"/>
        <v>DEEPAK</v>
      </c>
      <c r="M262" s="1" t="str">
        <f t="shared" si="4"/>
        <v>marker</v>
      </c>
      <c r="N262" s="1">
        <f t="shared" si="5"/>
        <v>6</v>
      </c>
    </row>
    <row r="263" spans="1:14" x14ac:dyDescent="0.3">
      <c r="A263" s="1" t="s">
        <v>16</v>
      </c>
      <c r="B263" s="1" t="s">
        <v>22</v>
      </c>
      <c r="C263" s="1" t="s">
        <v>18</v>
      </c>
      <c r="D263" s="1" t="s">
        <v>28</v>
      </c>
      <c r="E263" s="1">
        <v>9</v>
      </c>
      <c r="F263" s="1">
        <v>2231</v>
      </c>
      <c r="G263" s="1">
        <v>15</v>
      </c>
      <c r="H263" s="2">
        <v>46174</v>
      </c>
      <c r="I263" s="2">
        <v>46183</v>
      </c>
      <c r="J263" s="1" t="s">
        <v>15</v>
      </c>
      <c r="K263" s="1">
        <v>1262</v>
      </c>
      <c r="L263" s="1" t="str">
        <f t="shared" si="3"/>
        <v>POOJA</v>
      </c>
      <c r="M263" s="1" t="str">
        <f t="shared" si="4"/>
        <v>chair</v>
      </c>
      <c r="N263" s="1">
        <f t="shared" si="5"/>
        <v>5</v>
      </c>
    </row>
    <row r="264" spans="1:14" x14ac:dyDescent="0.3">
      <c r="A264" s="1" t="s">
        <v>29</v>
      </c>
      <c r="B264" s="1" t="s">
        <v>38</v>
      </c>
      <c r="C264" s="1" t="s">
        <v>18</v>
      </c>
      <c r="D264" s="1" t="s">
        <v>28</v>
      </c>
      <c r="E264" s="1">
        <v>10</v>
      </c>
      <c r="F264" s="1">
        <v>1505</v>
      </c>
      <c r="G264" s="1">
        <v>0</v>
      </c>
      <c r="H264" s="2">
        <v>46130</v>
      </c>
      <c r="I264" s="2">
        <v>46138</v>
      </c>
      <c r="J264" s="1" t="s">
        <v>51</v>
      </c>
      <c r="K264" s="1">
        <v>1263</v>
      </c>
      <c r="L264" s="1" t="str">
        <f t="shared" si="3"/>
        <v>PRIYA</v>
      </c>
      <c r="M264" s="1" t="str">
        <f t="shared" si="4"/>
        <v>chair</v>
      </c>
      <c r="N264" s="1">
        <f t="shared" si="5"/>
        <v>5</v>
      </c>
    </row>
    <row r="265" spans="1:14" x14ac:dyDescent="0.3">
      <c r="A265" s="1" t="s">
        <v>11</v>
      </c>
      <c r="B265" s="1" t="s">
        <v>22</v>
      </c>
      <c r="C265" s="1" t="s">
        <v>18</v>
      </c>
      <c r="D265" s="1" t="s">
        <v>28</v>
      </c>
      <c r="E265" s="1">
        <v>15</v>
      </c>
      <c r="F265" s="1">
        <v>6365</v>
      </c>
      <c r="G265" s="1">
        <v>10</v>
      </c>
      <c r="H265" s="2">
        <v>46200</v>
      </c>
      <c r="I265" s="2">
        <v>46206</v>
      </c>
      <c r="J265" s="1" t="s">
        <v>20</v>
      </c>
      <c r="K265" s="1">
        <v>1264</v>
      </c>
      <c r="L265" s="1" t="str">
        <f t="shared" si="3"/>
        <v>RITESH</v>
      </c>
      <c r="M265" s="1" t="str">
        <f t="shared" si="4"/>
        <v>chair</v>
      </c>
      <c r="N265" s="1">
        <f t="shared" si="5"/>
        <v>5</v>
      </c>
    </row>
    <row r="266" spans="1:14" x14ac:dyDescent="0.3">
      <c r="A266" s="1" t="s">
        <v>58</v>
      </c>
      <c r="B266" s="1" t="s">
        <v>22</v>
      </c>
      <c r="C266" s="1" t="s">
        <v>18</v>
      </c>
      <c r="D266" s="1" t="s">
        <v>19</v>
      </c>
      <c r="E266" s="1">
        <v>1</v>
      </c>
      <c r="F266" s="1">
        <v>1052</v>
      </c>
      <c r="G266" s="1">
        <v>7</v>
      </c>
      <c r="H266" s="2">
        <v>46117</v>
      </c>
      <c r="I266" s="2">
        <v>46127</v>
      </c>
      <c r="J266" s="1" t="s">
        <v>51</v>
      </c>
      <c r="K266" s="1">
        <v>1265</v>
      </c>
      <c r="L266" s="1" t="str">
        <f t="shared" si="3"/>
        <v>ROHAN</v>
      </c>
      <c r="M266" s="1" t="str">
        <f t="shared" si="4"/>
        <v>desk</v>
      </c>
      <c r="N266" s="1">
        <f t="shared" si="5"/>
        <v>4</v>
      </c>
    </row>
    <row r="267" spans="1:14" x14ac:dyDescent="0.3">
      <c r="A267" s="1" t="s">
        <v>29</v>
      </c>
      <c r="B267" s="1" t="s">
        <v>33</v>
      </c>
      <c r="C267" s="1" t="s">
        <v>13</v>
      </c>
      <c r="D267" s="1" t="s">
        <v>14</v>
      </c>
      <c r="E267" s="1">
        <v>17</v>
      </c>
      <c r="F267" s="1">
        <v>365</v>
      </c>
      <c r="G267" s="1">
        <v>2</v>
      </c>
      <c r="H267" s="2">
        <v>46096</v>
      </c>
      <c r="I267" s="2">
        <v>46104</v>
      </c>
      <c r="J267" s="1" t="s">
        <v>51</v>
      </c>
      <c r="K267" s="1">
        <v>1266</v>
      </c>
      <c r="L267" s="1" t="str">
        <f t="shared" si="3"/>
        <v>PRIYA</v>
      </c>
      <c r="M267" s="1" t="str">
        <f t="shared" si="4"/>
        <v>notebook</v>
      </c>
      <c r="N267" s="1">
        <f t="shared" si="5"/>
        <v>8</v>
      </c>
    </row>
    <row r="268" spans="1:14" x14ac:dyDescent="0.3">
      <c r="A268" s="1" t="s">
        <v>27</v>
      </c>
      <c r="B268" s="1" t="s">
        <v>38</v>
      </c>
      <c r="C268" s="1" t="s">
        <v>13</v>
      </c>
      <c r="D268" s="1" t="s">
        <v>50</v>
      </c>
      <c r="E268" s="1">
        <v>1</v>
      </c>
      <c r="F268" s="1">
        <v>50</v>
      </c>
      <c r="G268" s="1">
        <v>0</v>
      </c>
      <c r="H268" s="2">
        <v>46129</v>
      </c>
      <c r="I268" s="2">
        <v>46138</v>
      </c>
      <c r="J268" s="1" t="s">
        <v>20</v>
      </c>
      <c r="K268" s="1">
        <v>1267</v>
      </c>
      <c r="L268" s="1" t="str">
        <f t="shared" si="3"/>
        <v>ARJUN</v>
      </c>
      <c r="M268" s="1" t="str">
        <f t="shared" si="4"/>
        <v>marker</v>
      </c>
      <c r="N268" s="1">
        <f t="shared" si="5"/>
        <v>6</v>
      </c>
    </row>
    <row r="269" spans="1:14" x14ac:dyDescent="0.3">
      <c r="A269" s="1" t="s">
        <v>42</v>
      </c>
      <c r="B269" s="1" t="s">
        <v>38</v>
      </c>
      <c r="C269" s="1" t="s">
        <v>34</v>
      </c>
      <c r="D269" s="1" t="s">
        <v>45</v>
      </c>
      <c r="E269" s="1">
        <v>10</v>
      </c>
      <c r="F269" s="1">
        <v>46291</v>
      </c>
      <c r="G269" s="1">
        <v>12</v>
      </c>
      <c r="H269" s="2">
        <v>46199</v>
      </c>
      <c r="I269" s="2">
        <v>46202</v>
      </c>
      <c r="J269" s="1" t="s">
        <v>20</v>
      </c>
      <c r="K269" s="1">
        <v>1268</v>
      </c>
      <c r="L269" s="1" t="str">
        <f t="shared" si="3"/>
        <v>NISHA</v>
      </c>
      <c r="M269" s="1" t="str">
        <f t="shared" si="4"/>
        <v>monitor</v>
      </c>
      <c r="N269" s="1">
        <f t="shared" si="5"/>
        <v>7</v>
      </c>
    </row>
    <row r="270" spans="1:14" x14ac:dyDescent="0.3">
      <c r="A270" s="1" t="s">
        <v>52</v>
      </c>
      <c r="B270" s="1" t="s">
        <v>43</v>
      </c>
      <c r="C270" s="1" t="s">
        <v>18</v>
      </c>
      <c r="D270" s="1" t="s">
        <v>19</v>
      </c>
      <c r="E270" s="1">
        <v>14</v>
      </c>
      <c r="F270" s="1">
        <v>5704</v>
      </c>
      <c r="G270" s="1">
        <v>2</v>
      </c>
      <c r="H270" s="2">
        <v>46129</v>
      </c>
      <c r="I270" s="2">
        <v>46131</v>
      </c>
      <c r="J270" s="1" t="s">
        <v>15</v>
      </c>
      <c r="K270" s="1">
        <v>1269</v>
      </c>
      <c r="L270" s="1" t="str">
        <f t="shared" si="3"/>
        <v>KOMAL</v>
      </c>
      <c r="M270" s="1" t="str">
        <f t="shared" si="4"/>
        <v>desk</v>
      </c>
      <c r="N270" s="1">
        <f t="shared" si="5"/>
        <v>4</v>
      </c>
    </row>
    <row r="271" spans="1:14" x14ac:dyDescent="0.3">
      <c r="A271" s="1" t="s">
        <v>49</v>
      </c>
      <c r="B271" s="1" t="s">
        <v>43</v>
      </c>
      <c r="C271" s="1" t="s">
        <v>34</v>
      </c>
      <c r="D271" s="1" t="s">
        <v>35</v>
      </c>
      <c r="E271" s="1">
        <v>16</v>
      </c>
      <c r="F271" s="1">
        <v>62941</v>
      </c>
      <c r="G271" s="1">
        <v>7</v>
      </c>
      <c r="H271" s="2">
        <v>46135</v>
      </c>
      <c r="I271" s="2">
        <v>46141</v>
      </c>
      <c r="J271" s="1" t="s">
        <v>51</v>
      </c>
      <c r="K271" s="1">
        <v>1270</v>
      </c>
      <c r="L271" s="1" t="str">
        <f t="shared" si="3"/>
        <v>AJAY</v>
      </c>
      <c r="M271" s="1" t="str">
        <f t="shared" si="4"/>
        <v>printer</v>
      </c>
      <c r="N271" s="1">
        <f t="shared" si="5"/>
        <v>7</v>
      </c>
    </row>
    <row r="272" spans="1:14" x14ac:dyDescent="0.3">
      <c r="A272" s="1" t="s">
        <v>40</v>
      </c>
      <c r="B272" s="1" t="s">
        <v>33</v>
      </c>
      <c r="C272" s="1" t="s">
        <v>34</v>
      </c>
      <c r="D272" s="1" t="s">
        <v>60</v>
      </c>
      <c r="E272" s="1">
        <v>20</v>
      </c>
      <c r="F272" s="1">
        <v>36941</v>
      </c>
      <c r="G272" s="1">
        <v>15</v>
      </c>
      <c r="H272" s="2">
        <v>46083</v>
      </c>
      <c r="I272" s="2">
        <v>46085</v>
      </c>
      <c r="J272" s="1" t="s">
        <v>29</v>
      </c>
      <c r="K272" s="1">
        <v>1271</v>
      </c>
      <c r="L272" s="1" t="str">
        <f t="shared" si="3"/>
        <v>DEEPAK</v>
      </c>
      <c r="M272" s="1" t="str">
        <f t="shared" si="4"/>
        <v>laptop</v>
      </c>
      <c r="N272" s="1">
        <f t="shared" si="5"/>
        <v>6</v>
      </c>
    </row>
    <row r="273" spans="1:14" x14ac:dyDescent="0.3">
      <c r="A273" s="1" t="s">
        <v>52</v>
      </c>
      <c r="B273" s="1" t="s">
        <v>38</v>
      </c>
      <c r="C273" s="1" t="s">
        <v>34</v>
      </c>
      <c r="D273" s="1" t="s">
        <v>41</v>
      </c>
      <c r="E273" s="1">
        <v>13</v>
      </c>
      <c r="F273" s="1">
        <v>42179</v>
      </c>
      <c r="G273" s="1">
        <v>0</v>
      </c>
      <c r="H273" s="2">
        <v>46078</v>
      </c>
      <c r="I273" s="2">
        <v>46084</v>
      </c>
      <c r="J273" s="1" t="s">
        <v>20</v>
      </c>
      <c r="K273" s="1">
        <v>1272</v>
      </c>
      <c r="L273" s="1" t="str">
        <f t="shared" si="3"/>
        <v>KOMAL</v>
      </c>
      <c r="M273" s="1" t="str">
        <f t="shared" si="4"/>
        <v>headset</v>
      </c>
      <c r="N273" s="1">
        <f t="shared" si="5"/>
        <v>7</v>
      </c>
    </row>
    <row r="274" spans="1:14" x14ac:dyDescent="0.3">
      <c r="A274" s="1" t="s">
        <v>46</v>
      </c>
      <c r="B274" s="1" t="s">
        <v>25</v>
      </c>
      <c r="C274" s="1" t="s">
        <v>34</v>
      </c>
      <c r="D274" s="1" t="s">
        <v>39</v>
      </c>
      <c r="E274" s="1">
        <v>12</v>
      </c>
      <c r="F274" s="1">
        <v>20618</v>
      </c>
      <c r="G274" s="1">
        <v>12</v>
      </c>
      <c r="H274" s="2">
        <v>46172</v>
      </c>
      <c r="I274" s="2">
        <v>46174</v>
      </c>
      <c r="J274" s="1" t="s">
        <v>20</v>
      </c>
      <c r="K274" s="1">
        <v>1273</v>
      </c>
      <c r="L274" s="1" t="str">
        <f t="shared" si="3"/>
        <v>KIRAN</v>
      </c>
      <c r="M274" s="1" t="str">
        <f t="shared" si="4"/>
        <v>keyboard</v>
      </c>
      <c r="N274" s="1">
        <f t="shared" si="5"/>
        <v>8</v>
      </c>
    </row>
    <row r="275" spans="1:14" x14ac:dyDescent="0.3">
      <c r="A275" s="1" t="s">
        <v>26</v>
      </c>
      <c r="B275" s="1" t="s">
        <v>25</v>
      </c>
      <c r="C275" s="1" t="s">
        <v>34</v>
      </c>
      <c r="D275" s="1" t="s">
        <v>41</v>
      </c>
      <c r="E275" s="1">
        <v>13</v>
      </c>
      <c r="F275" s="1">
        <v>36652</v>
      </c>
      <c r="G275" s="1">
        <v>12</v>
      </c>
      <c r="H275" s="2">
        <v>46179</v>
      </c>
      <c r="I275" s="2">
        <v>46186</v>
      </c>
      <c r="J275" s="1" t="s">
        <v>20</v>
      </c>
      <c r="K275" s="1">
        <v>1274</v>
      </c>
      <c r="L275" s="1" t="str">
        <f t="shared" si="3"/>
        <v>VIKRAM</v>
      </c>
      <c r="M275" s="1" t="str">
        <f t="shared" si="4"/>
        <v>headset</v>
      </c>
      <c r="N275" s="1">
        <f t="shared" si="5"/>
        <v>7</v>
      </c>
    </row>
    <row r="276" spans="1:14" x14ac:dyDescent="0.3">
      <c r="A276" s="1" t="s">
        <v>16</v>
      </c>
      <c r="B276" s="1" t="s">
        <v>31</v>
      </c>
      <c r="C276" s="1" t="s">
        <v>13</v>
      </c>
      <c r="D276" s="1" t="s">
        <v>50</v>
      </c>
      <c r="E276" s="1">
        <v>20</v>
      </c>
      <c r="F276" s="1">
        <v>451</v>
      </c>
      <c r="G276" s="1">
        <v>15</v>
      </c>
      <c r="H276" s="2">
        <v>46092</v>
      </c>
      <c r="I276" s="2">
        <v>46094</v>
      </c>
      <c r="J276" s="1" t="s">
        <v>20</v>
      </c>
      <c r="K276" s="1">
        <v>1275</v>
      </c>
      <c r="L276" s="1" t="str">
        <f t="shared" si="3"/>
        <v>POOJA</v>
      </c>
      <c r="M276" s="1" t="str">
        <f t="shared" si="4"/>
        <v>marker</v>
      </c>
      <c r="N276" s="1">
        <f t="shared" si="5"/>
        <v>6</v>
      </c>
    </row>
    <row r="277" spans="1:14" x14ac:dyDescent="0.3">
      <c r="A277" s="1" t="s">
        <v>40</v>
      </c>
      <c r="B277" s="1" t="s">
        <v>12</v>
      </c>
      <c r="C277" s="1" t="s">
        <v>18</v>
      </c>
      <c r="D277" s="1" t="s">
        <v>19</v>
      </c>
      <c r="E277" s="1">
        <v>1</v>
      </c>
      <c r="F277" s="1">
        <v>13437</v>
      </c>
      <c r="G277" s="1">
        <v>15</v>
      </c>
      <c r="H277" s="2">
        <v>46097</v>
      </c>
      <c r="I277" s="2">
        <v>46099</v>
      </c>
      <c r="J277" s="1" t="s">
        <v>24</v>
      </c>
      <c r="K277" s="1">
        <v>1276</v>
      </c>
      <c r="L277" s="1" t="str">
        <f t="shared" si="3"/>
        <v>DEEPAK</v>
      </c>
      <c r="M277" s="1" t="str">
        <f t="shared" si="4"/>
        <v>desk</v>
      </c>
      <c r="N277" s="1">
        <f t="shared" si="5"/>
        <v>4</v>
      </c>
    </row>
    <row r="278" spans="1:14" x14ac:dyDescent="0.3">
      <c r="A278" s="1" t="s">
        <v>59</v>
      </c>
      <c r="B278" s="1" t="s">
        <v>17</v>
      </c>
      <c r="C278" s="1" t="s">
        <v>13</v>
      </c>
      <c r="D278" s="1" t="s">
        <v>36</v>
      </c>
      <c r="E278" s="1">
        <v>14</v>
      </c>
      <c r="F278" s="1">
        <v>276</v>
      </c>
      <c r="G278" s="1">
        <v>0</v>
      </c>
      <c r="H278" s="2">
        <v>46086</v>
      </c>
      <c r="I278" s="2">
        <v>46089</v>
      </c>
      <c r="J278" s="1" t="s">
        <v>15</v>
      </c>
      <c r="K278" s="1">
        <v>1277</v>
      </c>
      <c r="L278" s="1" t="str">
        <f t="shared" si="3"/>
        <v>ANITA</v>
      </c>
      <c r="M278" s="1" t="str">
        <f t="shared" si="4"/>
        <v>stapler</v>
      </c>
      <c r="N278" s="1">
        <f t="shared" si="5"/>
        <v>7</v>
      </c>
    </row>
    <row r="279" spans="1:14" x14ac:dyDescent="0.3">
      <c r="A279" s="1" t="s">
        <v>47</v>
      </c>
      <c r="B279" s="1" t="s">
        <v>22</v>
      </c>
      <c r="C279" s="1" t="s">
        <v>34</v>
      </c>
      <c r="D279" s="1" t="s">
        <v>61</v>
      </c>
      <c r="E279" s="1">
        <v>4</v>
      </c>
      <c r="F279" s="1">
        <v>20639</v>
      </c>
      <c r="G279" s="1">
        <v>7</v>
      </c>
      <c r="H279" s="2">
        <v>46180</v>
      </c>
      <c r="I279" s="2">
        <v>46186</v>
      </c>
      <c r="J279" s="1" t="s">
        <v>20</v>
      </c>
      <c r="K279" s="1">
        <v>1278</v>
      </c>
      <c r="L279" s="1" t="str">
        <f t="shared" si="3"/>
        <v>YASH</v>
      </c>
      <c r="M279" s="1" t="str">
        <f t="shared" si="4"/>
        <v>mouse</v>
      </c>
      <c r="N279" s="1">
        <f t="shared" si="5"/>
        <v>5</v>
      </c>
    </row>
    <row r="280" spans="1:14" x14ac:dyDescent="0.3">
      <c r="A280" s="1" t="s">
        <v>55</v>
      </c>
      <c r="B280" s="1" t="s">
        <v>33</v>
      </c>
      <c r="C280" s="1" t="s">
        <v>34</v>
      </c>
      <c r="D280" s="1" t="s">
        <v>45</v>
      </c>
      <c r="E280" s="1">
        <v>20</v>
      </c>
      <c r="F280" s="1">
        <v>49042</v>
      </c>
      <c r="G280" s="1">
        <v>2</v>
      </c>
      <c r="H280" s="2">
        <v>46124</v>
      </c>
      <c r="I280" s="2">
        <v>46126</v>
      </c>
      <c r="J280" s="1" t="s">
        <v>15</v>
      </c>
      <c r="K280" s="1">
        <v>1279</v>
      </c>
      <c r="L280" s="1" t="str">
        <f t="shared" si="3"/>
        <v>SNEHA</v>
      </c>
      <c r="M280" s="1" t="str">
        <f t="shared" si="4"/>
        <v>monitor</v>
      </c>
      <c r="N280" s="1">
        <f t="shared" si="5"/>
        <v>7</v>
      </c>
    </row>
    <row r="281" spans="1:14" x14ac:dyDescent="0.3">
      <c r="A281" s="1" t="s">
        <v>59</v>
      </c>
      <c r="B281" s="1" t="s">
        <v>38</v>
      </c>
      <c r="C281" s="1" t="s">
        <v>13</v>
      </c>
      <c r="D281" s="1" t="s">
        <v>53</v>
      </c>
      <c r="E281" s="1">
        <v>9</v>
      </c>
      <c r="F281" s="1">
        <v>50</v>
      </c>
      <c r="G281" s="1">
        <v>7</v>
      </c>
      <c r="H281" s="2">
        <v>46085</v>
      </c>
      <c r="I281" s="2">
        <v>46095</v>
      </c>
      <c r="J281" s="1" t="s">
        <v>51</v>
      </c>
      <c r="K281" s="1">
        <v>1280</v>
      </c>
      <c r="L281" s="1" t="str">
        <f t="shared" si="3"/>
        <v>ANITA</v>
      </c>
      <c r="M281" s="1" t="str">
        <f t="shared" si="4"/>
        <v>diary</v>
      </c>
      <c r="N281" s="1">
        <f t="shared" si="5"/>
        <v>5</v>
      </c>
    </row>
    <row r="282" spans="1:14" x14ac:dyDescent="0.3">
      <c r="A282" s="1" t="s">
        <v>55</v>
      </c>
      <c r="B282" s="1" t="s">
        <v>17</v>
      </c>
      <c r="C282" s="1" t="s">
        <v>13</v>
      </c>
      <c r="D282" s="1" t="s">
        <v>50</v>
      </c>
      <c r="E282" s="1">
        <v>6</v>
      </c>
      <c r="F282" s="1">
        <v>253</v>
      </c>
      <c r="G282" s="1">
        <v>0</v>
      </c>
      <c r="H282" s="2">
        <v>46055</v>
      </c>
      <c r="I282" s="2">
        <v>46063</v>
      </c>
      <c r="J282" s="1" t="s">
        <v>24</v>
      </c>
      <c r="K282" s="1">
        <v>1281</v>
      </c>
      <c r="L282" s="1" t="str">
        <f t="shared" si="3"/>
        <v>SNEHA</v>
      </c>
      <c r="M282" s="1" t="str">
        <f t="shared" si="4"/>
        <v>marker</v>
      </c>
      <c r="N282" s="1">
        <f t="shared" si="5"/>
        <v>6</v>
      </c>
    </row>
    <row r="283" spans="1:14" x14ac:dyDescent="0.3">
      <c r="A283" s="1" t="s">
        <v>57</v>
      </c>
      <c r="B283" s="1" t="s">
        <v>43</v>
      </c>
      <c r="C283" s="1" t="s">
        <v>18</v>
      </c>
      <c r="D283" s="1" t="s">
        <v>44</v>
      </c>
      <c r="E283" s="1">
        <v>12</v>
      </c>
      <c r="F283" s="1">
        <v>3178</v>
      </c>
      <c r="G283" s="1">
        <v>10</v>
      </c>
      <c r="H283" s="2">
        <v>46176</v>
      </c>
      <c r="I283" s="2">
        <v>46177</v>
      </c>
      <c r="J283" s="1" t="s">
        <v>29</v>
      </c>
      <c r="K283" s="1">
        <v>1282</v>
      </c>
      <c r="L283" s="1" t="str">
        <f t="shared" si="3"/>
        <v>SARA</v>
      </c>
      <c r="M283" s="1" t="str">
        <f t="shared" si="4"/>
        <v>bookshelf</v>
      </c>
      <c r="N283" s="1">
        <f t="shared" si="5"/>
        <v>9</v>
      </c>
    </row>
    <row r="284" spans="1:14" x14ac:dyDescent="0.3">
      <c r="A284" s="1" t="s">
        <v>40</v>
      </c>
      <c r="B284" s="1" t="s">
        <v>12</v>
      </c>
      <c r="C284" s="1" t="s">
        <v>18</v>
      </c>
      <c r="D284" s="1" t="s">
        <v>23</v>
      </c>
      <c r="E284" s="1">
        <v>6</v>
      </c>
      <c r="F284" s="1">
        <v>1167</v>
      </c>
      <c r="G284" s="1">
        <v>2</v>
      </c>
      <c r="H284" s="2">
        <v>46100</v>
      </c>
      <c r="I284" s="2">
        <v>46106</v>
      </c>
      <c r="J284" s="1" t="s">
        <v>15</v>
      </c>
      <c r="K284" s="1">
        <v>1283</v>
      </c>
      <c r="L284" s="1" t="str">
        <f t="shared" si="3"/>
        <v>DEEPAK</v>
      </c>
      <c r="M284" s="1" t="str">
        <f t="shared" si="4"/>
        <v>table</v>
      </c>
      <c r="N284" s="1">
        <f t="shared" si="5"/>
        <v>5</v>
      </c>
    </row>
    <row r="285" spans="1:14" x14ac:dyDescent="0.3">
      <c r="A285" s="1" t="s">
        <v>40</v>
      </c>
      <c r="B285" s="1" t="s">
        <v>25</v>
      </c>
      <c r="C285" s="1" t="s">
        <v>13</v>
      </c>
      <c r="D285" s="1" t="s">
        <v>37</v>
      </c>
      <c r="E285" s="1">
        <v>16</v>
      </c>
      <c r="F285" s="1">
        <v>419</v>
      </c>
      <c r="G285" s="1">
        <v>2</v>
      </c>
      <c r="H285" s="2">
        <v>46082</v>
      </c>
      <c r="I285" s="2">
        <v>46090</v>
      </c>
      <c r="J285" s="1" t="s">
        <v>15</v>
      </c>
      <c r="K285" s="1">
        <v>1284</v>
      </c>
      <c r="L285" s="1" t="str">
        <f t="shared" si="3"/>
        <v>DEEPAK</v>
      </c>
      <c r="M285" s="1" t="str">
        <f t="shared" si="4"/>
        <v>pen pack</v>
      </c>
      <c r="N285" s="1">
        <f t="shared" si="5"/>
        <v>8</v>
      </c>
    </row>
    <row r="286" spans="1:14" x14ac:dyDescent="0.3">
      <c r="A286" s="1" t="s">
        <v>32</v>
      </c>
      <c r="B286" s="1" t="s">
        <v>38</v>
      </c>
      <c r="C286" s="1" t="s">
        <v>13</v>
      </c>
      <c r="D286" s="1" t="s">
        <v>36</v>
      </c>
      <c r="E286" s="1">
        <v>7</v>
      </c>
      <c r="F286" s="1">
        <v>439</v>
      </c>
      <c r="G286" s="1">
        <v>15</v>
      </c>
      <c r="H286" s="2">
        <v>46055</v>
      </c>
      <c r="I286" s="2">
        <v>46058</v>
      </c>
      <c r="J286" s="1" t="s">
        <v>20</v>
      </c>
      <c r="K286" s="1">
        <v>1285</v>
      </c>
      <c r="L286" s="1" t="str">
        <f t="shared" si="3"/>
        <v>ASHA</v>
      </c>
      <c r="M286" s="1" t="str">
        <f t="shared" si="4"/>
        <v>stapler</v>
      </c>
      <c r="N286" s="1">
        <f t="shared" si="5"/>
        <v>7</v>
      </c>
    </row>
    <row r="287" spans="1:14" x14ac:dyDescent="0.3">
      <c r="A287" s="1" t="s">
        <v>46</v>
      </c>
      <c r="B287" s="1" t="s">
        <v>17</v>
      </c>
      <c r="C287" s="1" t="s">
        <v>18</v>
      </c>
      <c r="D287" s="1" t="s">
        <v>56</v>
      </c>
      <c r="E287" s="1">
        <v>9</v>
      </c>
      <c r="F287" s="1">
        <v>1340</v>
      </c>
      <c r="G287" s="1">
        <v>2</v>
      </c>
      <c r="H287" s="2">
        <v>46168</v>
      </c>
      <c r="I287" s="2">
        <v>46173</v>
      </c>
      <c r="J287" s="1" t="s">
        <v>15</v>
      </c>
      <c r="K287" s="1">
        <v>1286</v>
      </c>
      <c r="L287" s="1" t="str">
        <f t="shared" si="3"/>
        <v>KIRAN</v>
      </c>
      <c r="M287" s="1" t="str">
        <f t="shared" si="4"/>
        <v>cabinet</v>
      </c>
      <c r="N287" s="1">
        <f t="shared" si="5"/>
        <v>7</v>
      </c>
    </row>
    <row r="288" spans="1:14" x14ac:dyDescent="0.3">
      <c r="A288" s="1" t="s">
        <v>59</v>
      </c>
      <c r="B288" s="1" t="s">
        <v>31</v>
      </c>
      <c r="C288" s="1" t="s">
        <v>13</v>
      </c>
      <c r="D288" s="1" t="s">
        <v>14</v>
      </c>
      <c r="E288" s="1">
        <v>15</v>
      </c>
      <c r="F288" s="1">
        <v>251</v>
      </c>
      <c r="G288" s="1">
        <v>2</v>
      </c>
      <c r="H288" s="2">
        <v>46116</v>
      </c>
      <c r="I288" s="2">
        <v>46122</v>
      </c>
      <c r="J288" s="1" t="s">
        <v>51</v>
      </c>
      <c r="K288" s="1">
        <v>1287</v>
      </c>
      <c r="L288" s="1" t="str">
        <f t="shared" si="3"/>
        <v>ANITA</v>
      </c>
      <c r="M288" s="1" t="str">
        <f t="shared" si="4"/>
        <v>notebook</v>
      </c>
      <c r="N288" s="1">
        <f t="shared" si="5"/>
        <v>8</v>
      </c>
    </row>
    <row r="289" spans="1:14" x14ac:dyDescent="0.3">
      <c r="A289" s="1" t="s">
        <v>54</v>
      </c>
      <c r="B289" s="1" t="s">
        <v>22</v>
      </c>
      <c r="C289" s="1" t="s">
        <v>34</v>
      </c>
      <c r="D289" s="1" t="s">
        <v>60</v>
      </c>
      <c r="E289" s="1">
        <v>14</v>
      </c>
      <c r="F289" s="1">
        <v>35601</v>
      </c>
      <c r="G289" s="1">
        <v>10</v>
      </c>
      <c r="H289" s="2">
        <v>46179</v>
      </c>
      <c r="I289" s="2">
        <v>46187</v>
      </c>
      <c r="J289" s="1" t="s">
        <v>29</v>
      </c>
      <c r="K289" s="1">
        <v>1288</v>
      </c>
      <c r="L289" s="1" t="str">
        <f t="shared" si="3"/>
        <v>MANOJ</v>
      </c>
      <c r="M289" s="1" t="str">
        <f t="shared" si="4"/>
        <v>laptop</v>
      </c>
      <c r="N289" s="1">
        <f t="shared" si="5"/>
        <v>6</v>
      </c>
    </row>
    <row r="290" spans="1:14" x14ac:dyDescent="0.3">
      <c r="A290" s="1" t="s">
        <v>26</v>
      </c>
      <c r="B290" s="1" t="s">
        <v>22</v>
      </c>
      <c r="C290" s="1" t="s">
        <v>34</v>
      </c>
      <c r="D290" s="1" t="s">
        <v>45</v>
      </c>
      <c r="E290" s="1">
        <v>19</v>
      </c>
      <c r="F290" s="1">
        <v>25336</v>
      </c>
      <c r="G290" s="1">
        <v>2</v>
      </c>
      <c r="H290" s="2">
        <v>46122</v>
      </c>
      <c r="I290" s="2">
        <v>46130</v>
      </c>
      <c r="J290" s="1" t="s">
        <v>24</v>
      </c>
      <c r="K290" s="1">
        <v>1289</v>
      </c>
      <c r="L290" s="1" t="str">
        <f t="shared" si="3"/>
        <v>VIKRAM</v>
      </c>
      <c r="M290" s="1" t="str">
        <f t="shared" si="4"/>
        <v>monitor</v>
      </c>
      <c r="N290" s="1">
        <f t="shared" si="5"/>
        <v>7</v>
      </c>
    </row>
    <row r="291" spans="1:14" x14ac:dyDescent="0.3">
      <c r="A291" s="1" t="s">
        <v>26</v>
      </c>
      <c r="B291" s="1" t="s">
        <v>22</v>
      </c>
      <c r="C291" s="1" t="s">
        <v>34</v>
      </c>
      <c r="D291" s="1" t="s">
        <v>35</v>
      </c>
      <c r="E291" s="1">
        <v>3</v>
      </c>
      <c r="F291" s="1">
        <v>69793</v>
      </c>
      <c r="G291" s="1">
        <v>15</v>
      </c>
      <c r="H291" s="2">
        <v>46110</v>
      </c>
      <c r="I291" s="2">
        <v>46111</v>
      </c>
      <c r="J291" s="1" t="s">
        <v>29</v>
      </c>
      <c r="K291" s="1">
        <v>1290</v>
      </c>
      <c r="L291" s="1" t="str">
        <f t="shared" si="3"/>
        <v>VIKRAM</v>
      </c>
      <c r="M291" s="1" t="str">
        <f t="shared" si="4"/>
        <v>printer</v>
      </c>
      <c r="N291" s="1">
        <f t="shared" si="5"/>
        <v>7</v>
      </c>
    </row>
    <row r="292" spans="1:14" x14ac:dyDescent="0.3">
      <c r="A292" s="1" t="s">
        <v>21</v>
      </c>
      <c r="B292" s="1" t="s">
        <v>17</v>
      </c>
      <c r="C292" s="1" t="s">
        <v>13</v>
      </c>
      <c r="D292" s="1" t="s">
        <v>36</v>
      </c>
      <c r="E292" s="1">
        <v>17</v>
      </c>
      <c r="F292" s="1">
        <v>415</v>
      </c>
      <c r="G292" s="1">
        <v>5</v>
      </c>
      <c r="H292" s="2">
        <v>46137</v>
      </c>
      <c r="I292" s="2">
        <v>46141</v>
      </c>
      <c r="J292" s="1" t="s">
        <v>20</v>
      </c>
      <c r="K292" s="1">
        <v>1291</v>
      </c>
      <c r="L292" s="1" t="str">
        <f t="shared" si="3"/>
        <v>MEERA</v>
      </c>
      <c r="M292" s="1" t="str">
        <f t="shared" si="4"/>
        <v>stapler</v>
      </c>
      <c r="N292" s="1">
        <f t="shared" si="5"/>
        <v>7</v>
      </c>
    </row>
    <row r="293" spans="1:14" x14ac:dyDescent="0.3">
      <c r="A293" s="1" t="s">
        <v>54</v>
      </c>
      <c r="B293" s="1" t="s">
        <v>33</v>
      </c>
      <c r="C293" s="1" t="s">
        <v>34</v>
      </c>
      <c r="D293" s="1" t="s">
        <v>61</v>
      </c>
      <c r="E293" s="1">
        <v>11</v>
      </c>
      <c r="F293" s="1">
        <v>25158</v>
      </c>
      <c r="G293" s="1">
        <v>5</v>
      </c>
      <c r="H293" s="2">
        <v>46186</v>
      </c>
      <c r="I293" s="2">
        <v>46193</v>
      </c>
      <c r="J293" s="1" t="s">
        <v>20</v>
      </c>
      <c r="K293" s="1">
        <v>1292</v>
      </c>
      <c r="L293" s="1" t="str">
        <f t="shared" si="3"/>
        <v>MANOJ</v>
      </c>
      <c r="M293" s="1" t="str">
        <f t="shared" si="4"/>
        <v>mouse</v>
      </c>
      <c r="N293" s="1">
        <f t="shared" si="5"/>
        <v>5</v>
      </c>
    </row>
    <row r="294" spans="1:14" x14ac:dyDescent="0.3">
      <c r="A294" s="1" t="s">
        <v>49</v>
      </c>
      <c r="B294" s="1" t="s">
        <v>43</v>
      </c>
      <c r="C294" s="1" t="s">
        <v>18</v>
      </c>
      <c r="D294" s="1" t="s">
        <v>23</v>
      </c>
      <c r="E294" s="1">
        <v>7</v>
      </c>
      <c r="F294" s="1">
        <v>11481</v>
      </c>
      <c r="G294" s="1">
        <v>15</v>
      </c>
      <c r="H294" s="2">
        <v>46045</v>
      </c>
      <c r="I294" s="2">
        <v>46050</v>
      </c>
      <c r="J294" s="1" t="s">
        <v>20</v>
      </c>
      <c r="K294" s="1">
        <v>1293</v>
      </c>
      <c r="L294" s="1" t="str">
        <f t="shared" si="3"/>
        <v>AJAY</v>
      </c>
      <c r="M294" s="1" t="str">
        <f t="shared" si="4"/>
        <v>table</v>
      </c>
      <c r="N294" s="1">
        <f t="shared" si="5"/>
        <v>5</v>
      </c>
    </row>
    <row r="295" spans="1:14" x14ac:dyDescent="0.3">
      <c r="A295" s="1" t="s">
        <v>21</v>
      </c>
      <c r="B295" s="1" t="s">
        <v>12</v>
      </c>
      <c r="C295" s="1" t="s">
        <v>18</v>
      </c>
      <c r="D295" s="1" t="s">
        <v>19</v>
      </c>
      <c r="E295" s="1">
        <v>8</v>
      </c>
      <c r="F295" s="1">
        <v>14448</v>
      </c>
      <c r="G295" s="1">
        <v>10</v>
      </c>
      <c r="H295" s="2">
        <v>46181</v>
      </c>
      <c r="I295" s="2">
        <v>46189</v>
      </c>
      <c r="J295" s="1" t="s">
        <v>15</v>
      </c>
      <c r="K295" s="1">
        <v>1294</v>
      </c>
      <c r="L295" s="1" t="str">
        <f t="shared" si="3"/>
        <v>MEERA</v>
      </c>
      <c r="M295" s="1" t="str">
        <f t="shared" si="4"/>
        <v>desk</v>
      </c>
      <c r="N295" s="1">
        <f t="shared" si="5"/>
        <v>4</v>
      </c>
    </row>
    <row r="296" spans="1:14" x14ac:dyDescent="0.3">
      <c r="A296" s="1" t="s">
        <v>52</v>
      </c>
      <c r="B296" s="1" t="s">
        <v>38</v>
      </c>
      <c r="C296" s="1" t="s">
        <v>18</v>
      </c>
      <c r="D296" s="1" t="s">
        <v>28</v>
      </c>
      <c r="E296" s="1">
        <v>16</v>
      </c>
      <c r="F296" s="1">
        <v>11935</v>
      </c>
      <c r="G296" s="1">
        <v>12</v>
      </c>
      <c r="H296" s="2">
        <v>46157</v>
      </c>
      <c r="I296" s="2">
        <v>46162</v>
      </c>
      <c r="J296" s="1" t="s">
        <v>15</v>
      </c>
      <c r="K296" s="1">
        <v>1295</v>
      </c>
      <c r="L296" s="1" t="str">
        <f t="shared" si="3"/>
        <v>KOMAL</v>
      </c>
      <c r="M296" s="1" t="str">
        <f t="shared" si="4"/>
        <v>chair</v>
      </c>
      <c r="N296" s="1">
        <f t="shared" si="5"/>
        <v>5</v>
      </c>
    </row>
    <row r="297" spans="1:14" x14ac:dyDescent="0.3">
      <c r="A297" s="1" t="s">
        <v>26</v>
      </c>
      <c r="B297" s="1" t="s">
        <v>38</v>
      </c>
      <c r="C297" s="1" t="s">
        <v>13</v>
      </c>
      <c r="D297" s="1" t="s">
        <v>50</v>
      </c>
      <c r="E297" s="1">
        <v>6</v>
      </c>
      <c r="F297" s="1">
        <v>201</v>
      </c>
      <c r="G297" s="1">
        <v>0</v>
      </c>
      <c r="H297" s="2">
        <v>46063</v>
      </c>
      <c r="I297" s="2">
        <v>46072</v>
      </c>
      <c r="J297" s="1" t="s">
        <v>51</v>
      </c>
      <c r="K297" s="1">
        <v>1296</v>
      </c>
      <c r="L297" s="1" t="str">
        <f t="shared" si="3"/>
        <v>VIKRAM</v>
      </c>
      <c r="M297" s="1" t="str">
        <f t="shared" si="4"/>
        <v>marker</v>
      </c>
      <c r="N297" s="1">
        <f t="shared" si="5"/>
        <v>6</v>
      </c>
    </row>
    <row r="298" spans="1:14" x14ac:dyDescent="0.3">
      <c r="A298" s="1" t="s">
        <v>54</v>
      </c>
      <c r="B298" s="1" t="s">
        <v>25</v>
      </c>
      <c r="C298" s="1" t="s">
        <v>34</v>
      </c>
      <c r="D298" s="1" t="s">
        <v>35</v>
      </c>
      <c r="E298" s="1">
        <v>14</v>
      </c>
      <c r="F298" s="1">
        <v>24524</v>
      </c>
      <c r="G298" s="1">
        <v>10</v>
      </c>
      <c r="H298" s="2">
        <v>46178</v>
      </c>
      <c r="I298" s="2">
        <v>46187</v>
      </c>
      <c r="J298" s="1" t="s">
        <v>29</v>
      </c>
      <c r="K298" s="1">
        <v>1297</v>
      </c>
      <c r="L298" s="1" t="str">
        <f t="shared" si="3"/>
        <v>MANOJ</v>
      </c>
      <c r="M298" s="1" t="str">
        <f t="shared" si="4"/>
        <v>printer</v>
      </c>
      <c r="N298" s="1">
        <f t="shared" si="5"/>
        <v>7</v>
      </c>
    </row>
    <row r="299" spans="1:14" x14ac:dyDescent="0.3">
      <c r="A299" s="1" t="s">
        <v>21</v>
      </c>
      <c r="B299" s="1" t="s">
        <v>12</v>
      </c>
      <c r="C299" s="1" t="s">
        <v>34</v>
      </c>
      <c r="D299" s="1" t="s">
        <v>61</v>
      </c>
      <c r="E299" s="1">
        <v>19</v>
      </c>
      <c r="F299" s="1">
        <v>20745</v>
      </c>
      <c r="G299" s="1">
        <v>2</v>
      </c>
      <c r="H299" s="2">
        <v>46083</v>
      </c>
      <c r="I299" s="2">
        <v>46093</v>
      </c>
      <c r="J299" s="1" t="s">
        <v>24</v>
      </c>
      <c r="K299" s="1">
        <v>1298</v>
      </c>
      <c r="L299" s="1" t="str">
        <f t="shared" si="3"/>
        <v>MEERA</v>
      </c>
      <c r="M299" s="1" t="str">
        <f t="shared" si="4"/>
        <v>mouse</v>
      </c>
      <c r="N299" s="1">
        <f t="shared" si="5"/>
        <v>5</v>
      </c>
    </row>
    <row r="300" spans="1:14" x14ac:dyDescent="0.3">
      <c r="A300" s="1" t="s">
        <v>26</v>
      </c>
      <c r="B300" s="1" t="s">
        <v>17</v>
      </c>
      <c r="C300" s="1" t="s">
        <v>18</v>
      </c>
      <c r="D300" s="1" t="s">
        <v>56</v>
      </c>
      <c r="E300" s="1">
        <v>8</v>
      </c>
      <c r="F300" s="1">
        <v>8783</v>
      </c>
      <c r="G300" s="1">
        <v>2</v>
      </c>
      <c r="H300" s="2">
        <v>46123</v>
      </c>
      <c r="I300" s="2">
        <v>46132</v>
      </c>
      <c r="J300" s="1" t="s">
        <v>15</v>
      </c>
      <c r="K300" s="1">
        <v>1299</v>
      </c>
      <c r="L300" s="1" t="str">
        <f t="shared" si="3"/>
        <v>VIKRAM</v>
      </c>
      <c r="M300" s="1" t="str">
        <f t="shared" si="4"/>
        <v>cabinet</v>
      </c>
      <c r="N300" s="1">
        <f t="shared" si="5"/>
        <v>7</v>
      </c>
    </row>
    <row r="301" spans="1:14" x14ac:dyDescent="0.3">
      <c r="A301" s="1" t="s">
        <v>47</v>
      </c>
      <c r="B301" s="1" t="s">
        <v>33</v>
      </c>
      <c r="C301" s="1" t="s">
        <v>34</v>
      </c>
      <c r="D301" s="1" t="s">
        <v>45</v>
      </c>
      <c r="E301" s="1">
        <v>20</v>
      </c>
      <c r="F301" s="1">
        <v>1392</v>
      </c>
      <c r="G301" s="1">
        <v>2</v>
      </c>
      <c r="H301" s="2">
        <v>46110</v>
      </c>
      <c r="I301" s="2">
        <v>46117</v>
      </c>
      <c r="J301" s="1" t="s">
        <v>24</v>
      </c>
      <c r="K301" s="1">
        <v>1300</v>
      </c>
      <c r="L301" s="1" t="str">
        <f t="shared" si="3"/>
        <v>YASH</v>
      </c>
      <c r="M301" s="1" t="str">
        <f t="shared" si="4"/>
        <v>monitor</v>
      </c>
      <c r="N301" s="1">
        <f t="shared" si="5"/>
        <v>7</v>
      </c>
    </row>
    <row r="302" spans="1:14" x14ac:dyDescent="0.3">
      <c r="A302" s="1" t="s">
        <v>54</v>
      </c>
      <c r="B302" s="1" t="s">
        <v>17</v>
      </c>
      <c r="C302" s="1" t="s">
        <v>18</v>
      </c>
      <c r="D302" s="1" t="s">
        <v>28</v>
      </c>
      <c r="E302" s="1">
        <v>3</v>
      </c>
      <c r="F302" s="1">
        <v>7020</v>
      </c>
      <c r="G302" s="1">
        <v>10</v>
      </c>
      <c r="H302" s="2">
        <v>46028</v>
      </c>
      <c r="I302" s="2">
        <v>46038</v>
      </c>
      <c r="J302" s="1" t="s">
        <v>24</v>
      </c>
      <c r="K302" s="1">
        <v>1301</v>
      </c>
      <c r="L302" s="1" t="str">
        <f t="shared" si="3"/>
        <v>MANOJ</v>
      </c>
      <c r="M302" s="1" t="str">
        <f t="shared" si="4"/>
        <v>chair</v>
      </c>
      <c r="N302" s="1">
        <f t="shared" si="5"/>
        <v>5</v>
      </c>
    </row>
    <row r="303" spans="1:14" x14ac:dyDescent="0.3">
      <c r="A303" s="1" t="s">
        <v>57</v>
      </c>
      <c r="B303" s="1" t="s">
        <v>12</v>
      </c>
      <c r="C303" s="1" t="s">
        <v>34</v>
      </c>
      <c r="D303" s="1" t="s">
        <v>35</v>
      </c>
      <c r="E303" s="1">
        <v>9</v>
      </c>
      <c r="F303" s="1">
        <v>8500</v>
      </c>
      <c r="G303" s="1">
        <v>15</v>
      </c>
      <c r="H303" s="2">
        <v>46163</v>
      </c>
      <c r="I303" s="2">
        <v>46172</v>
      </c>
      <c r="J303" s="1" t="s">
        <v>24</v>
      </c>
      <c r="K303" s="1">
        <v>1302</v>
      </c>
      <c r="L303" s="1" t="str">
        <f t="shared" si="3"/>
        <v>SARA</v>
      </c>
      <c r="M303" s="1" t="str">
        <f t="shared" si="4"/>
        <v>printer</v>
      </c>
      <c r="N303" s="1">
        <f t="shared" si="5"/>
        <v>7</v>
      </c>
    </row>
    <row r="304" spans="1:14" x14ac:dyDescent="0.3">
      <c r="A304" s="1" t="s">
        <v>57</v>
      </c>
      <c r="B304" s="1" t="s">
        <v>38</v>
      </c>
      <c r="C304" s="1" t="s">
        <v>34</v>
      </c>
      <c r="D304" s="1" t="s">
        <v>35</v>
      </c>
      <c r="E304" s="1">
        <v>13</v>
      </c>
      <c r="F304" s="1">
        <v>5170</v>
      </c>
      <c r="G304" s="1">
        <v>2</v>
      </c>
      <c r="H304" s="2">
        <v>46124</v>
      </c>
      <c r="I304" s="2">
        <v>46127</v>
      </c>
      <c r="J304" s="1" t="s">
        <v>15</v>
      </c>
      <c r="K304" s="1">
        <v>1303</v>
      </c>
      <c r="L304" s="1" t="str">
        <f t="shared" si="3"/>
        <v>SARA</v>
      </c>
      <c r="M304" s="1" t="str">
        <f t="shared" si="4"/>
        <v>printer</v>
      </c>
      <c r="N304" s="1">
        <f t="shared" si="5"/>
        <v>7</v>
      </c>
    </row>
    <row r="305" spans="1:14" x14ac:dyDescent="0.3">
      <c r="A305" s="1" t="s">
        <v>59</v>
      </c>
      <c r="B305" s="1" t="s">
        <v>25</v>
      </c>
      <c r="C305" s="1" t="s">
        <v>13</v>
      </c>
      <c r="D305" s="1" t="s">
        <v>36</v>
      </c>
      <c r="E305" s="1">
        <v>20</v>
      </c>
      <c r="F305" s="1">
        <v>368</v>
      </c>
      <c r="G305" s="1">
        <v>7</v>
      </c>
      <c r="H305" s="2">
        <v>46042</v>
      </c>
      <c r="I305" s="2">
        <v>46051</v>
      </c>
      <c r="J305" s="1" t="s">
        <v>51</v>
      </c>
      <c r="K305" s="1">
        <v>1304</v>
      </c>
      <c r="L305" s="1" t="str">
        <f t="shared" si="3"/>
        <v>ANITA</v>
      </c>
      <c r="M305" s="1" t="str">
        <f t="shared" si="4"/>
        <v>stapler</v>
      </c>
      <c r="N305" s="1">
        <f t="shared" si="5"/>
        <v>7</v>
      </c>
    </row>
    <row r="306" spans="1:14" x14ac:dyDescent="0.3">
      <c r="A306" s="1" t="s">
        <v>58</v>
      </c>
      <c r="B306" s="1" t="s">
        <v>31</v>
      </c>
      <c r="C306" s="1" t="s">
        <v>34</v>
      </c>
      <c r="D306" s="1" t="s">
        <v>60</v>
      </c>
      <c r="E306" s="1">
        <v>20</v>
      </c>
      <c r="F306" s="1">
        <v>31406</v>
      </c>
      <c r="G306" s="1">
        <v>15</v>
      </c>
      <c r="H306" s="2">
        <v>46146</v>
      </c>
      <c r="I306" s="2">
        <v>46154</v>
      </c>
      <c r="J306" s="1" t="s">
        <v>51</v>
      </c>
      <c r="K306" s="1">
        <v>1305</v>
      </c>
      <c r="L306" s="1" t="str">
        <f t="shared" si="3"/>
        <v>ROHAN</v>
      </c>
      <c r="M306" s="1" t="str">
        <f t="shared" si="4"/>
        <v>laptop</v>
      </c>
      <c r="N306" s="1">
        <f t="shared" si="5"/>
        <v>6</v>
      </c>
    </row>
    <row r="307" spans="1:14" x14ac:dyDescent="0.3">
      <c r="A307" s="1" t="s">
        <v>54</v>
      </c>
      <c r="B307" s="1" t="s">
        <v>43</v>
      </c>
      <c r="C307" s="1" t="s">
        <v>13</v>
      </c>
      <c r="D307" s="1" t="s">
        <v>36</v>
      </c>
      <c r="E307" s="1">
        <v>1</v>
      </c>
      <c r="F307" s="1">
        <v>332</v>
      </c>
      <c r="G307" s="1">
        <v>0</v>
      </c>
      <c r="H307" s="2">
        <v>46191</v>
      </c>
      <c r="I307" s="2">
        <v>46194</v>
      </c>
      <c r="J307" s="1" t="s">
        <v>20</v>
      </c>
      <c r="K307" s="1">
        <v>1306</v>
      </c>
      <c r="L307" s="1" t="str">
        <f t="shared" si="3"/>
        <v>MANOJ</v>
      </c>
      <c r="M307" s="1" t="str">
        <f t="shared" si="4"/>
        <v>stapler</v>
      </c>
      <c r="N307" s="1">
        <f t="shared" si="5"/>
        <v>7</v>
      </c>
    </row>
    <row r="308" spans="1:14" x14ac:dyDescent="0.3">
      <c r="A308" s="1" t="s">
        <v>57</v>
      </c>
      <c r="B308" s="1" t="s">
        <v>43</v>
      </c>
      <c r="C308" s="1" t="s">
        <v>34</v>
      </c>
      <c r="D308" s="1" t="s">
        <v>35</v>
      </c>
      <c r="E308" s="1">
        <v>18</v>
      </c>
      <c r="F308" s="1">
        <v>7541</v>
      </c>
      <c r="G308" s="1">
        <v>12</v>
      </c>
      <c r="H308" s="2">
        <v>46048</v>
      </c>
      <c r="I308" s="2">
        <v>46051</v>
      </c>
      <c r="J308" s="1" t="s">
        <v>51</v>
      </c>
      <c r="K308" s="1">
        <v>1307</v>
      </c>
      <c r="L308" s="1" t="str">
        <f t="shared" si="3"/>
        <v>SARA</v>
      </c>
      <c r="M308" s="1" t="str">
        <f t="shared" si="4"/>
        <v>printer</v>
      </c>
      <c r="N308" s="1">
        <f t="shared" si="5"/>
        <v>7</v>
      </c>
    </row>
    <row r="309" spans="1:14" x14ac:dyDescent="0.3">
      <c r="A309" s="1" t="s">
        <v>30</v>
      </c>
      <c r="B309" s="1" t="s">
        <v>22</v>
      </c>
      <c r="C309" s="1" t="s">
        <v>34</v>
      </c>
      <c r="D309" s="1" t="s">
        <v>41</v>
      </c>
      <c r="E309" s="1">
        <v>12</v>
      </c>
      <c r="F309" s="1">
        <v>66075</v>
      </c>
      <c r="G309" s="1">
        <v>5</v>
      </c>
      <c r="H309" s="2">
        <v>46129</v>
      </c>
      <c r="I309" s="2">
        <v>46135</v>
      </c>
      <c r="J309" s="1" t="s">
        <v>20</v>
      </c>
      <c r="K309" s="1">
        <v>1308</v>
      </c>
      <c r="L309" s="1" t="str">
        <f t="shared" si="3"/>
        <v>NEHA</v>
      </c>
      <c r="M309" s="1" t="str">
        <f t="shared" si="4"/>
        <v>headset</v>
      </c>
      <c r="N309" s="1">
        <f t="shared" si="5"/>
        <v>7</v>
      </c>
    </row>
    <row r="310" spans="1:14" x14ac:dyDescent="0.3">
      <c r="A310" s="1" t="s">
        <v>29</v>
      </c>
      <c r="B310" s="1" t="s">
        <v>31</v>
      </c>
      <c r="C310" s="1" t="s">
        <v>13</v>
      </c>
      <c r="D310" s="1" t="s">
        <v>50</v>
      </c>
      <c r="E310" s="1">
        <v>2</v>
      </c>
      <c r="F310" s="1">
        <v>35</v>
      </c>
      <c r="G310" s="1">
        <v>5</v>
      </c>
      <c r="H310" s="2">
        <v>46197</v>
      </c>
      <c r="I310" s="2">
        <v>46198</v>
      </c>
      <c r="J310" s="1" t="s">
        <v>24</v>
      </c>
      <c r="K310" s="1">
        <v>1309</v>
      </c>
      <c r="L310" s="1" t="str">
        <f t="shared" si="3"/>
        <v>PRIYA</v>
      </c>
      <c r="M310" s="1" t="str">
        <f t="shared" si="4"/>
        <v>marker</v>
      </c>
      <c r="N310" s="1">
        <f t="shared" si="5"/>
        <v>6</v>
      </c>
    </row>
    <row r="311" spans="1:14" x14ac:dyDescent="0.3">
      <c r="A311" s="1" t="s">
        <v>49</v>
      </c>
      <c r="B311" s="1" t="s">
        <v>17</v>
      </c>
      <c r="C311" s="1" t="s">
        <v>18</v>
      </c>
      <c r="D311" s="1" t="s">
        <v>56</v>
      </c>
      <c r="E311" s="1">
        <v>19</v>
      </c>
      <c r="F311" s="1">
        <v>12691</v>
      </c>
      <c r="G311" s="1">
        <v>0</v>
      </c>
      <c r="H311" s="2">
        <v>46181</v>
      </c>
      <c r="I311" s="2">
        <v>46189</v>
      </c>
      <c r="J311" s="1" t="s">
        <v>29</v>
      </c>
      <c r="K311" s="1">
        <v>1310</v>
      </c>
      <c r="L311" s="1" t="str">
        <f t="shared" si="3"/>
        <v>AJAY</v>
      </c>
      <c r="M311" s="1" t="str">
        <f t="shared" si="4"/>
        <v>cabinet</v>
      </c>
      <c r="N311" s="1">
        <f t="shared" si="5"/>
        <v>7</v>
      </c>
    </row>
    <row r="312" spans="1:14" x14ac:dyDescent="0.3">
      <c r="A312" s="1" t="s">
        <v>55</v>
      </c>
      <c r="B312" s="1" t="s">
        <v>12</v>
      </c>
      <c r="C312" s="1" t="s">
        <v>13</v>
      </c>
      <c r="D312" s="1" t="s">
        <v>14</v>
      </c>
      <c r="E312" s="1">
        <v>2</v>
      </c>
      <c r="F312" s="1">
        <v>209</v>
      </c>
      <c r="G312" s="1">
        <v>0</v>
      </c>
      <c r="H312" s="2">
        <v>46173</v>
      </c>
      <c r="I312" s="2">
        <v>46176</v>
      </c>
      <c r="J312" s="1" t="s">
        <v>20</v>
      </c>
      <c r="K312" s="1">
        <v>1311</v>
      </c>
      <c r="L312" s="1" t="str">
        <f t="shared" si="3"/>
        <v>SNEHA</v>
      </c>
      <c r="M312" s="1" t="str">
        <f t="shared" si="4"/>
        <v>notebook</v>
      </c>
      <c r="N312" s="1">
        <f t="shared" si="5"/>
        <v>8</v>
      </c>
    </row>
    <row r="313" spans="1:14" x14ac:dyDescent="0.3">
      <c r="A313" s="1" t="s">
        <v>57</v>
      </c>
      <c r="B313" s="1" t="s">
        <v>22</v>
      </c>
      <c r="C313" s="1" t="s">
        <v>18</v>
      </c>
      <c r="D313" s="1" t="s">
        <v>56</v>
      </c>
      <c r="E313" s="1">
        <v>20</v>
      </c>
      <c r="F313" s="1">
        <v>3274</v>
      </c>
      <c r="G313" s="1">
        <v>2</v>
      </c>
      <c r="H313" s="2">
        <v>46148</v>
      </c>
      <c r="I313" s="2">
        <v>46156</v>
      </c>
      <c r="J313" s="1" t="s">
        <v>24</v>
      </c>
      <c r="K313" s="1">
        <v>1312</v>
      </c>
      <c r="L313" s="1" t="str">
        <f t="shared" si="3"/>
        <v>SARA</v>
      </c>
      <c r="M313" s="1" t="str">
        <f t="shared" si="4"/>
        <v>cabinet</v>
      </c>
      <c r="N313" s="1">
        <f t="shared" si="5"/>
        <v>7</v>
      </c>
    </row>
    <row r="314" spans="1:14" x14ac:dyDescent="0.3">
      <c r="A314" s="1" t="s">
        <v>59</v>
      </c>
      <c r="B314" s="1" t="s">
        <v>22</v>
      </c>
      <c r="C314" s="1" t="s">
        <v>18</v>
      </c>
      <c r="D314" s="1" t="s">
        <v>56</v>
      </c>
      <c r="E314" s="1">
        <v>6</v>
      </c>
      <c r="F314" s="1">
        <v>10864</v>
      </c>
      <c r="G314" s="1">
        <v>10</v>
      </c>
      <c r="H314" s="2">
        <v>46041</v>
      </c>
      <c r="I314" s="2">
        <v>46049</v>
      </c>
      <c r="J314" s="1" t="s">
        <v>15</v>
      </c>
      <c r="K314" s="1">
        <v>1313</v>
      </c>
      <c r="L314" s="1" t="str">
        <f t="shared" si="3"/>
        <v>ANITA</v>
      </c>
      <c r="M314" s="1" t="str">
        <f t="shared" si="4"/>
        <v>cabinet</v>
      </c>
      <c r="N314" s="1">
        <f t="shared" si="5"/>
        <v>7</v>
      </c>
    </row>
    <row r="315" spans="1:14" x14ac:dyDescent="0.3">
      <c r="A315" s="1" t="s">
        <v>52</v>
      </c>
      <c r="B315" s="1" t="s">
        <v>33</v>
      </c>
      <c r="C315" s="1" t="s">
        <v>18</v>
      </c>
      <c r="D315" s="1" t="s">
        <v>19</v>
      </c>
      <c r="E315" s="1">
        <v>10</v>
      </c>
      <c r="F315" s="1">
        <v>6328</v>
      </c>
      <c r="G315" s="1">
        <v>2</v>
      </c>
      <c r="H315" s="2">
        <v>46196</v>
      </c>
      <c r="I315" s="2">
        <v>46197</v>
      </c>
      <c r="J315" s="1" t="s">
        <v>29</v>
      </c>
      <c r="K315" s="1">
        <v>1314</v>
      </c>
      <c r="L315" s="1" t="str">
        <f t="shared" si="3"/>
        <v>KOMAL</v>
      </c>
      <c r="M315" s="1" t="str">
        <f t="shared" si="4"/>
        <v>desk</v>
      </c>
      <c r="N315" s="1">
        <f t="shared" si="5"/>
        <v>4</v>
      </c>
    </row>
    <row r="316" spans="1:14" x14ac:dyDescent="0.3">
      <c r="A316" s="1" t="s">
        <v>49</v>
      </c>
      <c r="B316" s="1" t="s">
        <v>31</v>
      </c>
      <c r="C316" s="1" t="s">
        <v>34</v>
      </c>
      <c r="D316" s="1" t="s">
        <v>41</v>
      </c>
      <c r="E316" s="1">
        <v>14</v>
      </c>
      <c r="F316" s="1">
        <v>57670</v>
      </c>
      <c r="G316" s="1">
        <v>2</v>
      </c>
      <c r="H316" s="2">
        <v>46186</v>
      </c>
      <c r="I316" s="2">
        <v>46196</v>
      </c>
      <c r="J316" s="1" t="s">
        <v>15</v>
      </c>
      <c r="K316" s="1">
        <v>1315</v>
      </c>
      <c r="L316" s="1" t="str">
        <f t="shared" si="3"/>
        <v>AJAY</v>
      </c>
      <c r="M316" s="1" t="str">
        <f t="shared" si="4"/>
        <v>headset</v>
      </c>
      <c r="N316" s="1">
        <f t="shared" si="5"/>
        <v>7</v>
      </c>
    </row>
    <row r="317" spans="1:14" x14ac:dyDescent="0.3">
      <c r="A317" s="1" t="s">
        <v>46</v>
      </c>
      <c r="B317" s="1" t="s">
        <v>12</v>
      </c>
      <c r="C317" s="1" t="s">
        <v>18</v>
      </c>
      <c r="D317" s="1" t="s">
        <v>28</v>
      </c>
      <c r="E317" s="1">
        <v>7</v>
      </c>
      <c r="F317" s="1">
        <v>9838</v>
      </c>
      <c r="G317" s="1">
        <v>7</v>
      </c>
      <c r="H317" s="2">
        <v>46078</v>
      </c>
      <c r="I317" s="2">
        <v>46085</v>
      </c>
      <c r="J317" s="1" t="s">
        <v>20</v>
      </c>
      <c r="K317" s="1">
        <v>1316</v>
      </c>
      <c r="L317" s="1" t="str">
        <f t="shared" si="3"/>
        <v>KIRAN</v>
      </c>
      <c r="M317" s="1" t="str">
        <f t="shared" si="4"/>
        <v>chair</v>
      </c>
      <c r="N317" s="1">
        <f t="shared" si="5"/>
        <v>5</v>
      </c>
    </row>
    <row r="318" spans="1:14" x14ac:dyDescent="0.3">
      <c r="A318" s="1" t="s">
        <v>59</v>
      </c>
      <c r="B318" s="1" t="s">
        <v>33</v>
      </c>
      <c r="C318" s="1" t="s">
        <v>34</v>
      </c>
      <c r="D318" s="1" t="s">
        <v>41</v>
      </c>
      <c r="E318" s="1">
        <v>7</v>
      </c>
      <c r="F318" s="1">
        <v>67339</v>
      </c>
      <c r="G318" s="1">
        <v>5</v>
      </c>
      <c r="H318" s="2">
        <v>46159</v>
      </c>
      <c r="I318" s="2">
        <v>46169</v>
      </c>
      <c r="J318" s="1" t="s">
        <v>51</v>
      </c>
      <c r="K318" s="1">
        <v>1317</v>
      </c>
      <c r="L318" s="1" t="str">
        <f t="shared" si="3"/>
        <v>ANITA</v>
      </c>
      <c r="M318" s="1" t="str">
        <f t="shared" si="4"/>
        <v>headset</v>
      </c>
      <c r="N318" s="1">
        <f t="shared" si="5"/>
        <v>7</v>
      </c>
    </row>
    <row r="319" spans="1:14" x14ac:dyDescent="0.3">
      <c r="A319" s="1" t="s">
        <v>11</v>
      </c>
      <c r="B319" s="1" t="s">
        <v>43</v>
      </c>
      <c r="C319" s="1" t="s">
        <v>13</v>
      </c>
      <c r="D319" s="1" t="s">
        <v>50</v>
      </c>
      <c r="E319" s="1">
        <v>4</v>
      </c>
      <c r="F319" s="1">
        <v>38</v>
      </c>
      <c r="G319" s="1">
        <v>12</v>
      </c>
      <c r="H319" s="2">
        <v>46169</v>
      </c>
      <c r="I319" s="2">
        <v>46175</v>
      </c>
      <c r="J319" s="1" t="s">
        <v>29</v>
      </c>
      <c r="K319" s="1">
        <v>1318</v>
      </c>
      <c r="L319" s="1" t="str">
        <f t="shared" si="3"/>
        <v>RITESH</v>
      </c>
      <c r="M319" s="1" t="str">
        <f t="shared" si="4"/>
        <v>marker</v>
      </c>
      <c r="N319" s="1">
        <f t="shared" si="5"/>
        <v>6</v>
      </c>
    </row>
    <row r="320" spans="1:14" x14ac:dyDescent="0.3">
      <c r="A320" s="1" t="s">
        <v>21</v>
      </c>
      <c r="B320" s="1" t="s">
        <v>17</v>
      </c>
      <c r="C320" s="1" t="s">
        <v>34</v>
      </c>
      <c r="D320" s="1" t="s">
        <v>61</v>
      </c>
      <c r="E320" s="1">
        <v>17</v>
      </c>
      <c r="F320" s="1">
        <v>58407</v>
      </c>
      <c r="G320" s="1">
        <v>7</v>
      </c>
      <c r="H320" s="2">
        <v>46094</v>
      </c>
      <c r="I320" s="2">
        <v>46102</v>
      </c>
      <c r="J320" s="1" t="s">
        <v>15</v>
      </c>
      <c r="K320" s="1">
        <v>1319</v>
      </c>
      <c r="L320" s="1" t="str">
        <f t="shared" si="3"/>
        <v>MEERA</v>
      </c>
      <c r="M320" s="1" t="str">
        <f t="shared" si="4"/>
        <v>mouse</v>
      </c>
      <c r="N320" s="1">
        <f t="shared" si="5"/>
        <v>5</v>
      </c>
    </row>
    <row r="321" spans="1:14" x14ac:dyDescent="0.3">
      <c r="A321" s="1" t="s">
        <v>47</v>
      </c>
      <c r="B321" s="1" t="s">
        <v>38</v>
      </c>
      <c r="C321" s="1" t="s">
        <v>13</v>
      </c>
      <c r="D321" s="1" t="s">
        <v>36</v>
      </c>
      <c r="E321" s="1">
        <v>20</v>
      </c>
      <c r="F321" s="1">
        <v>55</v>
      </c>
      <c r="G321" s="1">
        <v>7</v>
      </c>
      <c r="H321" s="2">
        <v>46183</v>
      </c>
      <c r="I321" s="2">
        <v>46186</v>
      </c>
      <c r="J321" s="1" t="s">
        <v>20</v>
      </c>
      <c r="K321" s="1">
        <v>1320</v>
      </c>
      <c r="L321" s="1" t="str">
        <f t="shared" si="3"/>
        <v>YASH</v>
      </c>
      <c r="M321" s="1" t="str">
        <f t="shared" si="4"/>
        <v>stapler</v>
      </c>
      <c r="N321" s="1">
        <f t="shared" si="5"/>
        <v>7</v>
      </c>
    </row>
    <row r="322" spans="1:14" x14ac:dyDescent="0.3">
      <c r="A322" s="1" t="s">
        <v>32</v>
      </c>
      <c r="B322" s="1" t="s">
        <v>22</v>
      </c>
      <c r="C322" s="1" t="s">
        <v>18</v>
      </c>
      <c r="D322" s="1" t="s">
        <v>19</v>
      </c>
      <c r="E322" s="1">
        <v>8</v>
      </c>
      <c r="F322" s="1">
        <v>5619</v>
      </c>
      <c r="G322" s="1">
        <v>7</v>
      </c>
      <c r="H322" s="2">
        <v>46107</v>
      </c>
      <c r="I322" s="2">
        <v>46109</v>
      </c>
      <c r="J322" s="1" t="s">
        <v>51</v>
      </c>
      <c r="K322" s="1">
        <v>1321</v>
      </c>
      <c r="L322" s="1" t="str">
        <f t="shared" si="3"/>
        <v>ASHA</v>
      </c>
      <c r="M322" s="1" t="str">
        <f t="shared" si="4"/>
        <v>desk</v>
      </c>
      <c r="N322" s="1">
        <f t="shared" si="5"/>
        <v>4</v>
      </c>
    </row>
    <row r="323" spans="1:14" x14ac:dyDescent="0.3">
      <c r="A323" s="1" t="s">
        <v>27</v>
      </c>
      <c r="B323" s="1" t="s">
        <v>12</v>
      </c>
      <c r="C323" s="1" t="s">
        <v>18</v>
      </c>
      <c r="D323" s="1" t="s">
        <v>23</v>
      </c>
      <c r="E323" s="1">
        <v>14</v>
      </c>
      <c r="F323" s="1">
        <v>9081</v>
      </c>
      <c r="G323" s="1">
        <v>15</v>
      </c>
      <c r="H323" s="2">
        <v>46141</v>
      </c>
      <c r="I323" s="2">
        <v>46146</v>
      </c>
      <c r="J323" s="1" t="s">
        <v>15</v>
      </c>
      <c r="K323" s="1">
        <v>1322</v>
      </c>
      <c r="L323" s="1" t="str">
        <f t="shared" si="3"/>
        <v>ARJUN</v>
      </c>
      <c r="M323" s="1" t="str">
        <f t="shared" si="4"/>
        <v>table</v>
      </c>
      <c r="N323" s="1">
        <f t="shared" si="5"/>
        <v>5</v>
      </c>
    </row>
    <row r="324" spans="1:14" x14ac:dyDescent="0.3">
      <c r="A324" s="1" t="s">
        <v>57</v>
      </c>
      <c r="B324" s="1" t="s">
        <v>38</v>
      </c>
      <c r="C324" s="1" t="s">
        <v>34</v>
      </c>
      <c r="D324" s="1" t="s">
        <v>61</v>
      </c>
      <c r="E324" s="1">
        <v>2</v>
      </c>
      <c r="F324" s="1">
        <v>32074</v>
      </c>
      <c r="G324" s="1">
        <v>10</v>
      </c>
      <c r="H324" s="2">
        <v>46073</v>
      </c>
      <c r="I324" s="2">
        <v>46078</v>
      </c>
      <c r="J324" s="1" t="s">
        <v>15</v>
      </c>
      <c r="K324" s="1">
        <v>1323</v>
      </c>
      <c r="L324" s="1" t="str">
        <f t="shared" si="3"/>
        <v>SARA</v>
      </c>
      <c r="M324" s="1" t="str">
        <f t="shared" si="4"/>
        <v>mouse</v>
      </c>
      <c r="N324" s="1">
        <f t="shared" si="5"/>
        <v>5</v>
      </c>
    </row>
    <row r="325" spans="1:14" x14ac:dyDescent="0.3">
      <c r="A325" s="1" t="s">
        <v>32</v>
      </c>
      <c r="B325" s="1" t="s">
        <v>22</v>
      </c>
      <c r="C325" s="1" t="s">
        <v>18</v>
      </c>
      <c r="D325" s="1" t="s">
        <v>19</v>
      </c>
      <c r="E325" s="1">
        <v>1</v>
      </c>
      <c r="F325" s="1">
        <v>4286</v>
      </c>
      <c r="G325" s="1">
        <v>15</v>
      </c>
      <c r="H325" s="2">
        <v>46053</v>
      </c>
      <c r="I325" s="2">
        <v>46056</v>
      </c>
      <c r="J325" s="1" t="s">
        <v>20</v>
      </c>
      <c r="K325" s="1">
        <v>1324</v>
      </c>
      <c r="L325" s="1" t="str">
        <f t="shared" si="3"/>
        <v>ASHA</v>
      </c>
      <c r="M325" s="1" t="str">
        <f t="shared" si="4"/>
        <v>desk</v>
      </c>
      <c r="N325" s="1">
        <f t="shared" si="5"/>
        <v>4</v>
      </c>
    </row>
    <row r="326" spans="1:14" x14ac:dyDescent="0.3">
      <c r="A326" s="1" t="s">
        <v>48</v>
      </c>
      <c r="B326" s="1" t="s">
        <v>43</v>
      </c>
      <c r="C326" s="1" t="s">
        <v>34</v>
      </c>
      <c r="D326" s="1" t="s">
        <v>39</v>
      </c>
      <c r="E326" s="1">
        <v>9</v>
      </c>
      <c r="F326" s="1">
        <v>58442</v>
      </c>
      <c r="G326" s="1">
        <v>12</v>
      </c>
      <c r="H326" s="2">
        <v>46076</v>
      </c>
      <c r="I326" s="2">
        <v>46085</v>
      </c>
      <c r="J326" s="1" t="s">
        <v>20</v>
      </c>
      <c r="K326" s="1">
        <v>1325</v>
      </c>
      <c r="L326" s="1" t="str">
        <f t="shared" si="3"/>
        <v>NITIN</v>
      </c>
      <c r="M326" s="1" t="str">
        <f t="shared" si="4"/>
        <v>keyboard</v>
      </c>
      <c r="N326" s="1">
        <f t="shared" si="5"/>
        <v>8</v>
      </c>
    </row>
    <row r="327" spans="1:14" x14ac:dyDescent="0.3">
      <c r="A327" s="1" t="s">
        <v>26</v>
      </c>
      <c r="B327" s="1" t="s">
        <v>17</v>
      </c>
      <c r="C327" s="1" t="s">
        <v>18</v>
      </c>
      <c r="D327" s="1" t="s">
        <v>44</v>
      </c>
      <c r="E327" s="1">
        <v>18</v>
      </c>
      <c r="F327" s="1">
        <v>1830</v>
      </c>
      <c r="G327" s="1">
        <v>10</v>
      </c>
      <c r="H327" s="2">
        <v>46165</v>
      </c>
      <c r="I327" s="2">
        <v>46172</v>
      </c>
      <c r="J327" s="1" t="s">
        <v>15</v>
      </c>
      <c r="K327" s="1">
        <v>1326</v>
      </c>
      <c r="L327" s="1" t="str">
        <f t="shared" si="3"/>
        <v>VIKRAM</v>
      </c>
      <c r="M327" s="1" t="str">
        <f t="shared" si="4"/>
        <v>bookshelf</v>
      </c>
      <c r="N327" s="1">
        <f t="shared" si="5"/>
        <v>9</v>
      </c>
    </row>
    <row r="328" spans="1:14" x14ac:dyDescent="0.3">
      <c r="A328" s="1" t="s">
        <v>48</v>
      </c>
      <c r="B328" s="1" t="s">
        <v>12</v>
      </c>
      <c r="C328" s="1" t="s">
        <v>13</v>
      </c>
      <c r="D328" s="1" t="s">
        <v>53</v>
      </c>
      <c r="E328" s="1">
        <v>15</v>
      </c>
      <c r="F328" s="1">
        <v>449</v>
      </c>
      <c r="G328" s="1">
        <v>5</v>
      </c>
      <c r="H328" s="2">
        <v>46152</v>
      </c>
      <c r="I328" s="2">
        <v>46153</v>
      </c>
      <c r="J328" s="1" t="s">
        <v>15</v>
      </c>
      <c r="K328" s="1">
        <v>1327</v>
      </c>
      <c r="L328" s="1" t="str">
        <f t="shared" si="3"/>
        <v>NITIN</v>
      </c>
      <c r="M328" s="1" t="str">
        <f t="shared" si="4"/>
        <v>diary</v>
      </c>
      <c r="N328" s="1">
        <f t="shared" si="5"/>
        <v>5</v>
      </c>
    </row>
    <row r="329" spans="1:14" x14ac:dyDescent="0.3">
      <c r="A329" s="1" t="s">
        <v>16</v>
      </c>
      <c r="B329" s="1" t="s">
        <v>38</v>
      </c>
      <c r="C329" s="1" t="s">
        <v>13</v>
      </c>
      <c r="D329" s="1" t="s">
        <v>36</v>
      </c>
      <c r="E329" s="1">
        <v>4</v>
      </c>
      <c r="F329" s="1">
        <v>132</v>
      </c>
      <c r="G329" s="1">
        <v>0</v>
      </c>
      <c r="H329" s="2">
        <v>46109</v>
      </c>
      <c r="I329" s="2">
        <v>46114</v>
      </c>
      <c r="J329" s="1" t="s">
        <v>29</v>
      </c>
      <c r="K329" s="1">
        <v>1328</v>
      </c>
      <c r="L329" s="1" t="str">
        <f t="shared" si="3"/>
        <v>POOJA</v>
      </c>
      <c r="M329" s="1" t="str">
        <f t="shared" si="4"/>
        <v>stapler</v>
      </c>
      <c r="N329" s="1">
        <f t="shared" si="5"/>
        <v>7</v>
      </c>
    </row>
    <row r="330" spans="1:14" x14ac:dyDescent="0.3">
      <c r="A330" s="1" t="s">
        <v>30</v>
      </c>
      <c r="B330" s="1" t="s">
        <v>43</v>
      </c>
      <c r="C330" s="1" t="s">
        <v>13</v>
      </c>
      <c r="D330" s="1" t="s">
        <v>53</v>
      </c>
      <c r="E330" s="1">
        <v>18</v>
      </c>
      <c r="F330" s="1">
        <v>227</v>
      </c>
      <c r="G330" s="1">
        <v>5</v>
      </c>
      <c r="H330" s="2">
        <v>46126</v>
      </c>
      <c r="I330" s="2">
        <v>46136</v>
      </c>
      <c r="J330" s="1" t="s">
        <v>29</v>
      </c>
      <c r="K330" s="1">
        <v>1329</v>
      </c>
      <c r="L330" s="1" t="str">
        <f t="shared" si="3"/>
        <v>NEHA</v>
      </c>
      <c r="M330" s="1" t="str">
        <f t="shared" si="4"/>
        <v>diary</v>
      </c>
      <c r="N330" s="1">
        <f t="shared" si="5"/>
        <v>5</v>
      </c>
    </row>
    <row r="331" spans="1:14" x14ac:dyDescent="0.3">
      <c r="A331" s="1" t="s">
        <v>49</v>
      </c>
      <c r="B331" s="1" t="s">
        <v>17</v>
      </c>
      <c r="C331" s="1" t="s">
        <v>18</v>
      </c>
      <c r="D331" s="1" t="s">
        <v>19</v>
      </c>
      <c r="E331" s="1">
        <v>13</v>
      </c>
      <c r="F331" s="1">
        <v>12071</v>
      </c>
      <c r="G331" s="1">
        <v>0</v>
      </c>
      <c r="H331" s="2">
        <v>46032</v>
      </c>
      <c r="I331" s="2">
        <v>46036</v>
      </c>
      <c r="J331" s="1" t="s">
        <v>51</v>
      </c>
      <c r="K331" s="1">
        <v>1330</v>
      </c>
      <c r="L331" s="1" t="str">
        <f t="shared" si="3"/>
        <v>AJAY</v>
      </c>
      <c r="M331" s="1" t="str">
        <f t="shared" si="4"/>
        <v>desk</v>
      </c>
      <c r="N331" s="1">
        <f t="shared" si="5"/>
        <v>4</v>
      </c>
    </row>
    <row r="332" spans="1:14" x14ac:dyDescent="0.3">
      <c r="A332" s="1" t="s">
        <v>21</v>
      </c>
      <c r="B332" s="1" t="s">
        <v>25</v>
      </c>
      <c r="C332" s="1" t="s">
        <v>34</v>
      </c>
      <c r="D332" s="1" t="s">
        <v>61</v>
      </c>
      <c r="E332" s="1">
        <v>2</v>
      </c>
      <c r="F332" s="1">
        <v>43557</v>
      </c>
      <c r="G332" s="1">
        <v>2</v>
      </c>
      <c r="H332" s="2">
        <v>46190</v>
      </c>
      <c r="I332" s="2">
        <v>46200</v>
      </c>
      <c r="J332" s="1" t="s">
        <v>15</v>
      </c>
      <c r="K332" s="1">
        <v>1331</v>
      </c>
      <c r="L332" s="1" t="str">
        <f t="shared" si="3"/>
        <v>MEERA</v>
      </c>
      <c r="M332" s="1" t="str">
        <f t="shared" si="4"/>
        <v>mouse</v>
      </c>
      <c r="N332" s="1">
        <f t="shared" si="5"/>
        <v>5</v>
      </c>
    </row>
    <row r="333" spans="1:14" x14ac:dyDescent="0.3">
      <c r="A333" s="1" t="s">
        <v>29</v>
      </c>
      <c r="B333" s="1" t="s">
        <v>43</v>
      </c>
      <c r="C333" s="1" t="s">
        <v>13</v>
      </c>
      <c r="D333" s="1" t="s">
        <v>50</v>
      </c>
      <c r="E333" s="1">
        <v>7</v>
      </c>
      <c r="F333" s="1">
        <v>439</v>
      </c>
      <c r="G333" s="1">
        <v>2</v>
      </c>
      <c r="H333" s="2">
        <v>46154</v>
      </c>
      <c r="I333" s="2">
        <v>46157</v>
      </c>
      <c r="J333" s="1" t="s">
        <v>15</v>
      </c>
      <c r="K333" s="1">
        <v>1332</v>
      </c>
      <c r="L333" s="1" t="str">
        <f t="shared" si="3"/>
        <v>PRIYA</v>
      </c>
      <c r="M333" s="1" t="str">
        <f t="shared" si="4"/>
        <v>marker</v>
      </c>
      <c r="N333" s="1">
        <f t="shared" si="5"/>
        <v>6</v>
      </c>
    </row>
    <row r="334" spans="1:14" x14ac:dyDescent="0.3">
      <c r="A334" s="1" t="s">
        <v>29</v>
      </c>
      <c r="B334" s="1" t="s">
        <v>38</v>
      </c>
      <c r="C334" s="1" t="s">
        <v>13</v>
      </c>
      <c r="D334" s="1" t="s">
        <v>53</v>
      </c>
      <c r="E334" s="1">
        <v>20</v>
      </c>
      <c r="F334" s="1">
        <v>416</v>
      </c>
      <c r="G334" s="1">
        <v>12</v>
      </c>
      <c r="H334" s="2">
        <v>46145</v>
      </c>
      <c r="I334" s="2">
        <v>46146</v>
      </c>
      <c r="J334" s="1" t="s">
        <v>51</v>
      </c>
      <c r="K334" s="1">
        <v>1333</v>
      </c>
      <c r="L334" s="1" t="str">
        <f t="shared" si="3"/>
        <v>PRIYA</v>
      </c>
      <c r="M334" s="1" t="str">
        <f t="shared" si="4"/>
        <v>diary</v>
      </c>
      <c r="N334" s="1">
        <f t="shared" si="5"/>
        <v>5</v>
      </c>
    </row>
    <row r="335" spans="1:14" x14ac:dyDescent="0.3">
      <c r="A335" s="1" t="s">
        <v>40</v>
      </c>
      <c r="B335" s="1" t="s">
        <v>12</v>
      </c>
      <c r="C335" s="1" t="s">
        <v>34</v>
      </c>
      <c r="D335" s="1" t="s">
        <v>41</v>
      </c>
      <c r="E335" s="1">
        <v>15</v>
      </c>
      <c r="F335" s="1">
        <v>39853</v>
      </c>
      <c r="G335" s="1">
        <v>7</v>
      </c>
      <c r="H335" s="2">
        <v>46038</v>
      </c>
      <c r="I335" s="2">
        <v>46047</v>
      </c>
      <c r="J335" s="1" t="s">
        <v>51</v>
      </c>
      <c r="K335" s="1">
        <v>1334</v>
      </c>
      <c r="L335" s="1" t="str">
        <f t="shared" si="3"/>
        <v>DEEPAK</v>
      </c>
      <c r="M335" s="1" t="str">
        <f t="shared" si="4"/>
        <v>headset</v>
      </c>
      <c r="N335" s="1">
        <f t="shared" si="5"/>
        <v>7</v>
      </c>
    </row>
    <row r="336" spans="1:14" x14ac:dyDescent="0.3">
      <c r="A336" s="1" t="s">
        <v>47</v>
      </c>
      <c r="B336" s="1" t="s">
        <v>17</v>
      </c>
      <c r="C336" s="1" t="s">
        <v>18</v>
      </c>
      <c r="D336" s="1" t="s">
        <v>19</v>
      </c>
      <c r="E336" s="1">
        <v>9</v>
      </c>
      <c r="F336" s="1">
        <v>1495</v>
      </c>
      <c r="G336" s="1">
        <v>12</v>
      </c>
      <c r="H336" s="2">
        <v>46168</v>
      </c>
      <c r="I336" s="2">
        <v>46173</v>
      </c>
      <c r="J336" s="1" t="s">
        <v>15</v>
      </c>
      <c r="K336" s="1">
        <v>1335</v>
      </c>
      <c r="L336" s="1" t="str">
        <f t="shared" si="3"/>
        <v>YASH</v>
      </c>
      <c r="M336" s="1" t="str">
        <f t="shared" si="4"/>
        <v>desk</v>
      </c>
      <c r="N336" s="1">
        <f t="shared" si="5"/>
        <v>4</v>
      </c>
    </row>
    <row r="337" spans="1:14" x14ac:dyDescent="0.3">
      <c r="A337" s="1" t="s">
        <v>16</v>
      </c>
      <c r="B337" s="1" t="s">
        <v>25</v>
      </c>
      <c r="C337" s="1" t="s">
        <v>18</v>
      </c>
      <c r="D337" s="1" t="s">
        <v>56</v>
      </c>
      <c r="E337" s="1">
        <v>10</v>
      </c>
      <c r="F337" s="1">
        <v>5624</v>
      </c>
      <c r="G337" s="1">
        <v>0</v>
      </c>
      <c r="H337" s="2">
        <v>46086</v>
      </c>
      <c r="I337" s="2">
        <v>46092</v>
      </c>
      <c r="J337" s="1" t="s">
        <v>29</v>
      </c>
      <c r="K337" s="1">
        <v>1336</v>
      </c>
      <c r="L337" s="1" t="str">
        <f t="shared" si="3"/>
        <v>POOJA</v>
      </c>
      <c r="M337" s="1" t="str">
        <f t="shared" si="4"/>
        <v>cabinet</v>
      </c>
      <c r="N337" s="1">
        <f t="shared" si="5"/>
        <v>7</v>
      </c>
    </row>
    <row r="338" spans="1:14" x14ac:dyDescent="0.3">
      <c r="A338" s="1" t="s">
        <v>16</v>
      </c>
      <c r="B338" s="1" t="s">
        <v>12</v>
      </c>
      <c r="C338" s="1" t="s">
        <v>13</v>
      </c>
      <c r="D338" s="1" t="s">
        <v>53</v>
      </c>
      <c r="E338" s="1">
        <v>14</v>
      </c>
      <c r="F338" s="1">
        <v>373</v>
      </c>
      <c r="G338" s="1">
        <v>10</v>
      </c>
      <c r="H338" s="2">
        <v>46074</v>
      </c>
      <c r="I338" s="2">
        <v>46080</v>
      </c>
      <c r="J338" s="1" t="s">
        <v>29</v>
      </c>
      <c r="K338" s="1">
        <v>1337</v>
      </c>
      <c r="L338" s="1" t="str">
        <f t="shared" si="3"/>
        <v>POOJA</v>
      </c>
      <c r="M338" s="1" t="str">
        <f t="shared" si="4"/>
        <v>diary</v>
      </c>
      <c r="N338" s="1">
        <f t="shared" si="5"/>
        <v>5</v>
      </c>
    </row>
    <row r="339" spans="1:14" x14ac:dyDescent="0.3">
      <c r="A339" s="1" t="s">
        <v>59</v>
      </c>
      <c r="B339" s="1" t="s">
        <v>25</v>
      </c>
      <c r="C339" s="1" t="s">
        <v>34</v>
      </c>
      <c r="D339" s="1" t="s">
        <v>60</v>
      </c>
      <c r="E339" s="1">
        <v>10</v>
      </c>
      <c r="F339" s="1">
        <v>16719</v>
      </c>
      <c r="G339" s="1">
        <v>5</v>
      </c>
      <c r="H339" s="2">
        <v>46177</v>
      </c>
      <c r="I339" s="2">
        <v>46179</v>
      </c>
      <c r="J339" s="1" t="s">
        <v>15</v>
      </c>
      <c r="K339" s="1">
        <v>1338</v>
      </c>
      <c r="L339" s="1" t="str">
        <f t="shared" si="3"/>
        <v>ANITA</v>
      </c>
      <c r="M339" s="1" t="str">
        <f t="shared" si="4"/>
        <v>laptop</v>
      </c>
      <c r="N339" s="1">
        <f t="shared" si="5"/>
        <v>6</v>
      </c>
    </row>
    <row r="340" spans="1:14" x14ac:dyDescent="0.3">
      <c r="A340" s="1" t="s">
        <v>32</v>
      </c>
      <c r="B340" s="1" t="s">
        <v>25</v>
      </c>
      <c r="C340" s="1" t="s">
        <v>13</v>
      </c>
      <c r="D340" s="1" t="s">
        <v>14</v>
      </c>
      <c r="E340" s="1">
        <v>6</v>
      </c>
      <c r="F340" s="1">
        <v>302</v>
      </c>
      <c r="G340" s="1">
        <v>5</v>
      </c>
      <c r="H340" s="2">
        <v>46142</v>
      </c>
      <c r="I340" s="2">
        <v>46148</v>
      </c>
      <c r="J340" s="1" t="s">
        <v>20</v>
      </c>
      <c r="K340" s="1">
        <v>1339</v>
      </c>
      <c r="L340" s="1" t="str">
        <f t="shared" si="3"/>
        <v>ASHA</v>
      </c>
      <c r="M340" s="1" t="str">
        <f t="shared" si="4"/>
        <v>notebook</v>
      </c>
      <c r="N340" s="1">
        <f t="shared" si="5"/>
        <v>8</v>
      </c>
    </row>
    <row r="341" spans="1:14" x14ac:dyDescent="0.3">
      <c r="A341" s="1" t="s">
        <v>48</v>
      </c>
      <c r="B341" s="1" t="s">
        <v>17</v>
      </c>
      <c r="C341" s="1" t="s">
        <v>18</v>
      </c>
      <c r="D341" s="1" t="s">
        <v>19</v>
      </c>
      <c r="E341" s="1">
        <v>12</v>
      </c>
      <c r="F341" s="1">
        <v>3857</v>
      </c>
      <c r="G341" s="1">
        <v>12</v>
      </c>
      <c r="H341" s="2">
        <v>46196</v>
      </c>
      <c r="I341" s="2">
        <v>46198</v>
      </c>
      <c r="J341" s="1" t="s">
        <v>51</v>
      </c>
      <c r="K341" s="1">
        <v>1340</v>
      </c>
      <c r="L341" s="1" t="str">
        <f t="shared" si="3"/>
        <v>NITIN</v>
      </c>
      <c r="M341" s="1" t="str">
        <f t="shared" si="4"/>
        <v>desk</v>
      </c>
      <c r="N341" s="1">
        <f t="shared" si="5"/>
        <v>4</v>
      </c>
    </row>
    <row r="342" spans="1:14" x14ac:dyDescent="0.3">
      <c r="A342" s="1" t="s">
        <v>57</v>
      </c>
      <c r="B342" s="1" t="s">
        <v>38</v>
      </c>
      <c r="C342" s="1" t="s">
        <v>18</v>
      </c>
      <c r="D342" s="1" t="s">
        <v>19</v>
      </c>
      <c r="E342" s="1">
        <v>19</v>
      </c>
      <c r="F342" s="1">
        <v>6488</v>
      </c>
      <c r="G342" s="1">
        <v>15</v>
      </c>
      <c r="H342" s="2">
        <v>46026</v>
      </c>
      <c r="I342" s="2">
        <v>46030</v>
      </c>
      <c r="J342" s="1" t="s">
        <v>20</v>
      </c>
      <c r="K342" s="1">
        <v>1341</v>
      </c>
      <c r="L342" s="1" t="str">
        <f t="shared" si="3"/>
        <v>SARA</v>
      </c>
      <c r="M342" s="1" t="str">
        <f t="shared" si="4"/>
        <v>desk</v>
      </c>
      <c r="N342" s="1">
        <f t="shared" si="5"/>
        <v>4</v>
      </c>
    </row>
    <row r="343" spans="1:14" x14ac:dyDescent="0.3">
      <c r="A343" s="1" t="s">
        <v>59</v>
      </c>
      <c r="B343" s="1" t="s">
        <v>31</v>
      </c>
      <c r="C343" s="1" t="s">
        <v>34</v>
      </c>
      <c r="D343" s="1" t="s">
        <v>35</v>
      </c>
      <c r="E343" s="1">
        <v>13</v>
      </c>
      <c r="F343" s="1">
        <v>47881</v>
      </c>
      <c r="G343" s="1">
        <v>15</v>
      </c>
      <c r="H343" s="2">
        <v>46132</v>
      </c>
      <c r="I343" s="2">
        <v>46139</v>
      </c>
      <c r="J343" s="1" t="s">
        <v>29</v>
      </c>
      <c r="K343" s="1">
        <v>1342</v>
      </c>
      <c r="L343" s="1" t="str">
        <f t="shared" si="3"/>
        <v>ANITA</v>
      </c>
      <c r="M343" s="1" t="str">
        <f t="shared" si="4"/>
        <v>printer</v>
      </c>
      <c r="N343" s="1">
        <f t="shared" si="5"/>
        <v>7</v>
      </c>
    </row>
    <row r="344" spans="1:14" x14ac:dyDescent="0.3">
      <c r="A344" s="1" t="s">
        <v>59</v>
      </c>
      <c r="B344" s="1" t="s">
        <v>31</v>
      </c>
      <c r="C344" s="1" t="s">
        <v>34</v>
      </c>
      <c r="D344" s="1" t="s">
        <v>39</v>
      </c>
      <c r="E344" s="1">
        <v>14</v>
      </c>
      <c r="F344" s="1">
        <v>32719</v>
      </c>
      <c r="G344" s="1">
        <v>15</v>
      </c>
      <c r="H344" s="2">
        <v>46174</v>
      </c>
      <c r="I344" s="2">
        <v>46179</v>
      </c>
      <c r="J344" s="1" t="s">
        <v>15</v>
      </c>
      <c r="K344" s="1">
        <v>1343</v>
      </c>
      <c r="L344" s="1" t="str">
        <f t="shared" si="3"/>
        <v>ANITA</v>
      </c>
      <c r="M344" s="1" t="str">
        <f t="shared" si="4"/>
        <v>keyboard</v>
      </c>
      <c r="N344" s="1">
        <f t="shared" si="5"/>
        <v>8</v>
      </c>
    </row>
    <row r="345" spans="1:14" x14ac:dyDescent="0.3">
      <c r="A345" s="1" t="s">
        <v>30</v>
      </c>
      <c r="B345" s="1" t="s">
        <v>17</v>
      </c>
      <c r="C345" s="1" t="s">
        <v>13</v>
      </c>
      <c r="D345" s="1" t="s">
        <v>53</v>
      </c>
      <c r="E345" s="1">
        <v>18</v>
      </c>
      <c r="F345" s="1">
        <v>240</v>
      </c>
      <c r="G345" s="1">
        <v>10</v>
      </c>
      <c r="H345" s="2">
        <v>46155</v>
      </c>
      <c r="I345" s="2">
        <v>46156</v>
      </c>
      <c r="J345" s="1" t="s">
        <v>24</v>
      </c>
      <c r="K345" s="1">
        <v>1344</v>
      </c>
      <c r="L345" s="1" t="str">
        <f t="shared" si="3"/>
        <v>NEHA</v>
      </c>
      <c r="M345" s="1" t="str">
        <f t="shared" si="4"/>
        <v>diary</v>
      </c>
      <c r="N345" s="1">
        <f t="shared" si="5"/>
        <v>5</v>
      </c>
    </row>
    <row r="346" spans="1:14" x14ac:dyDescent="0.3">
      <c r="A346" s="1" t="s">
        <v>32</v>
      </c>
      <c r="B346" s="1" t="s">
        <v>12</v>
      </c>
      <c r="C346" s="1" t="s">
        <v>34</v>
      </c>
      <c r="D346" s="1" t="s">
        <v>45</v>
      </c>
      <c r="E346" s="1">
        <v>12</v>
      </c>
      <c r="F346" s="1">
        <v>50544</v>
      </c>
      <c r="G346" s="1">
        <v>10</v>
      </c>
      <c r="H346" s="2">
        <v>46095</v>
      </c>
      <c r="I346" s="2">
        <v>46097</v>
      </c>
      <c r="J346" s="1" t="s">
        <v>29</v>
      </c>
      <c r="K346" s="1">
        <v>1345</v>
      </c>
      <c r="L346" s="1" t="str">
        <f t="shared" si="3"/>
        <v>ASHA</v>
      </c>
      <c r="M346" s="1" t="str">
        <f t="shared" si="4"/>
        <v>monitor</v>
      </c>
      <c r="N346" s="1">
        <f t="shared" si="5"/>
        <v>7</v>
      </c>
    </row>
    <row r="347" spans="1:14" x14ac:dyDescent="0.3">
      <c r="A347" s="1" t="s">
        <v>32</v>
      </c>
      <c r="B347" s="1" t="s">
        <v>22</v>
      </c>
      <c r="C347" s="1" t="s">
        <v>18</v>
      </c>
      <c r="D347" s="1" t="s">
        <v>19</v>
      </c>
      <c r="E347" s="1">
        <v>16</v>
      </c>
      <c r="F347" s="1">
        <v>6910</v>
      </c>
      <c r="G347" s="1">
        <v>15</v>
      </c>
      <c r="H347" s="2">
        <v>46140</v>
      </c>
      <c r="I347" s="2">
        <v>46142</v>
      </c>
      <c r="J347" s="1" t="s">
        <v>29</v>
      </c>
      <c r="K347" s="1">
        <v>1346</v>
      </c>
      <c r="L347" s="1" t="str">
        <f t="shared" si="3"/>
        <v>ASHA</v>
      </c>
      <c r="M347" s="1" t="str">
        <f t="shared" si="4"/>
        <v>desk</v>
      </c>
      <c r="N347" s="1">
        <f t="shared" si="5"/>
        <v>4</v>
      </c>
    </row>
    <row r="348" spans="1:14" x14ac:dyDescent="0.3">
      <c r="A348" s="1" t="s">
        <v>29</v>
      </c>
      <c r="B348" s="1" t="s">
        <v>22</v>
      </c>
      <c r="C348" s="1" t="s">
        <v>34</v>
      </c>
      <c r="D348" s="1" t="s">
        <v>35</v>
      </c>
      <c r="E348" s="1">
        <v>16</v>
      </c>
      <c r="F348" s="1">
        <v>6034</v>
      </c>
      <c r="G348" s="1">
        <v>15</v>
      </c>
      <c r="H348" s="2">
        <v>46037</v>
      </c>
      <c r="I348" s="2">
        <v>46044</v>
      </c>
      <c r="J348" s="1" t="s">
        <v>24</v>
      </c>
      <c r="K348" s="1">
        <v>1347</v>
      </c>
      <c r="L348" s="1" t="str">
        <f t="shared" si="3"/>
        <v>PRIYA</v>
      </c>
      <c r="M348" s="1" t="str">
        <f t="shared" si="4"/>
        <v>printer</v>
      </c>
      <c r="N348" s="1">
        <f t="shared" si="5"/>
        <v>7</v>
      </c>
    </row>
    <row r="349" spans="1:14" x14ac:dyDescent="0.3">
      <c r="A349" s="1" t="s">
        <v>11</v>
      </c>
      <c r="B349" s="1" t="s">
        <v>33</v>
      </c>
      <c r="C349" s="1" t="s">
        <v>13</v>
      </c>
      <c r="D349" s="1" t="s">
        <v>50</v>
      </c>
      <c r="E349" s="1">
        <v>12</v>
      </c>
      <c r="F349" s="1">
        <v>244</v>
      </c>
      <c r="G349" s="1">
        <v>7</v>
      </c>
      <c r="H349" s="2">
        <v>46048</v>
      </c>
      <c r="I349" s="2">
        <v>46053</v>
      </c>
      <c r="J349" s="1" t="s">
        <v>15</v>
      </c>
      <c r="K349" s="1">
        <v>1348</v>
      </c>
      <c r="L349" s="1" t="str">
        <f t="shared" si="3"/>
        <v>RITESH</v>
      </c>
      <c r="M349" s="1" t="str">
        <f t="shared" si="4"/>
        <v>marker</v>
      </c>
      <c r="N349" s="1">
        <f t="shared" si="5"/>
        <v>6</v>
      </c>
    </row>
    <row r="350" spans="1:14" x14ac:dyDescent="0.3">
      <c r="A350" s="1" t="s">
        <v>40</v>
      </c>
      <c r="B350" s="1" t="s">
        <v>33</v>
      </c>
      <c r="C350" s="1" t="s">
        <v>34</v>
      </c>
      <c r="D350" s="1" t="s">
        <v>35</v>
      </c>
      <c r="E350" s="1">
        <v>20</v>
      </c>
      <c r="F350" s="1">
        <v>62721</v>
      </c>
      <c r="G350" s="1">
        <v>7</v>
      </c>
      <c r="H350" s="2">
        <v>46079</v>
      </c>
      <c r="I350" s="2">
        <v>46083</v>
      </c>
      <c r="J350" s="1" t="s">
        <v>20</v>
      </c>
      <c r="K350" s="1">
        <v>1349</v>
      </c>
      <c r="L350" s="1" t="str">
        <f t="shared" si="3"/>
        <v>DEEPAK</v>
      </c>
      <c r="M350" s="1" t="str">
        <f t="shared" si="4"/>
        <v>printer</v>
      </c>
      <c r="N350" s="1">
        <f t="shared" si="5"/>
        <v>7</v>
      </c>
    </row>
    <row r="351" spans="1:14" x14ac:dyDescent="0.3">
      <c r="A351" s="1" t="s">
        <v>26</v>
      </c>
      <c r="B351" s="1" t="s">
        <v>43</v>
      </c>
      <c r="C351" s="1" t="s">
        <v>18</v>
      </c>
      <c r="D351" s="1" t="s">
        <v>28</v>
      </c>
      <c r="E351" s="1">
        <v>16</v>
      </c>
      <c r="F351" s="1">
        <v>11790</v>
      </c>
      <c r="G351" s="1">
        <v>12</v>
      </c>
      <c r="H351" s="2">
        <v>46185</v>
      </c>
      <c r="I351" s="2">
        <v>46190</v>
      </c>
      <c r="J351" s="1" t="s">
        <v>29</v>
      </c>
      <c r="K351" s="1">
        <v>1350</v>
      </c>
      <c r="L351" s="1" t="str">
        <f t="shared" si="3"/>
        <v>VIKRAM</v>
      </c>
      <c r="M351" s="1" t="str">
        <f t="shared" si="4"/>
        <v>chair</v>
      </c>
      <c r="N351" s="1">
        <f t="shared" si="5"/>
        <v>5</v>
      </c>
    </row>
    <row r="352" spans="1:14" x14ac:dyDescent="0.3">
      <c r="A352" s="1" t="s">
        <v>42</v>
      </c>
      <c r="B352" s="1" t="s">
        <v>33</v>
      </c>
      <c r="C352" s="1" t="s">
        <v>34</v>
      </c>
      <c r="D352" s="1" t="s">
        <v>45</v>
      </c>
      <c r="E352" s="1">
        <v>12</v>
      </c>
      <c r="F352" s="1">
        <v>1272</v>
      </c>
      <c r="G352" s="1">
        <v>0</v>
      </c>
      <c r="H352" s="2">
        <v>46026</v>
      </c>
      <c r="I352" s="2">
        <v>46029</v>
      </c>
      <c r="J352" s="1" t="s">
        <v>15</v>
      </c>
      <c r="K352" s="1">
        <v>1351</v>
      </c>
      <c r="L352" s="1" t="str">
        <f t="shared" si="3"/>
        <v>NISHA</v>
      </c>
      <c r="M352" s="1" t="str">
        <f t="shared" si="4"/>
        <v>monitor</v>
      </c>
      <c r="N352" s="1">
        <f t="shared" si="5"/>
        <v>7</v>
      </c>
    </row>
    <row r="353" spans="1:14" x14ac:dyDescent="0.3">
      <c r="A353" s="1" t="s">
        <v>54</v>
      </c>
      <c r="B353" s="1" t="s">
        <v>22</v>
      </c>
      <c r="C353" s="1" t="s">
        <v>13</v>
      </c>
      <c r="D353" s="1" t="s">
        <v>14</v>
      </c>
      <c r="E353" s="1">
        <v>12</v>
      </c>
      <c r="F353" s="1">
        <v>203</v>
      </c>
      <c r="G353" s="1">
        <v>5</v>
      </c>
      <c r="H353" s="2">
        <v>46024</v>
      </c>
      <c r="I353" s="2">
        <v>46033</v>
      </c>
      <c r="J353" s="1" t="s">
        <v>15</v>
      </c>
      <c r="K353" s="1">
        <v>1352</v>
      </c>
      <c r="L353" s="1" t="str">
        <f t="shared" si="3"/>
        <v>MANOJ</v>
      </c>
      <c r="M353" s="1" t="str">
        <f t="shared" si="4"/>
        <v>notebook</v>
      </c>
      <c r="N353" s="1">
        <f t="shared" si="5"/>
        <v>8</v>
      </c>
    </row>
    <row r="354" spans="1:14" x14ac:dyDescent="0.3">
      <c r="A354" s="1" t="s">
        <v>47</v>
      </c>
      <c r="B354" s="1" t="s">
        <v>43</v>
      </c>
      <c r="C354" s="1" t="s">
        <v>13</v>
      </c>
      <c r="D354" s="1" t="s">
        <v>14</v>
      </c>
      <c r="E354" s="1">
        <v>6</v>
      </c>
      <c r="F354" s="1">
        <v>495</v>
      </c>
      <c r="G354" s="1">
        <v>2</v>
      </c>
      <c r="H354" s="2">
        <v>46194</v>
      </c>
      <c r="I354" s="2">
        <v>46200</v>
      </c>
      <c r="J354" s="1" t="s">
        <v>24</v>
      </c>
      <c r="K354" s="1">
        <v>1353</v>
      </c>
      <c r="L354" s="1" t="str">
        <f t="shared" si="3"/>
        <v>YASH</v>
      </c>
      <c r="M354" s="1" t="str">
        <f t="shared" si="4"/>
        <v>notebook</v>
      </c>
      <c r="N354" s="1">
        <f t="shared" si="5"/>
        <v>8</v>
      </c>
    </row>
    <row r="355" spans="1:14" x14ac:dyDescent="0.3">
      <c r="A355" s="1" t="s">
        <v>47</v>
      </c>
      <c r="B355" s="1" t="s">
        <v>43</v>
      </c>
      <c r="C355" s="1" t="s">
        <v>34</v>
      </c>
      <c r="D355" s="1" t="s">
        <v>35</v>
      </c>
      <c r="E355" s="1">
        <v>15</v>
      </c>
      <c r="F355" s="1">
        <v>14927</v>
      </c>
      <c r="G355" s="1">
        <v>15</v>
      </c>
      <c r="H355" s="2">
        <v>46118</v>
      </c>
      <c r="I355" s="2">
        <v>46120</v>
      </c>
      <c r="J355" s="1" t="s">
        <v>51</v>
      </c>
      <c r="K355" s="1">
        <v>1354</v>
      </c>
      <c r="L355" s="1" t="str">
        <f t="shared" si="3"/>
        <v>YASH</v>
      </c>
      <c r="M355" s="1" t="str">
        <f t="shared" si="4"/>
        <v>printer</v>
      </c>
      <c r="N355" s="1">
        <f t="shared" si="5"/>
        <v>7</v>
      </c>
    </row>
    <row r="356" spans="1:14" x14ac:dyDescent="0.3">
      <c r="A356" s="1" t="s">
        <v>27</v>
      </c>
      <c r="B356" s="1" t="s">
        <v>12</v>
      </c>
      <c r="C356" s="1" t="s">
        <v>34</v>
      </c>
      <c r="D356" s="1" t="s">
        <v>60</v>
      </c>
      <c r="E356" s="1">
        <v>18</v>
      </c>
      <c r="F356" s="1">
        <v>35997</v>
      </c>
      <c r="G356" s="1">
        <v>2</v>
      </c>
      <c r="H356" s="2">
        <v>46024</v>
      </c>
      <c r="I356" s="2">
        <v>46031</v>
      </c>
      <c r="J356" s="1" t="s">
        <v>51</v>
      </c>
      <c r="K356" s="1">
        <v>1355</v>
      </c>
      <c r="L356" s="1" t="str">
        <f t="shared" si="3"/>
        <v>ARJUN</v>
      </c>
      <c r="M356" s="1" t="str">
        <f t="shared" si="4"/>
        <v>laptop</v>
      </c>
      <c r="N356" s="1">
        <f t="shared" si="5"/>
        <v>6</v>
      </c>
    </row>
    <row r="357" spans="1:14" x14ac:dyDescent="0.3">
      <c r="A357" s="1" t="s">
        <v>26</v>
      </c>
      <c r="B357" s="1" t="s">
        <v>38</v>
      </c>
      <c r="C357" s="1" t="s">
        <v>34</v>
      </c>
      <c r="D357" s="1" t="s">
        <v>60</v>
      </c>
      <c r="E357" s="1">
        <v>16</v>
      </c>
      <c r="F357" s="1">
        <v>53457</v>
      </c>
      <c r="G357" s="1">
        <v>10</v>
      </c>
      <c r="H357" s="2">
        <v>46201</v>
      </c>
      <c r="I357" s="2">
        <v>46204</v>
      </c>
      <c r="J357" s="1" t="s">
        <v>15</v>
      </c>
      <c r="K357" s="1">
        <v>1356</v>
      </c>
      <c r="L357" s="1" t="str">
        <f t="shared" si="3"/>
        <v>VIKRAM</v>
      </c>
      <c r="M357" s="1" t="str">
        <f t="shared" si="4"/>
        <v>laptop</v>
      </c>
      <c r="N357" s="1">
        <f t="shared" si="5"/>
        <v>6</v>
      </c>
    </row>
    <row r="358" spans="1:14" x14ac:dyDescent="0.3">
      <c r="A358" s="1" t="s">
        <v>59</v>
      </c>
      <c r="B358" s="1" t="s">
        <v>25</v>
      </c>
      <c r="C358" s="1" t="s">
        <v>13</v>
      </c>
      <c r="D358" s="1" t="s">
        <v>37</v>
      </c>
      <c r="E358" s="1">
        <v>6</v>
      </c>
      <c r="F358" s="1">
        <v>365</v>
      </c>
      <c r="G358" s="1">
        <v>7</v>
      </c>
      <c r="H358" s="2">
        <v>46133</v>
      </c>
      <c r="I358" s="2">
        <v>46140</v>
      </c>
      <c r="J358" s="1" t="s">
        <v>51</v>
      </c>
      <c r="K358" s="1">
        <v>1357</v>
      </c>
      <c r="L358" s="1" t="str">
        <f t="shared" si="3"/>
        <v>ANITA</v>
      </c>
      <c r="M358" s="1" t="str">
        <f t="shared" si="4"/>
        <v>pen pack</v>
      </c>
      <c r="N358" s="1">
        <f t="shared" si="5"/>
        <v>8</v>
      </c>
    </row>
    <row r="359" spans="1:14" x14ac:dyDescent="0.3">
      <c r="A359" s="1" t="s">
        <v>40</v>
      </c>
      <c r="B359" s="1" t="s">
        <v>38</v>
      </c>
      <c r="C359" s="1" t="s">
        <v>18</v>
      </c>
      <c r="D359" s="1" t="s">
        <v>19</v>
      </c>
      <c r="E359" s="1">
        <v>7</v>
      </c>
      <c r="F359" s="1">
        <v>6618</v>
      </c>
      <c r="G359" s="1">
        <v>0</v>
      </c>
      <c r="H359" s="2">
        <v>46127</v>
      </c>
      <c r="I359" s="2">
        <v>46129</v>
      </c>
      <c r="J359" s="1" t="s">
        <v>20</v>
      </c>
      <c r="K359" s="1">
        <v>1358</v>
      </c>
      <c r="L359" s="1" t="str">
        <f t="shared" si="3"/>
        <v>DEEPAK</v>
      </c>
      <c r="M359" s="1" t="str">
        <f t="shared" si="4"/>
        <v>desk</v>
      </c>
      <c r="N359" s="1">
        <f t="shared" si="5"/>
        <v>4</v>
      </c>
    </row>
    <row r="360" spans="1:14" x14ac:dyDescent="0.3">
      <c r="A360" s="1" t="s">
        <v>54</v>
      </c>
      <c r="B360" s="1" t="s">
        <v>12</v>
      </c>
      <c r="C360" s="1" t="s">
        <v>34</v>
      </c>
      <c r="D360" s="1" t="s">
        <v>61</v>
      </c>
      <c r="E360" s="1">
        <v>9</v>
      </c>
      <c r="F360" s="1">
        <v>38179</v>
      </c>
      <c r="G360" s="1">
        <v>0</v>
      </c>
      <c r="H360" s="2">
        <v>46096</v>
      </c>
      <c r="I360" s="2">
        <v>46099</v>
      </c>
      <c r="J360" s="1" t="s">
        <v>15</v>
      </c>
      <c r="K360" s="1">
        <v>1359</v>
      </c>
      <c r="L360" s="1" t="str">
        <f t="shared" si="3"/>
        <v>MANOJ</v>
      </c>
      <c r="M360" s="1" t="str">
        <f t="shared" si="4"/>
        <v>mouse</v>
      </c>
      <c r="N360" s="1">
        <f t="shared" si="5"/>
        <v>5</v>
      </c>
    </row>
    <row r="361" spans="1:14" x14ac:dyDescent="0.3">
      <c r="A361" s="1" t="s">
        <v>11</v>
      </c>
      <c r="B361" s="1" t="s">
        <v>43</v>
      </c>
      <c r="C361" s="1" t="s">
        <v>18</v>
      </c>
      <c r="D361" s="1" t="s">
        <v>23</v>
      </c>
      <c r="E361" s="1">
        <v>19</v>
      </c>
      <c r="F361" s="1">
        <v>6681</v>
      </c>
      <c r="G361" s="1">
        <v>2</v>
      </c>
      <c r="H361" s="2">
        <v>46146</v>
      </c>
      <c r="I361" s="2">
        <v>46150</v>
      </c>
      <c r="J361" s="1" t="s">
        <v>15</v>
      </c>
      <c r="K361" s="1">
        <v>1360</v>
      </c>
      <c r="L361" s="1" t="str">
        <f t="shared" si="3"/>
        <v>RITESH</v>
      </c>
      <c r="M361" s="1" t="str">
        <f t="shared" si="4"/>
        <v>table</v>
      </c>
      <c r="N361" s="1">
        <f t="shared" si="5"/>
        <v>5</v>
      </c>
    </row>
    <row r="362" spans="1:14" x14ac:dyDescent="0.3">
      <c r="A362" s="1" t="s">
        <v>42</v>
      </c>
      <c r="B362" s="1" t="s">
        <v>17</v>
      </c>
      <c r="C362" s="1" t="s">
        <v>18</v>
      </c>
      <c r="D362" s="1" t="s">
        <v>23</v>
      </c>
      <c r="E362" s="1">
        <v>2</v>
      </c>
      <c r="F362" s="1">
        <v>1822</v>
      </c>
      <c r="G362" s="1">
        <v>5</v>
      </c>
      <c r="H362" s="2">
        <v>46141</v>
      </c>
      <c r="I362" s="2">
        <v>46145</v>
      </c>
      <c r="J362" s="1" t="s">
        <v>20</v>
      </c>
      <c r="K362" s="1">
        <v>1361</v>
      </c>
      <c r="L362" s="1" t="str">
        <f t="shared" si="3"/>
        <v>NISHA</v>
      </c>
      <c r="M362" s="1" t="str">
        <f t="shared" si="4"/>
        <v>table</v>
      </c>
      <c r="N362" s="1">
        <f t="shared" si="5"/>
        <v>5</v>
      </c>
    </row>
    <row r="363" spans="1:14" x14ac:dyDescent="0.3">
      <c r="A363" s="1" t="s">
        <v>16</v>
      </c>
      <c r="B363" s="1" t="s">
        <v>12</v>
      </c>
      <c r="C363" s="1" t="s">
        <v>18</v>
      </c>
      <c r="D363" s="1" t="s">
        <v>28</v>
      </c>
      <c r="E363" s="1">
        <v>1</v>
      </c>
      <c r="F363" s="1">
        <v>10474</v>
      </c>
      <c r="G363" s="1">
        <v>0</v>
      </c>
      <c r="H363" s="2">
        <v>46094</v>
      </c>
      <c r="I363" s="2">
        <v>46096</v>
      </c>
      <c r="J363" s="1" t="s">
        <v>29</v>
      </c>
      <c r="K363" s="1">
        <v>1362</v>
      </c>
      <c r="L363" s="1" t="str">
        <f t="shared" si="3"/>
        <v>POOJA</v>
      </c>
      <c r="M363" s="1" t="str">
        <f t="shared" si="4"/>
        <v>chair</v>
      </c>
      <c r="N363" s="1">
        <f t="shared" si="5"/>
        <v>5</v>
      </c>
    </row>
    <row r="364" spans="1:14" x14ac:dyDescent="0.3">
      <c r="A364" s="1" t="s">
        <v>27</v>
      </c>
      <c r="B364" s="1" t="s">
        <v>25</v>
      </c>
      <c r="C364" s="1" t="s">
        <v>34</v>
      </c>
      <c r="D364" s="1" t="s">
        <v>35</v>
      </c>
      <c r="E364" s="1">
        <v>7</v>
      </c>
      <c r="F364" s="1">
        <v>45381</v>
      </c>
      <c r="G364" s="1">
        <v>0</v>
      </c>
      <c r="H364" s="2">
        <v>46122</v>
      </c>
      <c r="I364" s="2">
        <v>46128</v>
      </c>
      <c r="J364" s="1" t="s">
        <v>15</v>
      </c>
      <c r="K364" s="1">
        <v>1363</v>
      </c>
      <c r="L364" s="1" t="str">
        <f t="shared" si="3"/>
        <v>ARJUN</v>
      </c>
      <c r="M364" s="1" t="str">
        <f t="shared" si="4"/>
        <v>printer</v>
      </c>
      <c r="N364" s="1">
        <f t="shared" si="5"/>
        <v>7</v>
      </c>
    </row>
    <row r="365" spans="1:14" x14ac:dyDescent="0.3">
      <c r="A365" s="1" t="s">
        <v>30</v>
      </c>
      <c r="B365" s="1" t="s">
        <v>22</v>
      </c>
      <c r="C365" s="1" t="s">
        <v>18</v>
      </c>
      <c r="D365" s="1" t="s">
        <v>56</v>
      </c>
      <c r="E365" s="1">
        <v>16</v>
      </c>
      <c r="F365" s="1">
        <v>1744</v>
      </c>
      <c r="G365" s="1">
        <v>15</v>
      </c>
      <c r="H365" s="2">
        <v>46031</v>
      </c>
      <c r="I365" s="2">
        <v>46033</v>
      </c>
      <c r="J365" s="1" t="s">
        <v>51</v>
      </c>
      <c r="K365" s="1">
        <v>1364</v>
      </c>
      <c r="L365" s="1" t="str">
        <f t="shared" si="3"/>
        <v>NEHA</v>
      </c>
      <c r="M365" s="1" t="str">
        <f t="shared" si="4"/>
        <v>cabinet</v>
      </c>
      <c r="N365" s="1">
        <f t="shared" si="5"/>
        <v>7</v>
      </c>
    </row>
    <row r="366" spans="1:14" x14ac:dyDescent="0.3">
      <c r="A366" s="1" t="s">
        <v>46</v>
      </c>
      <c r="B366" s="1" t="s">
        <v>33</v>
      </c>
      <c r="C366" s="1" t="s">
        <v>13</v>
      </c>
      <c r="D366" s="1" t="s">
        <v>50</v>
      </c>
      <c r="E366" s="1">
        <v>17</v>
      </c>
      <c r="F366" s="1">
        <v>119</v>
      </c>
      <c r="G366" s="1">
        <v>7</v>
      </c>
      <c r="H366" s="2">
        <v>46070</v>
      </c>
      <c r="I366" s="2">
        <v>46072</v>
      </c>
      <c r="J366" s="1" t="s">
        <v>20</v>
      </c>
      <c r="K366" s="1">
        <v>1365</v>
      </c>
      <c r="L366" s="1" t="str">
        <f t="shared" si="3"/>
        <v>KIRAN</v>
      </c>
      <c r="M366" s="1" t="str">
        <f t="shared" si="4"/>
        <v>marker</v>
      </c>
      <c r="N366" s="1">
        <f t="shared" si="5"/>
        <v>6</v>
      </c>
    </row>
    <row r="367" spans="1:14" x14ac:dyDescent="0.3">
      <c r="A367" s="1" t="s">
        <v>26</v>
      </c>
      <c r="B367" s="1" t="s">
        <v>17</v>
      </c>
      <c r="C367" s="1" t="s">
        <v>34</v>
      </c>
      <c r="D367" s="1" t="s">
        <v>61</v>
      </c>
      <c r="E367" s="1">
        <v>20</v>
      </c>
      <c r="F367" s="1">
        <v>44312</v>
      </c>
      <c r="G367" s="1">
        <v>10</v>
      </c>
      <c r="H367" s="2">
        <v>46047</v>
      </c>
      <c r="I367" s="2">
        <v>46054</v>
      </c>
      <c r="J367" s="1" t="s">
        <v>29</v>
      </c>
      <c r="K367" s="1">
        <v>1366</v>
      </c>
      <c r="L367" s="1" t="str">
        <f t="shared" si="3"/>
        <v>VIKRAM</v>
      </c>
      <c r="M367" s="1" t="str">
        <f t="shared" si="4"/>
        <v>mouse</v>
      </c>
      <c r="N367" s="1">
        <f t="shared" si="5"/>
        <v>5</v>
      </c>
    </row>
    <row r="368" spans="1:14" x14ac:dyDescent="0.3">
      <c r="A368" s="1" t="s">
        <v>54</v>
      </c>
      <c r="B368" s="1" t="s">
        <v>25</v>
      </c>
      <c r="C368" s="1" t="s">
        <v>13</v>
      </c>
      <c r="D368" s="1" t="s">
        <v>53</v>
      </c>
      <c r="E368" s="1">
        <v>1</v>
      </c>
      <c r="F368" s="1">
        <v>371</v>
      </c>
      <c r="G368" s="1">
        <v>5</v>
      </c>
      <c r="H368" s="2">
        <v>46158</v>
      </c>
      <c r="I368" s="2">
        <v>46168</v>
      </c>
      <c r="J368" s="1" t="s">
        <v>29</v>
      </c>
      <c r="K368" s="1">
        <v>1367</v>
      </c>
      <c r="L368" s="1" t="str">
        <f t="shared" si="3"/>
        <v>MANOJ</v>
      </c>
      <c r="M368" s="1" t="str">
        <f t="shared" si="4"/>
        <v>diary</v>
      </c>
      <c r="N368" s="1">
        <f t="shared" si="5"/>
        <v>5</v>
      </c>
    </row>
    <row r="369" spans="1:14" x14ac:dyDescent="0.3">
      <c r="A369" s="1" t="s">
        <v>55</v>
      </c>
      <c r="B369" s="1" t="s">
        <v>38</v>
      </c>
      <c r="C369" s="1" t="s">
        <v>13</v>
      </c>
      <c r="D369" s="1" t="s">
        <v>36</v>
      </c>
      <c r="E369" s="1">
        <v>9</v>
      </c>
      <c r="F369" s="1">
        <v>115</v>
      </c>
      <c r="G369" s="1">
        <v>0</v>
      </c>
      <c r="H369" s="2">
        <v>46036</v>
      </c>
      <c r="I369" s="2">
        <v>46045</v>
      </c>
      <c r="J369" s="1" t="s">
        <v>24</v>
      </c>
      <c r="K369" s="1">
        <v>1368</v>
      </c>
      <c r="L369" s="1" t="str">
        <f t="shared" si="3"/>
        <v>SNEHA</v>
      </c>
      <c r="M369" s="1" t="str">
        <f t="shared" si="4"/>
        <v>stapler</v>
      </c>
      <c r="N369" s="1">
        <f t="shared" si="5"/>
        <v>7</v>
      </c>
    </row>
    <row r="370" spans="1:14" x14ac:dyDescent="0.3">
      <c r="A370" s="1" t="s">
        <v>57</v>
      </c>
      <c r="B370" s="1" t="s">
        <v>25</v>
      </c>
      <c r="C370" s="1" t="s">
        <v>18</v>
      </c>
      <c r="D370" s="1" t="s">
        <v>19</v>
      </c>
      <c r="E370" s="1">
        <v>19</v>
      </c>
      <c r="F370" s="1">
        <v>5840</v>
      </c>
      <c r="G370" s="1">
        <v>5</v>
      </c>
      <c r="H370" s="2">
        <v>46062</v>
      </c>
      <c r="I370" s="2">
        <v>46067</v>
      </c>
      <c r="J370" s="1" t="s">
        <v>15</v>
      </c>
      <c r="K370" s="1">
        <v>1369</v>
      </c>
      <c r="L370" s="1" t="str">
        <f t="shared" si="3"/>
        <v>SARA</v>
      </c>
      <c r="M370" s="1" t="str">
        <f t="shared" si="4"/>
        <v>desk</v>
      </c>
      <c r="N370" s="1">
        <f t="shared" si="5"/>
        <v>4</v>
      </c>
    </row>
    <row r="371" spans="1:14" x14ac:dyDescent="0.3">
      <c r="A371" s="1" t="s">
        <v>59</v>
      </c>
      <c r="B371" s="1" t="s">
        <v>38</v>
      </c>
      <c r="C371" s="1" t="s">
        <v>13</v>
      </c>
      <c r="D371" s="1" t="s">
        <v>53</v>
      </c>
      <c r="E371" s="1">
        <v>13</v>
      </c>
      <c r="F371" s="1">
        <v>337</v>
      </c>
      <c r="G371" s="1">
        <v>7</v>
      </c>
      <c r="H371" s="2">
        <v>46184</v>
      </c>
      <c r="I371" s="2">
        <v>46188</v>
      </c>
      <c r="J371" s="1" t="s">
        <v>15</v>
      </c>
      <c r="K371" s="1">
        <v>1370</v>
      </c>
      <c r="L371" s="1" t="str">
        <f t="shared" si="3"/>
        <v>ANITA</v>
      </c>
      <c r="M371" s="1" t="str">
        <f t="shared" si="4"/>
        <v>diary</v>
      </c>
      <c r="N371" s="1">
        <f t="shared" si="5"/>
        <v>5</v>
      </c>
    </row>
    <row r="372" spans="1:14" x14ac:dyDescent="0.3">
      <c r="A372" s="1" t="s">
        <v>48</v>
      </c>
      <c r="B372" s="1" t="s">
        <v>38</v>
      </c>
      <c r="C372" s="1" t="s">
        <v>18</v>
      </c>
      <c r="D372" s="1" t="s">
        <v>19</v>
      </c>
      <c r="E372" s="1">
        <v>19</v>
      </c>
      <c r="F372" s="1">
        <v>1087</v>
      </c>
      <c r="G372" s="1">
        <v>15</v>
      </c>
      <c r="H372" s="2">
        <v>46072</v>
      </c>
      <c r="I372" s="2">
        <v>46082</v>
      </c>
      <c r="J372" s="1" t="s">
        <v>20</v>
      </c>
      <c r="K372" s="1">
        <v>1371</v>
      </c>
      <c r="L372" s="1" t="str">
        <f t="shared" si="3"/>
        <v>NITIN</v>
      </c>
      <c r="M372" s="1" t="str">
        <f t="shared" si="4"/>
        <v>desk</v>
      </c>
      <c r="N372" s="1">
        <f t="shared" si="5"/>
        <v>4</v>
      </c>
    </row>
    <row r="373" spans="1:14" x14ac:dyDescent="0.3">
      <c r="A373" s="1" t="s">
        <v>48</v>
      </c>
      <c r="B373" s="1" t="s">
        <v>17</v>
      </c>
      <c r="C373" s="1" t="s">
        <v>34</v>
      </c>
      <c r="D373" s="1" t="s">
        <v>39</v>
      </c>
      <c r="E373" s="1">
        <v>9</v>
      </c>
      <c r="F373" s="1">
        <v>9551</v>
      </c>
      <c r="G373" s="1">
        <v>10</v>
      </c>
      <c r="H373" s="2">
        <v>46161</v>
      </c>
      <c r="I373" s="2">
        <v>46168</v>
      </c>
      <c r="J373" s="1" t="s">
        <v>15</v>
      </c>
      <c r="K373" s="1">
        <v>1372</v>
      </c>
      <c r="L373" s="1" t="str">
        <f t="shared" si="3"/>
        <v>NITIN</v>
      </c>
      <c r="M373" s="1" t="str">
        <f t="shared" si="4"/>
        <v>keyboard</v>
      </c>
      <c r="N373" s="1">
        <f t="shared" si="5"/>
        <v>8</v>
      </c>
    </row>
    <row r="374" spans="1:14" x14ac:dyDescent="0.3">
      <c r="A374" s="1" t="s">
        <v>54</v>
      </c>
      <c r="B374" s="1" t="s">
        <v>25</v>
      </c>
      <c r="C374" s="1" t="s">
        <v>34</v>
      </c>
      <c r="D374" s="1" t="s">
        <v>60</v>
      </c>
      <c r="E374" s="1">
        <v>11</v>
      </c>
      <c r="F374" s="1">
        <v>47930</v>
      </c>
      <c r="G374" s="1">
        <v>12</v>
      </c>
      <c r="H374" s="2">
        <v>46191</v>
      </c>
      <c r="I374" s="2">
        <v>46201</v>
      </c>
      <c r="J374" s="1" t="s">
        <v>20</v>
      </c>
      <c r="K374" s="1">
        <v>1373</v>
      </c>
      <c r="L374" s="1" t="str">
        <f t="shared" si="3"/>
        <v>MANOJ</v>
      </c>
      <c r="M374" s="1" t="str">
        <f t="shared" si="4"/>
        <v>laptop</v>
      </c>
      <c r="N374" s="1">
        <f t="shared" si="5"/>
        <v>6</v>
      </c>
    </row>
    <row r="375" spans="1:14" x14ac:dyDescent="0.3">
      <c r="A375" s="1" t="s">
        <v>57</v>
      </c>
      <c r="B375" s="1" t="s">
        <v>33</v>
      </c>
      <c r="C375" s="1" t="s">
        <v>34</v>
      </c>
      <c r="D375" s="1" t="s">
        <v>35</v>
      </c>
      <c r="E375" s="1">
        <v>12</v>
      </c>
      <c r="F375" s="1">
        <v>66052</v>
      </c>
      <c r="G375" s="1">
        <v>2</v>
      </c>
      <c r="H375" s="2">
        <v>46063</v>
      </c>
      <c r="I375" s="2">
        <v>46066</v>
      </c>
      <c r="J375" s="1" t="s">
        <v>51</v>
      </c>
      <c r="K375" s="1">
        <v>1374</v>
      </c>
      <c r="L375" s="1" t="str">
        <f t="shared" si="3"/>
        <v>SARA</v>
      </c>
      <c r="M375" s="1" t="str">
        <f t="shared" si="4"/>
        <v>printer</v>
      </c>
      <c r="N375" s="1">
        <f t="shared" si="5"/>
        <v>7</v>
      </c>
    </row>
    <row r="376" spans="1:14" x14ac:dyDescent="0.3">
      <c r="A376" s="1" t="s">
        <v>46</v>
      </c>
      <c r="B376" s="1" t="s">
        <v>43</v>
      </c>
      <c r="C376" s="1" t="s">
        <v>34</v>
      </c>
      <c r="D376" s="1" t="s">
        <v>45</v>
      </c>
      <c r="E376" s="1">
        <v>20</v>
      </c>
      <c r="F376" s="1">
        <v>56766</v>
      </c>
      <c r="G376" s="1">
        <v>0</v>
      </c>
      <c r="H376" s="2">
        <v>46052</v>
      </c>
      <c r="I376" s="2">
        <v>46061</v>
      </c>
      <c r="J376" s="1" t="s">
        <v>24</v>
      </c>
      <c r="K376" s="1">
        <v>1375</v>
      </c>
      <c r="L376" s="1" t="str">
        <f t="shared" si="3"/>
        <v>KIRAN</v>
      </c>
      <c r="M376" s="1" t="str">
        <f t="shared" si="4"/>
        <v>monitor</v>
      </c>
      <c r="N376" s="1">
        <f t="shared" si="5"/>
        <v>7</v>
      </c>
    </row>
    <row r="377" spans="1:14" x14ac:dyDescent="0.3">
      <c r="A377" s="1" t="s">
        <v>52</v>
      </c>
      <c r="B377" s="1" t="s">
        <v>31</v>
      </c>
      <c r="C377" s="1" t="s">
        <v>13</v>
      </c>
      <c r="D377" s="1" t="s">
        <v>50</v>
      </c>
      <c r="E377" s="1">
        <v>20</v>
      </c>
      <c r="F377" s="1">
        <v>429</v>
      </c>
      <c r="G377" s="1">
        <v>5</v>
      </c>
      <c r="H377" s="2">
        <v>46178</v>
      </c>
      <c r="I377" s="2">
        <v>46184</v>
      </c>
      <c r="J377" s="1" t="s">
        <v>20</v>
      </c>
      <c r="K377" s="1">
        <v>1376</v>
      </c>
      <c r="L377" s="1" t="str">
        <f t="shared" si="3"/>
        <v>KOMAL</v>
      </c>
      <c r="M377" s="1" t="str">
        <f t="shared" si="4"/>
        <v>marker</v>
      </c>
      <c r="N377" s="1">
        <f t="shared" si="5"/>
        <v>6</v>
      </c>
    </row>
    <row r="378" spans="1:14" x14ac:dyDescent="0.3">
      <c r="A378" s="1" t="s">
        <v>32</v>
      </c>
      <c r="B378" s="1" t="s">
        <v>38</v>
      </c>
      <c r="C378" s="1" t="s">
        <v>18</v>
      </c>
      <c r="D378" s="1" t="s">
        <v>19</v>
      </c>
      <c r="E378" s="1">
        <v>3</v>
      </c>
      <c r="F378" s="1">
        <v>5480</v>
      </c>
      <c r="G378" s="1">
        <v>12</v>
      </c>
      <c r="H378" s="2">
        <v>46105</v>
      </c>
      <c r="I378" s="2">
        <v>46111</v>
      </c>
      <c r="J378" s="1" t="s">
        <v>24</v>
      </c>
      <c r="K378" s="1">
        <v>1377</v>
      </c>
      <c r="L378" s="1" t="str">
        <f t="shared" si="3"/>
        <v>ASHA</v>
      </c>
      <c r="M378" s="1" t="str">
        <f t="shared" si="4"/>
        <v>desk</v>
      </c>
      <c r="N378" s="1">
        <f t="shared" si="5"/>
        <v>4</v>
      </c>
    </row>
    <row r="379" spans="1:14" x14ac:dyDescent="0.3">
      <c r="A379" s="1" t="s">
        <v>55</v>
      </c>
      <c r="B379" s="1" t="s">
        <v>22</v>
      </c>
      <c r="C379" s="1" t="s">
        <v>34</v>
      </c>
      <c r="D379" s="1" t="s">
        <v>45</v>
      </c>
      <c r="E379" s="1">
        <v>15</v>
      </c>
      <c r="F379" s="1">
        <v>22693</v>
      </c>
      <c r="G379" s="1">
        <v>12</v>
      </c>
      <c r="H379" s="2">
        <v>46074</v>
      </c>
      <c r="I379" s="2">
        <v>46080</v>
      </c>
      <c r="J379" s="1" t="s">
        <v>51</v>
      </c>
      <c r="K379" s="1">
        <v>1378</v>
      </c>
      <c r="L379" s="1" t="str">
        <f t="shared" si="3"/>
        <v>SNEHA</v>
      </c>
      <c r="M379" s="1" t="str">
        <f t="shared" si="4"/>
        <v>monitor</v>
      </c>
      <c r="N379" s="1">
        <f t="shared" si="5"/>
        <v>7</v>
      </c>
    </row>
    <row r="380" spans="1:14" x14ac:dyDescent="0.3">
      <c r="A380" s="1" t="s">
        <v>47</v>
      </c>
      <c r="B380" s="1" t="s">
        <v>17</v>
      </c>
      <c r="C380" s="1" t="s">
        <v>13</v>
      </c>
      <c r="D380" s="1" t="s">
        <v>14</v>
      </c>
      <c r="E380" s="1">
        <v>11</v>
      </c>
      <c r="F380" s="1">
        <v>136</v>
      </c>
      <c r="G380" s="1">
        <v>15</v>
      </c>
      <c r="H380" s="2">
        <v>46106</v>
      </c>
      <c r="I380" s="2">
        <v>46107</v>
      </c>
      <c r="J380" s="1" t="s">
        <v>20</v>
      </c>
      <c r="K380" s="1">
        <v>1379</v>
      </c>
      <c r="L380" s="1" t="str">
        <f t="shared" si="3"/>
        <v>YASH</v>
      </c>
      <c r="M380" s="1" t="str">
        <f t="shared" si="4"/>
        <v>notebook</v>
      </c>
      <c r="N380" s="1">
        <f t="shared" si="5"/>
        <v>8</v>
      </c>
    </row>
    <row r="381" spans="1:14" x14ac:dyDescent="0.3">
      <c r="A381" s="1" t="s">
        <v>52</v>
      </c>
      <c r="B381" s="1" t="s">
        <v>43</v>
      </c>
      <c r="C381" s="1" t="s">
        <v>13</v>
      </c>
      <c r="D381" s="1" t="s">
        <v>53</v>
      </c>
      <c r="E381" s="1">
        <v>3</v>
      </c>
      <c r="F381" s="1">
        <v>412</v>
      </c>
      <c r="G381" s="1">
        <v>7</v>
      </c>
      <c r="H381" s="2">
        <v>46128</v>
      </c>
      <c r="I381" s="2">
        <v>46138</v>
      </c>
      <c r="J381" s="1" t="s">
        <v>24</v>
      </c>
      <c r="K381" s="1">
        <v>1380</v>
      </c>
      <c r="L381" s="1" t="str">
        <f t="shared" si="3"/>
        <v>KOMAL</v>
      </c>
      <c r="M381" s="1" t="str">
        <f t="shared" si="4"/>
        <v>diary</v>
      </c>
      <c r="N381" s="1">
        <f t="shared" si="5"/>
        <v>5</v>
      </c>
    </row>
    <row r="382" spans="1:14" x14ac:dyDescent="0.3">
      <c r="A382" s="1" t="s">
        <v>55</v>
      </c>
      <c r="B382" s="1" t="s">
        <v>33</v>
      </c>
      <c r="C382" s="1" t="s">
        <v>18</v>
      </c>
      <c r="D382" s="1" t="s">
        <v>28</v>
      </c>
      <c r="E382" s="1">
        <v>5</v>
      </c>
      <c r="F382" s="1">
        <v>7484</v>
      </c>
      <c r="G382" s="1">
        <v>2</v>
      </c>
      <c r="H382" s="2">
        <v>46089</v>
      </c>
      <c r="I382" s="2">
        <v>46093</v>
      </c>
      <c r="J382" s="1" t="s">
        <v>20</v>
      </c>
      <c r="K382" s="1">
        <v>1381</v>
      </c>
      <c r="L382" s="1" t="str">
        <f t="shared" si="3"/>
        <v>SNEHA</v>
      </c>
      <c r="M382" s="1" t="str">
        <f t="shared" si="4"/>
        <v>chair</v>
      </c>
      <c r="N382" s="1">
        <f t="shared" si="5"/>
        <v>5</v>
      </c>
    </row>
    <row r="383" spans="1:14" x14ac:dyDescent="0.3">
      <c r="A383" s="1" t="s">
        <v>49</v>
      </c>
      <c r="B383" s="1" t="s">
        <v>33</v>
      </c>
      <c r="C383" s="1" t="s">
        <v>34</v>
      </c>
      <c r="D383" s="1" t="s">
        <v>60</v>
      </c>
      <c r="E383" s="1">
        <v>11</v>
      </c>
      <c r="F383" s="1">
        <v>36198</v>
      </c>
      <c r="G383" s="1">
        <v>0</v>
      </c>
      <c r="H383" s="2">
        <v>46130</v>
      </c>
      <c r="I383" s="2">
        <v>46134</v>
      </c>
      <c r="J383" s="1" t="s">
        <v>15</v>
      </c>
      <c r="K383" s="1">
        <v>1382</v>
      </c>
      <c r="L383" s="1" t="str">
        <f t="shared" si="3"/>
        <v>AJAY</v>
      </c>
      <c r="M383" s="1" t="str">
        <f t="shared" si="4"/>
        <v>laptop</v>
      </c>
      <c r="N383" s="1">
        <f t="shared" si="5"/>
        <v>6</v>
      </c>
    </row>
    <row r="384" spans="1:14" x14ac:dyDescent="0.3">
      <c r="A384" s="1" t="s">
        <v>32</v>
      </c>
      <c r="B384" s="1" t="s">
        <v>12</v>
      </c>
      <c r="C384" s="1" t="s">
        <v>13</v>
      </c>
      <c r="D384" s="1" t="s">
        <v>53</v>
      </c>
      <c r="E384" s="1">
        <v>14</v>
      </c>
      <c r="F384" s="1">
        <v>334</v>
      </c>
      <c r="G384" s="1">
        <v>10</v>
      </c>
      <c r="H384" s="2">
        <v>46196</v>
      </c>
      <c r="I384" s="2">
        <v>46203</v>
      </c>
      <c r="J384" s="1" t="s">
        <v>15</v>
      </c>
      <c r="K384" s="1">
        <v>1383</v>
      </c>
      <c r="L384" s="1" t="str">
        <f t="shared" si="3"/>
        <v>ASHA</v>
      </c>
      <c r="M384" s="1" t="str">
        <f t="shared" si="4"/>
        <v>diary</v>
      </c>
      <c r="N384" s="1">
        <f t="shared" si="5"/>
        <v>5</v>
      </c>
    </row>
    <row r="385" spans="1:14" x14ac:dyDescent="0.3">
      <c r="A385" s="1" t="s">
        <v>59</v>
      </c>
      <c r="B385" s="1" t="s">
        <v>12</v>
      </c>
      <c r="C385" s="1" t="s">
        <v>34</v>
      </c>
      <c r="D385" s="1" t="s">
        <v>39</v>
      </c>
      <c r="E385" s="1">
        <v>15</v>
      </c>
      <c r="F385" s="1">
        <v>38116</v>
      </c>
      <c r="G385" s="1">
        <v>0</v>
      </c>
      <c r="H385" s="2">
        <v>46074</v>
      </c>
      <c r="I385" s="2">
        <v>46078</v>
      </c>
      <c r="J385" s="1" t="s">
        <v>29</v>
      </c>
      <c r="K385" s="1">
        <v>1384</v>
      </c>
      <c r="L385" s="1" t="str">
        <f t="shared" si="3"/>
        <v>ANITA</v>
      </c>
      <c r="M385" s="1" t="str">
        <f t="shared" si="4"/>
        <v>keyboard</v>
      </c>
      <c r="N385" s="1">
        <f t="shared" si="5"/>
        <v>8</v>
      </c>
    </row>
    <row r="386" spans="1:14" x14ac:dyDescent="0.3">
      <c r="A386" s="1" t="s">
        <v>26</v>
      </c>
      <c r="B386" s="1" t="s">
        <v>33</v>
      </c>
      <c r="C386" s="1" t="s">
        <v>34</v>
      </c>
      <c r="D386" s="1" t="s">
        <v>39</v>
      </c>
      <c r="E386" s="1">
        <v>12</v>
      </c>
      <c r="F386" s="1">
        <v>61360</v>
      </c>
      <c r="G386" s="1">
        <v>10</v>
      </c>
      <c r="H386" s="2">
        <v>46048</v>
      </c>
      <c r="I386" s="2">
        <v>46053</v>
      </c>
      <c r="J386" s="1" t="s">
        <v>51</v>
      </c>
      <c r="K386" s="1">
        <v>1385</v>
      </c>
      <c r="L386" s="1" t="str">
        <f t="shared" si="3"/>
        <v>VIKRAM</v>
      </c>
      <c r="M386" s="1" t="str">
        <f t="shared" si="4"/>
        <v>keyboard</v>
      </c>
      <c r="N386" s="1">
        <f t="shared" si="5"/>
        <v>8</v>
      </c>
    </row>
    <row r="387" spans="1:14" x14ac:dyDescent="0.3">
      <c r="A387" s="1" t="s">
        <v>27</v>
      </c>
      <c r="B387" s="1" t="s">
        <v>31</v>
      </c>
      <c r="C387" s="1" t="s">
        <v>18</v>
      </c>
      <c r="D387" s="1" t="s">
        <v>28</v>
      </c>
      <c r="E387" s="1">
        <v>9</v>
      </c>
      <c r="F387" s="1">
        <v>7509</v>
      </c>
      <c r="G387" s="1">
        <v>5</v>
      </c>
      <c r="H387" s="2">
        <v>46162</v>
      </c>
      <c r="I387" s="2">
        <v>46171</v>
      </c>
      <c r="J387" s="1" t="s">
        <v>51</v>
      </c>
      <c r="K387" s="1">
        <v>1386</v>
      </c>
      <c r="L387" s="1" t="str">
        <f t="shared" si="3"/>
        <v>ARJUN</v>
      </c>
      <c r="M387" s="1" t="str">
        <f t="shared" si="4"/>
        <v>chair</v>
      </c>
      <c r="N387" s="1">
        <f t="shared" si="5"/>
        <v>5</v>
      </c>
    </row>
    <row r="388" spans="1:14" x14ac:dyDescent="0.3">
      <c r="A388" s="1" t="s">
        <v>54</v>
      </c>
      <c r="B388" s="1" t="s">
        <v>33</v>
      </c>
      <c r="C388" s="1" t="s">
        <v>34</v>
      </c>
      <c r="D388" s="1" t="s">
        <v>35</v>
      </c>
      <c r="E388" s="1">
        <v>11</v>
      </c>
      <c r="F388" s="1">
        <v>56515</v>
      </c>
      <c r="G388" s="1">
        <v>5</v>
      </c>
      <c r="H388" s="2">
        <v>46102</v>
      </c>
      <c r="I388" s="2">
        <v>46112</v>
      </c>
      <c r="J388" s="1" t="s">
        <v>24</v>
      </c>
      <c r="K388" s="1">
        <v>1387</v>
      </c>
      <c r="L388" s="1" t="str">
        <f t="shared" si="3"/>
        <v>MANOJ</v>
      </c>
      <c r="M388" s="1" t="str">
        <f t="shared" si="4"/>
        <v>printer</v>
      </c>
      <c r="N388" s="1">
        <f t="shared" si="5"/>
        <v>7</v>
      </c>
    </row>
    <row r="389" spans="1:14" x14ac:dyDescent="0.3">
      <c r="A389" s="1" t="s">
        <v>55</v>
      </c>
      <c r="B389" s="1" t="s">
        <v>31</v>
      </c>
      <c r="C389" s="1" t="s">
        <v>18</v>
      </c>
      <c r="D389" s="1" t="s">
        <v>28</v>
      </c>
      <c r="E389" s="1">
        <v>12</v>
      </c>
      <c r="F389" s="1">
        <v>11662</v>
      </c>
      <c r="G389" s="1">
        <v>12</v>
      </c>
      <c r="H389" s="2">
        <v>46094</v>
      </c>
      <c r="I389" s="2">
        <v>46096</v>
      </c>
      <c r="J389" s="1" t="s">
        <v>20</v>
      </c>
      <c r="K389" s="1">
        <v>1388</v>
      </c>
      <c r="L389" s="1" t="str">
        <f t="shared" si="3"/>
        <v>SNEHA</v>
      </c>
      <c r="M389" s="1" t="str">
        <f t="shared" si="4"/>
        <v>chair</v>
      </c>
      <c r="N389" s="1">
        <f t="shared" si="5"/>
        <v>5</v>
      </c>
    </row>
    <row r="390" spans="1:14" x14ac:dyDescent="0.3">
      <c r="A390" s="1" t="s">
        <v>32</v>
      </c>
      <c r="B390" s="1" t="s">
        <v>12</v>
      </c>
      <c r="C390" s="1" t="s">
        <v>34</v>
      </c>
      <c r="D390" s="1" t="s">
        <v>41</v>
      </c>
      <c r="E390" s="1">
        <v>3</v>
      </c>
      <c r="F390" s="1">
        <v>56380</v>
      </c>
      <c r="G390" s="1">
        <v>5</v>
      </c>
      <c r="H390" s="2">
        <v>46044</v>
      </c>
      <c r="I390" s="2">
        <v>46048</v>
      </c>
      <c r="J390" s="1" t="s">
        <v>51</v>
      </c>
      <c r="K390" s="1">
        <v>1389</v>
      </c>
      <c r="L390" s="1" t="str">
        <f t="shared" si="3"/>
        <v>ASHA</v>
      </c>
      <c r="M390" s="1" t="str">
        <f t="shared" si="4"/>
        <v>headset</v>
      </c>
      <c r="N390" s="1">
        <f t="shared" si="5"/>
        <v>7</v>
      </c>
    </row>
    <row r="391" spans="1:14" x14ac:dyDescent="0.3">
      <c r="A391" s="1" t="s">
        <v>58</v>
      </c>
      <c r="B391" s="1" t="s">
        <v>43</v>
      </c>
      <c r="C391" s="1" t="s">
        <v>18</v>
      </c>
      <c r="D391" s="1" t="s">
        <v>19</v>
      </c>
      <c r="E391" s="1">
        <v>9</v>
      </c>
      <c r="F391" s="1">
        <v>7670</v>
      </c>
      <c r="G391" s="1">
        <v>0</v>
      </c>
      <c r="H391" s="2">
        <v>46076</v>
      </c>
      <c r="I391" s="2">
        <v>46081</v>
      </c>
      <c r="J391" s="1" t="s">
        <v>51</v>
      </c>
      <c r="K391" s="1">
        <v>1390</v>
      </c>
      <c r="L391" s="1" t="str">
        <f t="shared" si="3"/>
        <v>ROHAN</v>
      </c>
      <c r="M391" s="1" t="str">
        <f t="shared" si="4"/>
        <v>desk</v>
      </c>
      <c r="N391" s="1">
        <f t="shared" si="5"/>
        <v>4</v>
      </c>
    </row>
    <row r="392" spans="1:14" x14ac:dyDescent="0.3">
      <c r="A392" s="1" t="s">
        <v>30</v>
      </c>
      <c r="B392" s="1" t="s">
        <v>31</v>
      </c>
      <c r="C392" s="1" t="s">
        <v>34</v>
      </c>
      <c r="D392" s="1" t="s">
        <v>35</v>
      </c>
      <c r="E392" s="1">
        <v>5</v>
      </c>
      <c r="F392" s="1">
        <v>65270</v>
      </c>
      <c r="G392" s="1">
        <v>5</v>
      </c>
      <c r="H392" s="2">
        <v>46100</v>
      </c>
      <c r="I392" s="2">
        <v>46103</v>
      </c>
      <c r="J392" s="1" t="s">
        <v>24</v>
      </c>
      <c r="K392" s="1">
        <v>1391</v>
      </c>
      <c r="L392" s="1" t="str">
        <f t="shared" si="3"/>
        <v>NEHA</v>
      </c>
      <c r="M392" s="1" t="str">
        <f t="shared" si="4"/>
        <v>printer</v>
      </c>
      <c r="N392" s="1">
        <f t="shared" si="5"/>
        <v>7</v>
      </c>
    </row>
    <row r="393" spans="1:14" x14ac:dyDescent="0.3">
      <c r="A393" s="1" t="s">
        <v>29</v>
      </c>
      <c r="B393" s="1" t="s">
        <v>43</v>
      </c>
      <c r="C393" s="1" t="s">
        <v>34</v>
      </c>
      <c r="D393" s="1" t="s">
        <v>35</v>
      </c>
      <c r="E393" s="1">
        <v>13</v>
      </c>
      <c r="F393" s="1">
        <v>23903</v>
      </c>
      <c r="G393" s="1">
        <v>5</v>
      </c>
      <c r="H393" s="2">
        <v>46124</v>
      </c>
      <c r="I393" s="2">
        <v>46125</v>
      </c>
      <c r="J393" s="1" t="s">
        <v>29</v>
      </c>
      <c r="K393" s="1">
        <v>1392</v>
      </c>
      <c r="L393" s="1" t="str">
        <f t="shared" si="3"/>
        <v>PRIYA</v>
      </c>
      <c r="M393" s="1" t="str">
        <f t="shared" si="4"/>
        <v>printer</v>
      </c>
      <c r="N393" s="1">
        <f t="shared" si="5"/>
        <v>7</v>
      </c>
    </row>
    <row r="394" spans="1:14" x14ac:dyDescent="0.3">
      <c r="A394" s="1" t="s">
        <v>30</v>
      </c>
      <c r="B394" s="1" t="s">
        <v>25</v>
      </c>
      <c r="C394" s="1" t="s">
        <v>34</v>
      </c>
      <c r="D394" s="1" t="s">
        <v>45</v>
      </c>
      <c r="E394" s="1">
        <v>17</v>
      </c>
      <c r="F394" s="1">
        <v>30351</v>
      </c>
      <c r="G394" s="1">
        <v>15</v>
      </c>
      <c r="H394" s="2">
        <v>46047</v>
      </c>
      <c r="I394" s="2">
        <v>46051</v>
      </c>
      <c r="J394" s="1" t="s">
        <v>51</v>
      </c>
      <c r="K394" s="1">
        <v>1393</v>
      </c>
      <c r="L394" s="1" t="str">
        <f t="shared" si="3"/>
        <v>NEHA</v>
      </c>
      <c r="M394" s="1" t="str">
        <f t="shared" si="4"/>
        <v>monitor</v>
      </c>
      <c r="N394" s="1">
        <f t="shared" si="5"/>
        <v>7</v>
      </c>
    </row>
    <row r="395" spans="1:14" x14ac:dyDescent="0.3">
      <c r="A395" s="1" t="s">
        <v>54</v>
      </c>
      <c r="B395" s="1" t="s">
        <v>12</v>
      </c>
      <c r="C395" s="1" t="s">
        <v>13</v>
      </c>
      <c r="D395" s="1" t="s">
        <v>14</v>
      </c>
      <c r="E395" s="1">
        <v>10</v>
      </c>
      <c r="F395" s="1">
        <v>138</v>
      </c>
      <c r="G395" s="1">
        <v>2</v>
      </c>
      <c r="H395" s="2">
        <v>46056</v>
      </c>
      <c r="I395" s="2">
        <v>46057</v>
      </c>
      <c r="J395" s="1" t="s">
        <v>15</v>
      </c>
      <c r="K395" s="1">
        <v>1394</v>
      </c>
      <c r="L395" s="1" t="str">
        <f t="shared" si="3"/>
        <v>MANOJ</v>
      </c>
      <c r="M395" s="1" t="str">
        <f t="shared" si="4"/>
        <v>notebook</v>
      </c>
      <c r="N395" s="1">
        <f t="shared" si="5"/>
        <v>8</v>
      </c>
    </row>
    <row r="396" spans="1:14" x14ac:dyDescent="0.3">
      <c r="A396" s="1" t="s">
        <v>54</v>
      </c>
      <c r="B396" s="1" t="s">
        <v>33</v>
      </c>
      <c r="C396" s="1" t="s">
        <v>18</v>
      </c>
      <c r="D396" s="1" t="s">
        <v>44</v>
      </c>
      <c r="E396" s="1">
        <v>18</v>
      </c>
      <c r="F396" s="1">
        <v>10402</v>
      </c>
      <c r="G396" s="1">
        <v>15</v>
      </c>
      <c r="H396" s="2">
        <v>46062</v>
      </c>
      <c r="I396" s="2">
        <v>46067</v>
      </c>
      <c r="J396" s="1" t="s">
        <v>29</v>
      </c>
      <c r="K396" s="1">
        <v>1395</v>
      </c>
      <c r="L396" s="1" t="str">
        <f t="shared" si="3"/>
        <v>MANOJ</v>
      </c>
      <c r="M396" s="1" t="str">
        <f t="shared" si="4"/>
        <v>bookshelf</v>
      </c>
      <c r="N396" s="1">
        <f t="shared" si="5"/>
        <v>9</v>
      </c>
    </row>
    <row r="397" spans="1:14" x14ac:dyDescent="0.3">
      <c r="A397" s="1" t="s">
        <v>21</v>
      </c>
      <c r="B397" s="1" t="s">
        <v>38</v>
      </c>
      <c r="C397" s="1" t="s">
        <v>13</v>
      </c>
      <c r="D397" s="1" t="s">
        <v>53</v>
      </c>
      <c r="E397" s="1">
        <v>8</v>
      </c>
      <c r="F397" s="1">
        <v>54</v>
      </c>
      <c r="G397" s="1">
        <v>15</v>
      </c>
      <c r="H397" s="2">
        <v>46031</v>
      </c>
      <c r="I397" s="2">
        <v>46035</v>
      </c>
      <c r="J397" s="1" t="s">
        <v>15</v>
      </c>
      <c r="K397" s="1">
        <v>1396</v>
      </c>
      <c r="L397" s="1" t="str">
        <f t="shared" si="3"/>
        <v>MEERA</v>
      </c>
      <c r="M397" s="1" t="str">
        <f t="shared" si="4"/>
        <v>diary</v>
      </c>
      <c r="N397" s="1">
        <f t="shared" si="5"/>
        <v>5</v>
      </c>
    </row>
    <row r="398" spans="1:14" x14ac:dyDescent="0.3">
      <c r="A398" s="1" t="s">
        <v>21</v>
      </c>
      <c r="B398" s="1" t="s">
        <v>33</v>
      </c>
      <c r="C398" s="1" t="s">
        <v>18</v>
      </c>
      <c r="D398" s="1" t="s">
        <v>23</v>
      </c>
      <c r="E398" s="1">
        <v>1</v>
      </c>
      <c r="F398" s="1">
        <v>8948</v>
      </c>
      <c r="G398" s="1">
        <v>5</v>
      </c>
      <c r="H398" s="2">
        <v>46194</v>
      </c>
      <c r="I398" s="2">
        <v>46201</v>
      </c>
      <c r="J398" s="1" t="s">
        <v>51</v>
      </c>
      <c r="K398" s="1">
        <v>1397</v>
      </c>
      <c r="L398" s="1" t="str">
        <f t="shared" si="3"/>
        <v>MEERA</v>
      </c>
      <c r="M398" s="1" t="str">
        <f t="shared" si="4"/>
        <v>table</v>
      </c>
      <c r="N398" s="1">
        <f t="shared" si="5"/>
        <v>5</v>
      </c>
    </row>
    <row r="399" spans="1:14" x14ac:dyDescent="0.3">
      <c r="A399" s="1" t="s">
        <v>58</v>
      </c>
      <c r="B399" s="1" t="s">
        <v>43</v>
      </c>
      <c r="C399" s="1" t="s">
        <v>34</v>
      </c>
      <c r="D399" s="1" t="s">
        <v>39</v>
      </c>
      <c r="E399" s="1">
        <v>12</v>
      </c>
      <c r="F399" s="1">
        <v>10668</v>
      </c>
      <c r="G399" s="1">
        <v>0</v>
      </c>
      <c r="H399" s="2">
        <v>46170</v>
      </c>
      <c r="I399" s="2">
        <v>46176</v>
      </c>
      <c r="J399" s="1" t="s">
        <v>15</v>
      </c>
      <c r="K399" s="1">
        <v>1398</v>
      </c>
      <c r="L399" s="1" t="str">
        <f t="shared" si="3"/>
        <v>ROHAN</v>
      </c>
      <c r="M399" s="1" t="str">
        <f t="shared" si="4"/>
        <v>keyboard</v>
      </c>
      <c r="N399" s="1">
        <f t="shared" si="5"/>
        <v>8</v>
      </c>
    </row>
    <row r="400" spans="1:14" x14ac:dyDescent="0.3">
      <c r="A400" s="1" t="s">
        <v>48</v>
      </c>
      <c r="B400" s="1" t="s">
        <v>31</v>
      </c>
      <c r="C400" s="1" t="s">
        <v>13</v>
      </c>
      <c r="D400" s="1" t="s">
        <v>14</v>
      </c>
      <c r="E400" s="1">
        <v>15</v>
      </c>
      <c r="F400" s="1">
        <v>87</v>
      </c>
      <c r="G400" s="1">
        <v>15</v>
      </c>
      <c r="H400" s="2">
        <v>46089</v>
      </c>
      <c r="I400" s="2">
        <v>46093</v>
      </c>
      <c r="J400" s="1" t="s">
        <v>20</v>
      </c>
      <c r="K400" s="1">
        <v>1399</v>
      </c>
      <c r="L400" s="1" t="str">
        <f t="shared" si="3"/>
        <v>NITIN</v>
      </c>
      <c r="M400" s="1" t="str">
        <f t="shared" si="4"/>
        <v>notebook</v>
      </c>
      <c r="N400" s="1">
        <f t="shared" si="5"/>
        <v>8</v>
      </c>
    </row>
    <row r="401" spans="1:14" x14ac:dyDescent="0.3">
      <c r="A401" s="1" t="s">
        <v>40</v>
      </c>
      <c r="B401" s="1" t="s">
        <v>22</v>
      </c>
      <c r="C401" s="1" t="s">
        <v>34</v>
      </c>
      <c r="D401" s="1" t="s">
        <v>35</v>
      </c>
      <c r="E401" s="1">
        <v>13</v>
      </c>
      <c r="F401" s="1">
        <v>52411</v>
      </c>
      <c r="G401" s="1">
        <v>15</v>
      </c>
      <c r="H401" s="2">
        <v>46090</v>
      </c>
      <c r="I401" s="2">
        <v>46092</v>
      </c>
      <c r="J401" s="1" t="s">
        <v>20</v>
      </c>
      <c r="K401" s="1">
        <v>1400</v>
      </c>
      <c r="L401" s="1" t="str">
        <f t="shared" si="3"/>
        <v>DEEPAK</v>
      </c>
      <c r="M401" s="1" t="str">
        <f t="shared" si="4"/>
        <v>printer</v>
      </c>
      <c r="N401" s="1">
        <f t="shared" si="5"/>
        <v>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P401"/>
  <sheetViews>
    <sheetView topLeftCell="D1" workbookViewId="0"/>
  </sheetViews>
  <sheetFormatPr defaultColWidth="14.44140625" defaultRowHeight="15" customHeight="1" x14ac:dyDescent="0.3"/>
  <cols>
    <col min="1" max="1" width="9.5546875" customWidth="1"/>
    <col min="13" max="13" width="20.5546875" customWidth="1"/>
  </cols>
  <sheetData>
    <row r="1" spans="1:16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0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</row>
    <row r="2" spans="1:16" x14ac:dyDescent="0.3">
      <c r="A2" s="1" t="s">
        <v>11</v>
      </c>
      <c r="B2" s="1" t="s">
        <v>12</v>
      </c>
      <c r="C2" s="1" t="s">
        <v>13</v>
      </c>
      <c r="D2" s="1" t="s">
        <v>14</v>
      </c>
      <c r="E2" s="1">
        <v>3</v>
      </c>
      <c r="F2" s="1">
        <v>222</v>
      </c>
      <c r="G2" s="1">
        <v>15</v>
      </c>
      <c r="H2" s="2">
        <v>46081</v>
      </c>
      <c r="I2" s="2">
        <v>46083</v>
      </c>
      <c r="J2" s="1" t="s">
        <v>15</v>
      </c>
      <c r="K2" s="1">
        <v>1001</v>
      </c>
      <c r="L2" s="4">
        <f t="shared" ref="L2:L256" ca="1" si="0">TODAY()</f>
        <v>46261</v>
      </c>
      <c r="M2" s="5">
        <f t="shared" ref="M2:M256" ca="1" si="1">NOW()</f>
        <v>46261.501276736111</v>
      </c>
      <c r="N2" s="1">
        <f t="shared" ref="N2:N256" si="2">DATEDIF(H2,I2,"D")</f>
        <v>2</v>
      </c>
      <c r="O2" s="1">
        <f t="shared" ref="O2:O256" ca="1" si="3">DATEDIF(H2,TODAY(),"D")</f>
        <v>180</v>
      </c>
      <c r="P2" s="4">
        <f t="shared" ref="P2:P256" si="4">DATE(2026,4,1)</f>
        <v>46113</v>
      </c>
    </row>
    <row r="3" spans="1:16" x14ac:dyDescent="0.3">
      <c r="A3" s="1" t="s">
        <v>16</v>
      </c>
      <c r="B3" s="1" t="s">
        <v>17</v>
      </c>
      <c r="C3" s="1" t="s">
        <v>18</v>
      </c>
      <c r="D3" s="1" t="s">
        <v>19</v>
      </c>
      <c r="E3" s="1">
        <v>7</v>
      </c>
      <c r="F3" s="1">
        <v>8448</v>
      </c>
      <c r="G3" s="1">
        <v>12</v>
      </c>
      <c r="H3" s="2">
        <v>46174</v>
      </c>
      <c r="I3" s="2">
        <v>46179</v>
      </c>
      <c r="J3" s="1" t="s">
        <v>20</v>
      </c>
      <c r="K3" s="1">
        <v>1002</v>
      </c>
      <c r="L3" s="4">
        <f t="shared" ca="1" si="0"/>
        <v>46261</v>
      </c>
      <c r="M3" s="5">
        <f t="shared" ca="1" si="1"/>
        <v>46261.501276736111</v>
      </c>
      <c r="N3" s="1">
        <f t="shared" si="2"/>
        <v>5</v>
      </c>
      <c r="O3" s="1">
        <f t="shared" ca="1" si="3"/>
        <v>87</v>
      </c>
      <c r="P3" s="4">
        <f t="shared" si="4"/>
        <v>46113</v>
      </c>
    </row>
    <row r="4" spans="1:16" x14ac:dyDescent="0.3">
      <c r="A4" s="1" t="s">
        <v>21</v>
      </c>
      <c r="B4" s="1" t="s">
        <v>22</v>
      </c>
      <c r="C4" s="1" t="s">
        <v>18</v>
      </c>
      <c r="D4" s="1" t="s">
        <v>23</v>
      </c>
      <c r="E4" s="1">
        <v>20</v>
      </c>
      <c r="F4" s="1">
        <v>2123</v>
      </c>
      <c r="G4" s="1">
        <v>15</v>
      </c>
      <c r="H4" s="2">
        <v>46183</v>
      </c>
      <c r="I4" s="2">
        <v>46192</v>
      </c>
      <c r="J4" s="1" t="s">
        <v>24</v>
      </c>
      <c r="K4" s="1">
        <v>1003</v>
      </c>
      <c r="L4" s="4">
        <f t="shared" ca="1" si="0"/>
        <v>46261</v>
      </c>
      <c r="M4" s="5">
        <f t="shared" ca="1" si="1"/>
        <v>46261.501276736111</v>
      </c>
      <c r="N4" s="1">
        <f t="shared" si="2"/>
        <v>9</v>
      </c>
      <c r="O4" s="1">
        <f t="shared" ca="1" si="3"/>
        <v>78</v>
      </c>
      <c r="P4" s="4">
        <f t="shared" si="4"/>
        <v>46113</v>
      </c>
    </row>
    <row r="5" spans="1:16" x14ac:dyDescent="0.3">
      <c r="A5" s="1" t="s">
        <v>16</v>
      </c>
      <c r="B5" s="1" t="s">
        <v>25</v>
      </c>
      <c r="C5" s="1" t="s">
        <v>18</v>
      </c>
      <c r="D5" s="1" t="s">
        <v>23</v>
      </c>
      <c r="E5" s="1">
        <v>16</v>
      </c>
      <c r="F5" s="1">
        <v>11739</v>
      </c>
      <c r="G5" s="1">
        <v>12</v>
      </c>
      <c r="H5" s="2">
        <v>46034</v>
      </c>
      <c r="I5" s="2">
        <v>46040</v>
      </c>
      <c r="J5" s="1" t="s">
        <v>20</v>
      </c>
      <c r="K5" s="1">
        <v>1004</v>
      </c>
      <c r="L5" s="4">
        <f t="shared" ca="1" si="0"/>
        <v>46261</v>
      </c>
      <c r="M5" s="5">
        <f t="shared" ca="1" si="1"/>
        <v>46261.501276736111</v>
      </c>
      <c r="N5" s="1">
        <f t="shared" si="2"/>
        <v>6</v>
      </c>
      <c r="O5" s="1">
        <f t="shared" ca="1" si="3"/>
        <v>227</v>
      </c>
      <c r="P5" s="4">
        <f t="shared" si="4"/>
        <v>46113</v>
      </c>
    </row>
    <row r="6" spans="1:16" x14ac:dyDescent="0.3">
      <c r="A6" s="1" t="s">
        <v>26</v>
      </c>
      <c r="B6" s="1" t="s">
        <v>17</v>
      </c>
      <c r="C6" s="1" t="s">
        <v>13</v>
      </c>
      <c r="D6" s="1" t="s">
        <v>14</v>
      </c>
      <c r="E6" s="1">
        <v>18</v>
      </c>
      <c r="F6" s="1">
        <v>70</v>
      </c>
      <c r="G6" s="1">
        <v>0</v>
      </c>
      <c r="H6" s="2">
        <v>46171</v>
      </c>
      <c r="I6" s="2">
        <v>46179</v>
      </c>
      <c r="J6" s="1" t="s">
        <v>24</v>
      </c>
      <c r="K6" s="1">
        <v>1005</v>
      </c>
      <c r="L6" s="4">
        <f t="shared" ca="1" si="0"/>
        <v>46261</v>
      </c>
      <c r="M6" s="5">
        <f t="shared" ca="1" si="1"/>
        <v>46261.501276736111</v>
      </c>
      <c r="N6" s="1">
        <f t="shared" si="2"/>
        <v>8</v>
      </c>
      <c r="O6" s="1">
        <f t="shared" ca="1" si="3"/>
        <v>90</v>
      </c>
      <c r="P6" s="4">
        <f t="shared" si="4"/>
        <v>46113</v>
      </c>
    </row>
    <row r="7" spans="1:16" x14ac:dyDescent="0.3">
      <c r="A7" s="1" t="s">
        <v>27</v>
      </c>
      <c r="B7" s="1" t="s">
        <v>25</v>
      </c>
      <c r="C7" s="1" t="s">
        <v>18</v>
      </c>
      <c r="D7" s="1" t="s">
        <v>28</v>
      </c>
      <c r="E7" s="1">
        <v>3</v>
      </c>
      <c r="F7" s="1">
        <v>2714</v>
      </c>
      <c r="G7" s="1">
        <v>5</v>
      </c>
      <c r="H7" s="2">
        <v>46055</v>
      </c>
      <c r="I7" s="2">
        <v>46062</v>
      </c>
      <c r="J7" s="1" t="s">
        <v>29</v>
      </c>
      <c r="K7" s="1">
        <v>1006</v>
      </c>
      <c r="L7" s="4">
        <f t="shared" ca="1" si="0"/>
        <v>46261</v>
      </c>
      <c r="M7" s="5">
        <f t="shared" ca="1" si="1"/>
        <v>46261.501276736111</v>
      </c>
      <c r="N7" s="1">
        <f t="shared" si="2"/>
        <v>7</v>
      </c>
      <c r="O7" s="1">
        <f t="shared" ca="1" si="3"/>
        <v>206</v>
      </c>
      <c r="P7" s="4">
        <f t="shared" si="4"/>
        <v>46113</v>
      </c>
    </row>
    <row r="8" spans="1:16" x14ac:dyDescent="0.3">
      <c r="A8" s="1" t="s">
        <v>21</v>
      </c>
      <c r="B8" s="1" t="s">
        <v>22</v>
      </c>
      <c r="C8" s="1" t="s">
        <v>13</v>
      </c>
      <c r="D8" s="1" t="s">
        <v>14</v>
      </c>
      <c r="E8" s="1">
        <v>19</v>
      </c>
      <c r="F8" s="1">
        <v>149</v>
      </c>
      <c r="G8" s="1">
        <v>7</v>
      </c>
      <c r="H8" s="2">
        <v>46162</v>
      </c>
      <c r="I8" s="2">
        <v>46168</v>
      </c>
      <c r="J8" s="1" t="s">
        <v>24</v>
      </c>
      <c r="K8" s="1">
        <v>1007</v>
      </c>
      <c r="L8" s="4">
        <f t="shared" ca="1" si="0"/>
        <v>46261</v>
      </c>
      <c r="M8" s="5">
        <f t="shared" ca="1" si="1"/>
        <v>46261.501276736111</v>
      </c>
      <c r="N8" s="1">
        <f t="shared" si="2"/>
        <v>6</v>
      </c>
      <c r="O8" s="1">
        <f t="shared" ca="1" si="3"/>
        <v>99</v>
      </c>
      <c r="P8" s="4">
        <f t="shared" si="4"/>
        <v>46113</v>
      </c>
    </row>
    <row r="9" spans="1:16" x14ac:dyDescent="0.3">
      <c r="A9" s="1" t="s">
        <v>30</v>
      </c>
      <c r="B9" s="1" t="s">
        <v>31</v>
      </c>
      <c r="C9" s="1" t="s">
        <v>18</v>
      </c>
      <c r="D9" s="1" t="s">
        <v>28</v>
      </c>
      <c r="E9" s="1">
        <v>1</v>
      </c>
      <c r="F9" s="1">
        <v>1134</v>
      </c>
      <c r="G9" s="1">
        <v>0</v>
      </c>
      <c r="H9" s="2">
        <v>46033</v>
      </c>
      <c r="I9" s="2">
        <v>46041</v>
      </c>
      <c r="J9" s="1" t="s">
        <v>24</v>
      </c>
      <c r="K9" s="1">
        <v>1008</v>
      </c>
      <c r="L9" s="4">
        <f t="shared" ca="1" si="0"/>
        <v>46261</v>
      </c>
      <c r="M9" s="5">
        <f t="shared" ca="1" si="1"/>
        <v>46261.501276736111</v>
      </c>
      <c r="N9" s="1">
        <f t="shared" si="2"/>
        <v>8</v>
      </c>
      <c r="O9" s="1">
        <f t="shared" ca="1" si="3"/>
        <v>228</v>
      </c>
      <c r="P9" s="4">
        <f t="shared" si="4"/>
        <v>46113</v>
      </c>
    </row>
    <row r="10" spans="1:16" x14ac:dyDescent="0.3">
      <c r="A10" s="1" t="s">
        <v>32</v>
      </c>
      <c r="B10" s="1" t="s">
        <v>33</v>
      </c>
      <c r="C10" s="1" t="s">
        <v>34</v>
      </c>
      <c r="D10" s="1" t="s">
        <v>35</v>
      </c>
      <c r="E10" s="1">
        <v>10</v>
      </c>
      <c r="F10" s="1">
        <v>40671</v>
      </c>
      <c r="G10" s="1">
        <v>12</v>
      </c>
      <c r="H10" s="2">
        <v>46183</v>
      </c>
      <c r="I10" s="2">
        <v>46193</v>
      </c>
      <c r="J10" s="1" t="s">
        <v>24</v>
      </c>
      <c r="K10" s="1">
        <v>1009</v>
      </c>
      <c r="L10" s="4">
        <f t="shared" ca="1" si="0"/>
        <v>46261</v>
      </c>
      <c r="M10" s="5">
        <f t="shared" ca="1" si="1"/>
        <v>46261.501276736111</v>
      </c>
      <c r="N10" s="1">
        <f t="shared" si="2"/>
        <v>10</v>
      </c>
      <c r="O10" s="1">
        <f t="shared" ca="1" si="3"/>
        <v>78</v>
      </c>
      <c r="P10" s="4">
        <f t="shared" si="4"/>
        <v>46113</v>
      </c>
    </row>
    <row r="11" spans="1:16" x14ac:dyDescent="0.3">
      <c r="A11" s="1" t="s">
        <v>11</v>
      </c>
      <c r="B11" s="1" t="s">
        <v>17</v>
      </c>
      <c r="C11" s="1" t="s">
        <v>13</v>
      </c>
      <c r="D11" s="1" t="s">
        <v>36</v>
      </c>
      <c r="E11" s="1">
        <v>14</v>
      </c>
      <c r="F11" s="1">
        <v>470</v>
      </c>
      <c r="G11" s="1">
        <v>5</v>
      </c>
      <c r="H11" s="2">
        <v>46062</v>
      </c>
      <c r="I11" s="2">
        <v>46068</v>
      </c>
      <c r="J11" s="1" t="s">
        <v>15</v>
      </c>
      <c r="K11" s="1">
        <v>1010</v>
      </c>
      <c r="L11" s="4">
        <f t="shared" ca="1" si="0"/>
        <v>46261</v>
      </c>
      <c r="M11" s="5">
        <f t="shared" ca="1" si="1"/>
        <v>46261.501276736111</v>
      </c>
      <c r="N11" s="1">
        <f t="shared" si="2"/>
        <v>6</v>
      </c>
      <c r="O11" s="1">
        <f t="shared" ca="1" si="3"/>
        <v>199</v>
      </c>
      <c r="P11" s="4">
        <f t="shared" si="4"/>
        <v>46113</v>
      </c>
    </row>
    <row r="12" spans="1:16" x14ac:dyDescent="0.3">
      <c r="A12" s="1" t="s">
        <v>11</v>
      </c>
      <c r="B12" s="1" t="s">
        <v>17</v>
      </c>
      <c r="C12" s="1" t="s">
        <v>13</v>
      </c>
      <c r="D12" s="1" t="s">
        <v>37</v>
      </c>
      <c r="E12" s="1">
        <v>14</v>
      </c>
      <c r="F12" s="1">
        <v>88</v>
      </c>
      <c r="G12" s="1">
        <v>12</v>
      </c>
      <c r="H12" s="2">
        <v>46161</v>
      </c>
      <c r="I12" s="2">
        <v>46163</v>
      </c>
      <c r="J12" s="1" t="s">
        <v>15</v>
      </c>
      <c r="K12" s="1">
        <v>1011</v>
      </c>
      <c r="L12" s="4">
        <f t="shared" ca="1" si="0"/>
        <v>46261</v>
      </c>
      <c r="M12" s="5">
        <f t="shared" ca="1" si="1"/>
        <v>46261.501276736111</v>
      </c>
      <c r="N12" s="1">
        <f t="shared" si="2"/>
        <v>2</v>
      </c>
      <c r="O12" s="1">
        <f t="shared" ca="1" si="3"/>
        <v>100</v>
      </c>
      <c r="P12" s="4">
        <f t="shared" si="4"/>
        <v>46113</v>
      </c>
    </row>
    <row r="13" spans="1:16" x14ac:dyDescent="0.3">
      <c r="A13" s="1" t="s">
        <v>26</v>
      </c>
      <c r="B13" s="1" t="s">
        <v>38</v>
      </c>
      <c r="C13" s="1" t="s">
        <v>34</v>
      </c>
      <c r="D13" s="1" t="s">
        <v>39</v>
      </c>
      <c r="E13" s="1">
        <v>3</v>
      </c>
      <c r="F13" s="1">
        <v>64615</v>
      </c>
      <c r="G13" s="1">
        <v>10</v>
      </c>
      <c r="H13" s="2">
        <v>46086</v>
      </c>
      <c r="I13" s="2">
        <v>46095</v>
      </c>
      <c r="J13" s="1" t="s">
        <v>29</v>
      </c>
      <c r="K13" s="1">
        <v>1012</v>
      </c>
      <c r="L13" s="4">
        <f t="shared" ca="1" si="0"/>
        <v>46261</v>
      </c>
      <c r="M13" s="5">
        <f t="shared" ca="1" si="1"/>
        <v>46261.501276736111</v>
      </c>
      <c r="N13" s="1">
        <f t="shared" si="2"/>
        <v>9</v>
      </c>
      <c r="O13" s="1">
        <f t="shared" ca="1" si="3"/>
        <v>175</v>
      </c>
      <c r="P13" s="4">
        <f t="shared" si="4"/>
        <v>46113</v>
      </c>
    </row>
    <row r="14" spans="1:16" x14ac:dyDescent="0.3">
      <c r="A14" s="1" t="s">
        <v>16</v>
      </c>
      <c r="B14" s="1" t="s">
        <v>31</v>
      </c>
      <c r="C14" s="1" t="s">
        <v>13</v>
      </c>
      <c r="D14" s="1" t="s">
        <v>36</v>
      </c>
      <c r="E14" s="1">
        <v>17</v>
      </c>
      <c r="F14" s="1">
        <v>459</v>
      </c>
      <c r="G14" s="1">
        <v>12</v>
      </c>
      <c r="H14" s="2">
        <v>46095</v>
      </c>
      <c r="I14" s="2">
        <v>46105</v>
      </c>
      <c r="J14" s="1" t="s">
        <v>29</v>
      </c>
      <c r="K14" s="1">
        <v>1013</v>
      </c>
      <c r="L14" s="4">
        <f t="shared" ca="1" si="0"/>
        <v>46261</v>
      </c>
      <c r="M14" s="5">
        <f t="shared" ca="1" si="1"/>
        <v>46261.501276736111</v>
      </c>
      <c r="N14" s="1">
        <f t="shared" si="2"/>
        <v>10</v>
      </c>
      <c r="O14" s="1">
        <f t="shared" ca="1" si="3"/>
        <v>166</v>
      </c>
      <c r="P14" s="4">
        <f t="shared" si="4"/>
        <v>46113</v>
      </c>
    </row>
    <row r="15" spans="1:16" x14ac:dyDescent="0.3">
      <c r="A15" s="1" t="s">
        <v>40</v>
      </c>
      <c r="B15" s="1" t="s">
        <v>17</v>
      </c>
      <c r="C15" s="1" t="s">
        <v>34</v>
      </c>
      <c r="D15" s="1" t="s">
        <v>41</v>
      </c>
      <c r="E15" s="1">
        <v>19</v>
      </c>
      <c r="F15" s="1">
        <v>53683</v>
      </c>
      <c r="G15" s="1">
        <v>12</v>
      </c>
      <c r="H15" s="2">
        <v>46129</v>
      </c>
      <c r="I15" s="2">
        <v>46134</v>
      </c>
      <c r="J15" s="1" t="s">
        <v>29</v>
      </c>
      <c r="K15" s="1">
        <v>1014</v>
      </c>
      <c r="L15" s="4">
        <f t="shared" ca="1" si="0"/>
        <v>46261</v>
      </c>
      <c r="M15" s="5">
        <f t="shared" ca="1" si="1"/>
        <v>46261.501276736111</v>
      </c>
      <c r="N15" s="1">
        <f t="shared" si="2"/>
        <v>5</v>
      </c>
      <c r="O15" s="1">
        <f t="shared" ca="1" si="3"/>
        <v>132</v>
      </c>
      <c r="P15" s="4">
        <f t="shared" si="4"/>
        <v>46113</v>
      </c>
    </row>
    <row r="16" spans="1:16" x14ac:dyDescent="0.3">
      <c r="A16" s="1" t="s">
        <v>42</v>
      </c>
      <c r="B16" s="1" t="s">
        <v>43</v>
      </c>
      <c r="C16" s="1" t="s">
        <v>18</v>
      </c>
      <c r="D16" s="1" t="s">
        <v>44</v>
      </c>
      <c r="E16" s="1">
        <v>11</v>
      </c>
      <c r="F16" s="1">
        <v>14511</v>
      </c>
      <c r="G16" s="1">
        <v>2</v>
      </c>
      <c r="H16" s="2">
        <v>46175</v>
      </c>
      <c r="I16" s="2">
        <v>46185</v>
      </c>
      <c r="J16" s="1" t="s">
        <v>20</v>
      </c>
      <c r="K16" s="1">
        <v>1015</v>
      </c>
      <c r="L16" s="4">
        <f t="shared" ca="1" si="0"/>
        <v>46261</v>
      </c>
      <c r="M16" s="5">
        <f t="shared" ca="1" si="1"/>
        <v>46261.501276736111</v>
      </c>
      <c r="N16" s="1">
        <f t="shared" si="2"/>
        <v>10</v>
      </c>
      <c r="O16" s="1">
        <f t="shared" ca="1" si="3"/>
        <v>86</v>
      </c>
      <c r="P16" s="4">
        <f t="shared" si="4"/>
        <v>46113</v>
      </c>
    </row>
    <row r="17" spans="1:16" x14ac:dyDescent="0.3">
      <c r="A17" s="1" t="s">
        <v>32</v>
      </c>
      <c r="B17" s="1" t="s">
        <v>33</v>
      </c>
      <c r="C17" s="1" t="s">
        <v>34</v>
      </c>
      <c r="D17" s="1" t="s">
        <v>45</v>
      </c>
      <c r="E17" s="1">
        <v>16</v>
      </c>
      <c r="F17" s="1">
        <v>30234</v>
      </c>
      <c r="G17" s="1">
        <v>15</v>
      </c>
      <c r="H17" s="2">
        <v>46137</v>
      </c>
      <c r="I17" s="2">
        <v>46140</v>
      </c>
      <c r="J17" s="1" t="s">
        <v>24</v>
      </c>
      <c r="K17" s="1">
        <v>1016</v>
      </c>
      <c r="L17" s="4">
        <f t="shared" ca="1" si="0"/>
        <v>46261</v>
      </c>
      <c r="M17" s="5">
        <f t="shared" ca="1" si="1"/>
        <v>46261.501276736111</v>
      </c>
      <c r="N17" s="1">
        <f t="shared" si="2"/>
        <v>3</v>
      </c>
      <c r="O17" s="1">
        <f t="shared" ca="1" si="3"/>
        <v>124</v>
      </c>
      <c r="P17" s="4">
        <f t="shared" si="4"/>
        <v>46113</v>
      </c>
    </row>
    <row r="18" spans="1:16" x14ac:dyDescent="0.3">
      <c r="A18" s="1" t="s">
        <v>46</v>
      </c>
      <c r="B18" s="1" t="s">
        <v>38</v>
      </c>
      <c r="C18" s="1" t="s">
        <v>13</v>
      </c>
      <c r="D18" s="1" t="s">
        <v>36</v>
      </c>
      <c r="E18" s="1">
        <v>8</v>
      </c>
      <c r="F18" s="1">
        <v>179</v>
      </c>
      <c r="G18" s="1">
        <v>15</v>
      </c>
      <c r="H18" s="2">
        <v>46082</v>
      </c>
      <c r="I18" s="2">
        <v>46084</v>
      </c>
      <c r="J18" s="1" t="s">
        <v>15</v>
      </c>
      <c r="K18" s="1">
        <v>1017</v>
      </c>
      <c r="L18" s="4">
        <f t="shared" ca="1" si="0"/>
        <v>46261</v>
      </c>
      <c r="M18" s="5">
        <f t="shared" ca="1" si="1"/>
        <v>46261.501276736111</v>
      </c>
      <c r="N18" s="1">
        <f t="shared" si="2"/>
        <v>2</v>
      </c>
      <c r="O18" s="1">
        <f t="shared" ca="1" si="3"/>
        <v>179</v>
      </c>
      <c r="P18" s="4">
        <f t="shared" si="4"/>
        <v>46113</v>
      </c>
    </row>
    <row r="19" spans="1:16" x14ac:dyDescent="0.3">
      <c r="A19" s="1" t="s">
        <v>47</v>
      </c>
      <c r="B19" s="1" t="s">
        <v>25</v>
      </c>
      <c r="C19" s="1" t="s">
        <v>13</v>
      </c>
      <c r="D19" s="1" t="s">
        <v>14</v>
      </c>
      <c r="E19" s="1">
        <v>20</v>
      </c>
      <c r="F19" s="1">
        <v>301</v>
      </c>
      <c r="G19" s="1">
        <v>0</v>
      </c>
      <c r="H19" s="2">
        <v>46089</v>
      </c>
      <c r="I19" s="2">
        <v>46094</v>
      </c>
      <c r="J19" s="1" t="s">
        <v>29</v>
      </c>
      <c r="K19" s="1">
        <v>1018</v>
      </c>
      <c r="L19" s="4">
        <f t="shared" ca="1" si="0"/>
        <v>46261</v>
      </c>
      <c r="M19" s="5">
        <f t="shared" ca="1" si="1"/>
        <v>46261.501276736111</v>
      </c>
      <c r="N19" s="1">
        <f t="shared" si="2"/>
        <v>5</v>
      </c>
      <c r="O19" s="1">
        <f t="shared" ca="1" si="3"/>
        <v>172</v>
      </c>
      <c r="P19" s="4">
        <f t="shared" si="4"/>
        <v>46113</v>
      </c>
    </row>
    <row r="20" spans="1:16" x14ac:dyDescent="0.3">
      <c r="A20" s="1" t="s">
        <v>11</v>
      </c>
      <c r="B20" s="1" t="s">
        <v>43</v>
      </c>
      <c r="C20" s="1" t="s">
        <v>34</v>
      </c>
      <c r="D20" s="1" t="s">
        <v>41</v>
      </c>
      <c r="E20" s="1">
        <v>18</v>
      </c>
      <c r="F20" s="1">
        <v>45652</v>
      </c>
      <c r="G20" s="1">
        <v>10</v>
      </c>
      <c r="H20" s="2">
        <v>46023</v>
      </c>
      <c r="I20" s="2">
        <v>46030</v>
      </c>
      <c r="J20" s="1" t="s">
        <v>20</v>
      </c>
      <c r="K20" s="1">
        <v>1019</v>
      </c>
      <c r="L20" s="4">
        <f t="shared" ca="1" si="0"/>
        <v>46261</v>
      </c>
      <c r="M20" s="5">
        <f t="shared" ca="1" si="1"/>
        <v>46261.501276736111</v>
      </c>
      <c r="N20" s="1">
        <f t="shared" si="2"/>
        <v>7</v>
      </c>
      <c r="O20" s="1">
        <f t="shared" ca="1" si="3"/>
        <v>238</v>
      </c>
      <c r="P20" s="4">
        <f t="shared" si="4"/>
        <v>46113</v>
      </c>
    </row>
    <row r="21" spans="1:16" x14ac:dyDescent="0.3">
      <c r="A21" s="1" t="s">
        <v>46</v>
      </c>
      <c r="B21" s="1" t="s">
        <v>12</v>
      </c>
      <c r="C21" s="1" t="s">
        <v>18</v>
      </c>
      <c r="D21" s="1" t="s">
        <v>19</v>
      </c>
      <c r="E21" s="1">
        <v>5</v>
      </c>
      <c r="F21" s="1">
        <v>4582</v>
      </c>
      <c r="G21" s="1">
        <v>5</v>
      </c>
      <c r="H21" s="2">
        <v>46078</v>
      </c>
      <c r="I21" s="2">
        <v>46083</v>
      </c>
      <c r="J21" s="1" t="s">
        <v>15</v>
      </c>
      <c r="K21" s="1">
        <v>1020</v>
      </c>
      <c r="L21" s="4">
        <f t="shared" ca="1" si="0"/>
        <v>46261</v>
      </c>
      <c r="M21" s="5">
        <f t="shared" ca="1" si="1"/>
        <v>46261.501276736111</v>
      </c>
      <c r="N21" s="1">
        <f t="shared" si="2"/>
        <v>5</v>
      </c>
      <c r="O21" s="1">
        <f t="shared" ca="1" si="3"/>
        <v>183</v>
      </c>
      <c r="P21" s="4">
        <f t="shared" si="4"/>
        <v>46113</v>
      </c>
    </row>
    <row r="22" spans="1:16" x14ac:dyDescent="0.3">
      <c r="A22" s="1" t="s">
        <v>48</v>
      </c>
      <c r="B22" s="1" t="s">
        <v>43</v>
      </c>
      <c r="C22" s="1" t="s">
        <v>13</v>
      </c>
      <c r="D22" s="1" t="s">
        <v>14</v>
      </c>
      <c r="E22" s="1">
        <v>3</v>
      </c>
      <c r="F22" s="1">
        <v>484</v>
      </c>
      <c r="G22" s="1">
        <v>2</v>
      </c>
      <c r="H22" s="2">
        <v>46144</v>
      </c>
      <c r="I22" s="2">
        <v>46148</v>
      </c>
      <c r="J22" s="1" t="s">
        <v>24</v>
      </c>
      <c r="K22" s="1">
        <v>1021</v>
      </c>
      <c r="L22" s="4">
        <f t="shared" ca="1" si="0"/>
        <v>46261</v>
      </c>
      <c r="M22" s="5">
        <f t="shared" ca="1" si="1"/>
        <v>46261.501276736111</v>
      </c>
      <c r="N22" s="1">
        <f t="shared" si="2"/>
        <v>4</v>
      </c>
      <c r="O22" s="1">
        <f t="shared" ca="1" si="3"/>
        <v>117</v>
      </c>
      <c r="P22" s="4">
        <f t="shared" si="4"/>
        <v>46113</v>
      </c>
    </row>
    <row r="23" spans="1:16" x14ac:dyDescent="0.3">
      <c r="A23" s="1" t="s">
        <v>26</v>
      </c>
      <c r="B23" s="1" t="s">
        <v>17</v>
      </c>
      <c r="C23" s="1" t="s">
        <v>34</v>
      </c>
      <c r="D23" s="1" t="s">
        <v>45</v>
      </c>
      <c r="E23" s="1">
        <v>15</v>
      </c>
      <c r="F23" s="1">
        <v>11596</v>
      </c>
      <c r="G23" s="1">
        <v>0</v>
      </c>
      <c r="H23" s="2">
        <v>46117</v>
      </c>
      <c r="I23" s="2">
        <v>46121</v>
      </c>
      <c r="J23" s="1" t="s">
        <v>29</v>
      </c>
      <c r="K23" s="1">
        <v>1022</v>
      </c>
      <c r="L23" s="4">
        <f t="shared" ca="1" si="0"/>
        <v>46261</v>
      </c>
      <c r="M23" s="5">
        <f t="shared" ca="1" si="1"/>
        <v>46261.501276736111</v>
      </c>
      <c r="N23" s="1">
        <f t="shared" si="2"/>
        <v>4</v>
      </c>
      <c r="O23" s="1">
        <f t="shared" ca="1" si="3"/>
        <v>144</v>
      </c>
      <c r="P23" s="4">
        <f t="shared" si="4"/>
        <v>46113</v>
      </c>
    </row>
    <row r="24" spans="1:16" x14ac:dyDescent="0.3">
      <c r="A24" s="1" t="s">
        <v>40</v>
      </c>
      <c r="B24" s="1" t="s">
        <v>12</v>
      </c>
      <c r="C24" s="1" t="s">
        <v>18</v>
      </c>
      <c r="D24" s="1" t="s">
        <v>44</v>
      </c>
      <c r="E24" s="1">
        <v>15</v>
      </c>
      <c r="F24" s="1">
        <v>3506</v>
      </c>
      <c r="G24" s="1">
        <v>2</v>
      </c>
      <c r="H24" s="2">
        <v>46193</v>
      </c>
      <c r="I24" s="2">
        <v>46194</v>
      </c>
      <c r="J24" s="1" t="s">
        <v>29</v>
      </c>
      <c r="K24" s="1">
        <v>1023</v>
      </c>
      <c r="L24" s="4">
        <f t="shared" ca="1" si="0"/>
        <v>46261</v>
      </c>
      <c r="M24" s="5">
        <f t="shared" ca="1" si="1"/>
        <v>46261.501276736111</v>
      </c>
      <c r="N24" s="1">
        <f t="shared" si="2"/>
        <v>1</v>
      </c>
      <c r="O24" s="1">
        <f t="shared" ca="1" si="3"/>
        <v>68</v>
      </c>
      <c r="P24" s="4">
        <f t="shared" si="4"/>
        <v>46113</v>
      </c>
    </row>
    <row r="25" spans="1:16" x14ac:dyDescent="0.3">
      <c r="A25" s="1" t="s">
        <v>32</v>
      </c>
      <c r="B25" s="1" t="s">
        <v>38</v>
      </c>
      <c r="C25" s="1" t="s">
        <v>34</v>
      </c>
      <c r="D25" s="1" t="s">
        <v>41</v>
      </c>
      <c r="E25" s="1">
        <v>12</v>
      </c>
      <c r="F25" s="1">
        <v>1682</v>
      </c>
      <c r="G25" s="1">
        <v>5</v>
      </c>
      <c r="H25" s="2">
        <v>46161</v>
      </c>
      <c r="I25" s="2">
        <v>46165</v>
      </c>
      <c r="J25" s="1" t="s">
        <v>15</v>
      </c>
      <c r="K25" s="1">
        <v>1024</v>
      </c>
      <c r="L25" s="4">
        <f t="shared" ca="1" si="0"/>
        <v>46261</v>
      </c>
      <c r="M25" s="5">
        <f t="shared" ca="1" si="1"/>
        <v>46261.501276736111</v>
      </c>
      <c r="N25" s="1">
        <f t="shared" si="2"/>
        <v>4</v>
      </c>
      <c r="O25" s="1">
        <f t="shared" ca="1" si="3"/>
        <v>100</v>
      </c>
      <c r="P25" s="4">
        <f t="shared" si="4"/>
        <v>46113</v>
      </c>
    </row>
    <row r="26" spans="1:16" x14ac:dyDescent="0.3">
      <c r="A26" s="1" t="s">
        <v>21</v>
      </c>
      <c r="B26" s="1" t="s">
        <v>12</v>
      </c>
      <c r="C26" s="1" t="s">
        <v>18</v>
      </c>
      <c r="D26" s="1" t="s">
        <v>19</v>
      </c>
      <c r="E26" s="1">
        <v>18</v>
      </c>
      <c r="F26" s="1">
        <v>7924</v>
      </c>
      <c r="G26" s="1">
        <v>0</v>
      </c>
      <c r="H26" s="2">
        <v>46175</v>
      </c>
      <c r="I26" s="2">
        <v>46181</v>
      </c>
      <c r="J26" s="1" t="s">
        <v>15</v>
      </c>
      <c r="K26" s="1">
        <v>1025</v>
      </c>
      <c r="L26" s="4">
        <f t="shared" ca="1" si="0"/>
        <v>46261</v>
      </c>
      <c r="M26" s="5">
        <f t="shared" ca="1" si="1"/>
        <v>46261.501276736111</v>
      </c>
      <c r="N26" s="1">
        <f t="shared" si="2"/>
        <v>6</v>
      </c>
      <c r="O26" s="1">
        <f t="shared" ca="1" si="3"/>
        <v>86</v>
      </c>
      <c r="P26" s="4">
        <f t="shared" si="4"/>
        <v>46113</v>
      </c>
    </row>
    <row r="27" spans="1:16" x14ac:dyDescent="0.3">
      <c r="A27" s="1" t="s">
        <v>49</v>
      </c>
      <c r="B27" s="1" t="s">
        <v>31</v>
      </c>
      <c r="C27" s="1" t="s">
        <v>13</v>
      </c>
      <c r="D27" s="1" t="s">
        <v>50</v>
      </c>
      <c r="E27" s="1">
        <v>17</v>
      </c>
      <c r="F27" s="1">
        <v>323</v>
      </c>
      <c r="G27" s="1">
        <v>10</v>
      </c>
      <c r="H27" s="2">
        <v>46039</v>
      </c>
      <c r="I27" s="2">
        <v>46040</v>
      </c>
      <c r="J27" s="1" t="s">
        <v>29</v>
      </c>
      <c r="K27" s="1">
        <v>1026</v>
      </c>
      <c r="L27" s="4">
        <f t="shared" ca="1" si="0"/>
        <v>46261</v>
      </c>
      <c r="M27" s="5">
        <f t="shared" ca="1" si="1"/>
        <v>46261.501276736111</v>
      </c>
      <c r="N27" s="1">
        <f t="shared" si="2"/>
        <v>1</v>
      </c>
      <c r="O27" s="1">
        <f t="shared" ca="1" si="3"/>
        <v>222</v>
      </c>
      <c r="P27" s="4">
        <f t="shared" si="4"/>
        <v>46113</v>
      </c>
    </row>
    <row r="28" spans="1:16" x14ac:dyDescent="0.3">
      <c r="A28" s="1" t="s">
        <v>29</v>
      </c>
      <c r="B28" s="1" t="s">
        <v>43</v>
      </c>
      <c r="C28" s="1" t="s">
        <v>13</v>
      </c>
      <c r="D28" s="1" t="s">
        <v>50</v>
      </c>
      <c r="E28" s="1">
        <v>4</v>
      </c>
      <c r="F28" s="1">
        <v>264</v>
      </c>
      <c r="G28" s="1">
        <v>0</v>
      </c>
      <c r="H28" s="2">
        <v>46155</v>
      </c>
      <c r="I28" s="2">
        <v>46161</v>
      </c>
      <c r="J28" s="1" t="s">
        <v>51</v>
      </c>
      <c r="K28" s="1">
        <v>1027</v>
      </c>
      <c r="L28" s="4">
        <f t="shared" ca="1" si="0"/>
        <v>46261</v>
      </c>
      <c r="M28" s="5">
        <f t="shared" ca="1" si="1"/>
        <v>46261.501276736111</v>
      </c>
      <c r="N28" s="1">
        <f t="shared" si="2"/>
        <v>6</v>
      </c>
      <c r="O28" s="1">
        <f t="shared" ca="1" si="3"/>
        <v>106</v>
      </c>
      <c r="P28" s="4">
        <f t="shared" si="4"/>
        <v>46113</v>
      </c>
    </row>
    <row r="29" spans="1:16" x14ac:dyDescent="0.3">
      <c r="A29" s="1" t="s">
        <v>47</v>
      </c>
      <c r="B29" s="1" t="s">
        <v>22</v>
      </c>
      <c r="C29" s="1" t="s">
        <v>13</v>
      </c>
      <c r="D29" s="1" t="s">
        <v>36</v>
      </c>
      <c r="E29" s="1">
        <v>13</v>
      </c>
      <c r="F29" s="1">
        <v>433</v>
      </c>
      <c r="G29" s="1">
        <v>2</v>
      </c>
      <c r="H29" s="2">
        <v>46116</v>
      </c>
      <c r="I29" s="2">
        <v>46121</v>
      </c>
      <c r="J29" s="1" t="s">
        <v>24</v>
      </c>
      <c r="K29" s="1">
        <v>1028</v>
      </c>
      <c r="L29" s="4">
        <f t="shared" ca="1" si="0"/>
        <v>46261</v>
      </c>
      <c r="M29" s="5">
        <f t="shared" ca="1" si="1"/>
        <v>46261.501276736111</v>
      </c>
      <c r="N29" s="1">
        <f t="shared" si="2"/>
        <v>5</v>
      </c>
      <c r="O29" s="1">
        <f t="shared" ca="1" si="3"/>
        <v>145</v>
      </c>
      <c r="P29" s="4">
        <f t="shared" si="4"/>
        <v>46113</v>
      </c>
    </row>
    <row r="30" spans="1:16" x14ac:dyDescent="0.3">
      <c r="A30" s="1" t="s">
        <v>30</v>
      </c>
      <c r="B30" s="1" t="s">
        <v>25</v>
      </c>
      <c r="C30" s="1" t="s">
        <v>13</v>
      </c>
      <c r="D30" s="1" t="s">
        <v>36</v>
      </c>
      <c r="E30" s="1">
        <v>18</v>
      </c>
      <c r="F30" s="1">
        <v>443</v>
      </c>
      <c r="G30" s="1">
        <v>5</v>
      </c>
      <c r="H30" s="2">
        <v>46046</v>
      </c>
      <c r="I30" s="2">
        <v>46054</v>
      </c>
      <c r="J30" s="1" t="s">
        <v>24</v>
      </c>
      <c r="K30" s="1">
        <v>1029</v>
      </c>
      <c r="L30" s="4">
        <f t="shared" ca="1" si="0"/>
        <v>46261</v>
      </c>
      <c r="M30" s="5">
        <f t="shared" ca="1" si="1"/>
        <v>46261.501276736111</v>
      </c>
      <c r="N30" s="1">
        <f t="shared" si="2"/>
        <v>8</v>
      </c>
      <c r="O30" s="1">
        <f t="shared" ca="1" si="3"/>
        <v>215</v>
      </c>
      <c r="P30" s="4">
        <f t="shared" si="4"/>
        <v>46113</v>
      </c>
    </row>
    <row r="31" spans="1:16" x14ac:dyDescent="0.3">
      <c r="A31" s="1" t="s">
        <v>52</v>
      </c>
      <c r="B31" s="1" t="s">
        <v>12</v>
      </c>
      <c r="C31" s="1" t="s">
        <v>13</v>
      </c>
      <c r="D31" s="1" t="s">
        <v>53</v>
      </c>
      <c r="E31" s="1">
        <v>13</v>
      </c>
      <c r="F31" s="1">
        <v>336</v>
      </c>
      <c r="G31" s="1">
        <v>10</v>
      </c>
      <c r="H31" s="2">
        <v>46098</v>
      </c>
      <c r="I31" s="2">
        <v>46108</v>
      </c>
      <c r="J31" s="1" t="s">
        <v>15</v>
      </c>
      <c r="K31" s="1">
        <v>1030</v>
      </c>
      <c r="L31" s="4">
        <f t="shared" ca="1" si="0"/>
        <v>46261</v>
      </c>
      <c r="M31" s="5">
        <f t="shared" ca="1" si="1"/>
        <v>46261.501276736111</v>
      </c>
      <c r="N31" s="1">
        <f t="shared" si="2"/>
        <v>10</v>
      </c>
      <c r="O31" s="1">
        <f t="shared" ca="1" si="3"/>
        <v>163</v>
      </c>
      <c r="P31" s="4">
        <f t="shared" si="4"/>
        <v>46113</v>
      </c>
    </row>
    <row r="32" spans="1:16" x14ac:dyDescent="0.3">
      <c r="A32" s="1" t="s">
        <v>54</v>
      </c>
      <c r="B32" s="1" t="s">
        <v>31</v>
      </c>
      <c r="C32" s="1" t="s">
        <v>13</v>
      </c>
      <c r="D32" s="1" t="s">
        <v>53</v>
      </c>
      <c r="E32" s="1">
        <v>2</v>
      </c>
      <c r="F32" s="1">
        <v>184</v>
      </c>
      <c r="G32" s="1">
        <v>5</v>
      </c>
      <c r="H32" s="2">
        <v>46089</v>
      </c>
      <c r="I32" s="2">
        <v>46093</v>
      </c>
      <c r="J32" s="1" t="s">
        <v>20</v>
      </c>
      <c r="K32" s="1">
        <v>1031</v>
      </c>
      <c r="L32" s="4">
        <f t="shared" ca="1" si="0"/>
        <v>46261</v>
      </c>
      <c r="M32" s="5">
        <f t="shared" ca="1" si="1"/>
        <v>46261.501276736111</v>
      </c>
      <c r="N32" s="1">
        <f t="shared" si="2"/>
        <v>4</v>
      </c>
      <c r="O32" s="1">
        <f t="shared" ca="1" si="3"/>
        <v>172</v>
      </c>
      <c r="P32" s="4">
        <f t="shared" si="4"/>
        <v>46113</v>
      </c>
    </row>
    <row r="33" spans="1:16" x14ac:dyDescent="0.3">
      <c r="A33" s="1" t="s">
        <v>54</v>
      </c>
      <c r="B33" s="1" t="s">
        <v>43</v>
      </c>
      <c r="C33" s="1" t="s">
        <v>34</v>
      </c>
      <c r="D33" s="1" t="s">
        <v>39</v>
      </c>
      <c r="E33" s="1">
        <v>20</v>
      </c>
      <c r="F33" s="1">
        <v>11305</v>
      </c>
      <c r="G33" s="1">
        <v>2</v>
      </c>
      <c r="H33" s="2">
        <v>46163</v>
      </c>
      <c r="I33" s="2">
        <v>46165</v>
      </c>
      <c r="J33" s="1" t="s">
        <v>29</v>
      </c>
      <c r="K33" s="1">
        <v>1032</v>
      </c>
      <c r="L33" s="4">
        <f t="shared" ca="1" si="0"/>
        <v>46261</v>
      </c>
      <c r="M33" s="5">
        <f t="shared" ca="1" si="1"/>
        <v>46261.501276736111</v>
      </c>
      <c r="N33" s="1">
        <f t="shared" si="2"/>
        <v>2</v>
      </c>
      <c r="O33" s="1">
        <f t="shared" ca="1" si="3"/>
        <v>98</v>
      </c>
      <c r="P33" s="4">
        <f t="shared" si="4"/>
        <v>46113</v>
      </c>
    </row>
    <row r="34" spans="1:16" x14ac:dyDescent="0.3">
      <c r="A34" s="1" t="s">
        <v>11</v>
      </c>
      <c r="B34" s="1" t="s">
        <v>43</v>
      </c>
      <c r="C34" s="1" t="s">
        <v>18</v>
      </c>
      <c r="D34" s="1" t="s">
        <v>19</v>
      </c>
      <c r="E34" s="1">
        <v>9</v>
      </c>
      <c r="F34" s="1">
        <v>4895</v>
      </c>
      <c r="G34" s="1">
        <v>2</v>
      </c>
      <c r="H34" s="2">
        <v>46082</v>
      </c>
      <c r="I34" s="2">
        <v>46084</v>
      </c>
      <c r="J34" s="1" t="s">
        <v>29</v>
      </c>
      <c r="K34" s="1">
        <v>1033</v>
      </c>
      <c r="L34" s="4">
        <f t="shared" ca="1" si="0"/>
        <v>46261</v>
      </c>
      <c r="M34" s="5">
        <f t="shared" ca="1" si="1"/>
        <v>46261.501276736111</v>
      </c>
      <c r="N34" s="1">
        <f t="shared" si="2"/>
        <v>2</v>
      </c>
      <c r="O34" s="1">
        <f t="shared" ca="1" si="3"/>
        <v>179</v>
      </c>
      <c r="P34" s="4">
        <f t="shared" si="4"/>
        <v>46113</v>
      </c>
    </row>
    <row r="35" spans="1:16" x14ac:dyDescent="0.3">
      <c r="A35" s="1" t="s">
        <v>55</v>
      </c>
      <c r="B35" s="1" t="s">
        <v>33</v>
      </c>
      <c r="C35" s="1" t="s">
        <v>18</v>
      </c>
      <c r="D35" s="1" t="s">
        <v>28</v>
      </c>
      <c r="E35" s="1">
        <v>17</v>
      </c>
      <c r="F35" s="1">
        <v>5104</v>
      </c>
      <c r="G35" s="1">
        <v>12</v>
      </c>
      <c r="H35" s="2">
        <v>46052</v>
      </c>
      <c r="I35" s="2">
        <v>46061</v>
      </c>
      <c r="J35" s="1" t="s">
        <v>51</v>
      </c>
      <c r="K35" s="1">
        <v>1034</v>
      </c>
      <c r="L35" s="4">
        <f t="shared" ca="1" si="0"/>
        <v>46261</v>
      </c>
      <c r="M35" s="5">
        <f t="shared" ca="1" si="1"/>
        <v>46261.501276736111</v>
      </c>
      <c r="N35" s="1">
        <f t="shared" si="2"/>
        <v>9</v>
      </c>
      <c r="O35" s="1">
        <f t="shared" ca="1" si="3"/>
        <v>209</v>
      </c>
      <c r="P35" s="4">
        <f t="shared" si="4"/>
        <v>46113</v>
      </c>
    </row>
    <row r="36" spans="1:16" x14ac:dyDescent="0.3">
      <c r="A36" s="1" t="s">
        <v>49</v>
      </c>
      <c r="B36" s="1" t="s">
        <v>43</v>
      </c>
      <c r="C36" s="1" t="s">
        <v>18</v>
      </c>
      <c r="D36" s="1" t="s">
        <v>56</v>
      </c>
      <c r="E36" s="1">
        <v>3</v>
      </c>
      <c r="F36" s="1">
        <v>9149</v>
      </c>
      <c r="G36" s="1">
        <v>0</v>
      </c>
      <c r="H36" s="2">
        <v>46031</v>
      </c>
      <c r="I36" s="2">
        <v>46034</v>
      </c>
      <c r="J36" s="1" t="s">
        <v>24</v>
      </c>
      <c r="K36" s="1">
        <v>1035</v>
      </c>
      <c r="L36" s="4">
        <f t="shared" ca="1" si="0"/>
        <v>46261</v>
      </c>
      <c r="M36" s="5">
        <f t="shared" ca="1" si="1"/>
        <v>46261.501276736111</v>
      </c>
      <c r="N36" s="1">
        <f t="shared" si="2"/>
        <v>3</v>
      </c>
      <c r="O36" s="1">
        <f t="shared" ca="1" si="3"/>
        <v>230</v>
      </c>
      <c r="P36" s="4">
        <f t="shared" si="4"/>
        <v>46113</v>
      </c>
    </row>
    <row r="37" spans="1:16" x14ac:dyDescent="0.3">
      <c r="A37" s="1" t="s">
        <v>11</v>
      </c>
      <c r="B37" s="1" t="s">
        <v>25</v>
      </c>
      <c r="C37" s="1" t="s">
        <v>13</v>
      </c>
      <c r="D37" s="1" t="s">
        <v>36</v>
      </c>
      <c r="E37" s="1">
        <v>20</v>
      </c>
      <c r="F37" s="1">
        <v>161</v>
      </c>
      <c r="G37" s="1">
        <v>7</v>
      </c>
      <c r="H37" s="2">
        <v>46071</v>
      </c>
      <c r="I37" s="2">
        <v>46077</v>
      </c>
      <c r="J37" s="1" t="s">
        <v>24</v>
      </c>
      <c r="K37" s="1">
        <v>1036</v>
      </c>
      <c r="L37" s="4">
        <f t="shared" ca="1" si="0"/>
        <v>46261</v>
      </c>
      <c r="M37" s="5">
        <f t="shared" ca="1" si="1"/>
        <v>46261.501276736111</v>
      </c>
      <c r="N37" s="1">
        <f t="shared" si="2"/>
        <v>6</v>
      </c>
      <c r="O37" s="1">
        <f t="shared" ca="1" si="3"/>
        <v>190</v>
      </c>
      <c r="P37" s="4">
        <f t="shared" si="4"/>
        <v>46113</v>
      </c>
    </row>
    <row r="38" spans="1:16" x14ac:dyDescent="0.3">
      <c r="A38" s="1" t="s">
        <v>46</v>
      </c>
      <c r="B38" s="1" t="s">
        <v>43</v>
      </c>
      <c r="C38" s="1" t="s">
        <v>18</v>
      </c>
      <c r="D38" s="1" t="s">
        <v>56</v>
      </c>
      <c r="E38" s="1">
        <v>6</v>
      </c>
      <c r="F38" s="1">
        <v>14385</v>
      </c>
      <c r="G38" s="1">
        <v>12</v>
      </c>
      <c r="H38" s="2">
        <v>46033</v>
      </c>
      <c r="I38" s="2">
        <v>46043</v>
      </c>
      <c r="J38" s="1" t="s">
        <v>24</v>
      </c>
      <c r="K38" s="1">
        <v>1037</v>
      </c>
      <c r="L38" s="4">
        <f t="shared" ca="1" si="0"/>
        <v>46261</v>
      </c>
      <c r="M38" s="5">
        <f t="shared" ca="1" si="1"/>
        <v>46261.501276736111</v>
      </c>
      <c r="N38" s="1">
        <f t="shared" si="2"/>
        <v>10</v>
      </c>
      <c r="O38" s="1">
        <f t="shared" ca="1" si="3"/>
        <v>228</v>
      </c>
      <c r="P38" s="4">
        <f t="shared" si="4"/>
        <v>46113</v>
      </c>
    </row>
    <row r="39" spans="1:16" x14ac:dyDescent="0.3">
      <c r="A39" s="1" t="s">
        <v>55</v>
      </c>
      <c r="B39" s="1" t="s">
        <v>17</v>
      </c>
      <c r="C39" s="1" t="s">
        <v>13</v>
      </c>
      <c r="D39" s="1" t="s">
        <v>36</v>
      </c>
      <c r="E39" s="1">
        <v>17</v>
      </c>
      <c r="F39" s="1">
        <v>223</v>
      </c>
      <c r="G39" s="1">
        <v>7</v>
      </c>
      <c r="H39" s="2">
        <v>46030</v>
      </c>
      <c r="I39" s="2">
        <v>46031</v>
      </c>
      <c r="J39" s="1" t="s">
        <v>51</v>
      </c>
      <c r="K39" s="1">
        <v>1038</v>
      </c>
      <c r="L39" s="4">
        <f t="shared" ca="1" si="0"/>
        <v>46261</v>
      </c>
      <c r="M39" s="5">
        <f t="shared" ca="1" si="1"/>
        <v>46261.501276736111</v>
      </c>
      <c r="N39" s="1">
        <f t="shared" si="2"/>
        <v>1</v>
      </c>
      <c r="O39" s="1">
        <f t="shared" ca="1" si="3"/>
        <v>231</v>
      </c>
      <c r="P39" s="4">
        <f t="shared" si="4"/>
        <v>46113</v>
      </c>
    </row>
    <row r="40" spans="1:16" x14ac:dyDescent="0.3">
      <c r="A40" s="1" t="s">
        <v>48</v>
      </c>
      <c r="B40" s="1" t="s">
        <v>38</v>
      </c>
      <c r="C40" s="1" t="s">
        <v>34</v>
      </c>
      <c r="D40" s="1" t="s">
        <v>45</v>
      </c>
      <c r="E40" s="1">
        <v>5</v>
      </c>
      <c r="F40" s="1">
        <v>60236</v>
      </c>
      <c r="G40" s="1">
        <v>10</v>
      </c>
      <c r="H40" s="2">
        <v>46107</v>
      </c>
      <c r="I40" s="2">
        <v>46110</v>
      </c>
      <c r="J40" s="1" t="s">
        <v>20</v>
      </c>
      <c r="K40" s="1">
        <v>1039</v>
      </c>
      <c r="L40" s="4">
        <f t="shared" ca="1" si="0"/>
        <v>46261</v>
      </c>
      <c r="M40" s="5">
        <f t="shared" ca="1" si="1"/>
        <v>46261.501276736111</v>
      </c>
      <c r="N40" s="1">
        <f t="shared" si="2"/>
        <v>3</v>
      </c>
      <c r="O40" s="1">
        <f t="shared" ca="1" si="3"/>
        <v>154</v>
      </c>
      <c r="P40" s="4">
        <f t="shared" si="4"/>
        <v>46113</v>
      </c>
    </row>
    <row r="41" spans="1:16" x14ac:dyDescent="0.3">
      <c r="A41" s="1" t="s">
        <v>49</v>
      </c>
      <c r="B41" s="1" t="s">
        <v>38</v>
      </c>
      <c r="C41" s="1" t="s">
        <v>18</v>
      </c>
      <c r="D41" s="1" t="s">
        <v>28</v>
      </c>
      <c r="E41" s="1">
        <v>10</v>
      </c>
      <c r="F41" s="1">
        <v>7531</v>
      </c>
      <c r="G41" s="1">
        <v>2</v>
      </c>
      <c r="H41" s="2">
        <v>46171</v>
      </c>
      <c r="I41" s="2">
        <v>46178</v>
      </c>
      <c r="J41" s="1" t="s">
        <v>24</v>
      </c>
      <c r="K41" s="1">
        <v>1040</v>
      </c>
      <c r="L41" s="4">
        <f t="shared" ca="1" si="0"/>
        <v>46261</v>
      </c>
      <c r="M41" s="5">
        <f t="shared" ca="1" si="1"/>
        <v>46261.501276736111</v>
      </c>
      <c r="N41" s="1">
        <f t="shared" si="2"/>
        <v>7</v>
      </c>
      <c r="O41" s="1">
        <f t="shared" ca="1" si="3"/>
        <v>90</v>
      </c>
      <c r="P41" s="4">
        <f t="shared" si="4"/>
        <v>46113</v>
      </c>
    </row>
    <row r="42" spans="1:16" x14ac:dyDescent="0.3">
      <c r="A42" s="1" t="s">
        <v>54</v>
      </c>
      <c r="B42" s="1" t="s">
        <v>38</v>
      </c>
      <c r="C42" s="1" t="s">
        <v>13</v>
      </c>
      <c r="D42" s="1" t="s">
        <v>50</v>
      </c>
      <c r="E42" s="1">
        <v>9</v>
      </c>
      <c r="F42" s="1">
        <v>71</v>
      </c>
      <c r="G42" s="1">
        <v>7</v>
      </c>
      <c r="H42" s="2">
        <v>46185</v>
      </c>
      <c r="I42" s="2">
        <v>46188</v>
      </c>
      <c r="J42" s="1" t="s">
        <v>15</v>
      </c>
      <c r="K42" s="1">
        <v>1041</v>
      </c>
      <c r="L42" s="4">
        <f t="shared" ca="1" si="0"/>
        <v>46261</v>
      </c>
      <c r="M42" s="5">
        <f t="shared" ca="1" si="1"/>
        <v>46261.501276736111</v>
      </c>
      <c r="N42" s="1">
        <f t="shared" si="2"/>
        <v>3</v>
      </c>
      <c r="O42" s="1">
        <f t="shared" ca="1" si="3"/>
        <v>76</v>
      </c>
      <c r="P42" s="4">
        <f t="shared" si="4"/>
        <v>46113</v>
      </c>
    </row>
    <row r="43" spans="1:16" x14ac:dyDescent="0.3">
      <c r="A43" s="1" t="s">
        <v>46</v>
      </c>
      <c r="B43" s="1" t="s">
        <v>33</v>
      </c>
      <c r="C43" s="1" t="s">
        <v>13</v>
      </c>
      <c r="D43" s="1" t="s">
        <v>53</v>
      </c>
      <c r="E43" s="1">
        <v>16</v>
      </c>
      <c r="F43" s="1">
        <v>232</v>
      </c>
      <c r="G43" s="1">
        <v>0</v>
      </c>
      <c r="H43" s="2">
        <v>46081</v>
      </c>
      <c r="I43" s="2">
        <v>46088</v>
      </c>
      <c r="J43" s="1" t="s">
        <v>29</v>
      </c>
      <c r="K43" s="1">
        <v>1042</v>
      </c>
      <c r="L43" s="4">
        <f t="shared" ca="1" si="0"/>
        <v>46261</v>
      </c>
      <c r="M43" s="5">
        <f t="shared" ca="1" si="1"/>
        <v>46261.501276736111</v>
      </c>
      <c r="N43" s="1">
        <f t="shared" si="2"/>
        <v>7</v>
      </c>
      <c r="O43" s="1">
        <f t="shared" ca="1" si="3"/>
        <v>180</v>
      </c>
      <c r="P43" s="4">
        <f t="shared" si="4"/>
        <v>46113</v>
      </c>
    </row>
    <row r="44" spans="1:16" x14ac:dyDescent="0.3">
      <c r="A44" s="1" t="s">
        <v>49</v>
      </c>
      <c r="B44" s="1" t="s">
        <v>38</v>
      </c>
      <c r="C44" s="1" t="s">
        <v>34</v>
      </c>
      <c r="D44" s="1" t="s">
        <v>35</v>
      </c>
      <c r="E44" s="1">
        <v>20</v>
      </c>
      <c r="F44" s="1">
        <v>46093</v>
      </c>
      <c r="G44" s="1">
        <v>5</v>
      </c>
      <c r="H44" s="2">
        <v>46091</v>
      </c>
      <c r="I44" s="2">
        <v>46098</v>
      </c>
      <c r="J44" s="1" t="s">
        <v>29</v>
      </c>
      <c r="K44" s="1">
        <v>1043</v>
      </c>
      <c r="L44" s="4">
        <f t="shared" ca="1" si="0"/>
        <v>46261</v>
      </c>
      <c r="M44" s="5">
        <f t="shared" ca="1" si="1"/>
        <v>46261.501276736111</v>
      </c>
      <c r="N44" s="1">
        <f t="shared" si="2"/>
        <v>7</v>
      </c>
      <c r="O44" s="1">
        <f t="shared" ca="1" si="3"/>
        <v>170</v>
      </c>
      <c r="P44" s="4">
        <f t="shared" si="4"/>
        <v>46113</v>
      </c>
    </row>
    <row r="45" spans="1:16" x14ac:dyDescent="0.3">
      <c r="A45" s="1" t="s">
        <v>48</v>
      </c>
      <c r="B45" s="1" t="s">
        <v>38</v>
      </c>
      <c r="C45" s="1" t="s">
        <v>18</v>
      </c>
      <c r="D45" s="1" t="s">
        <v>19</v>
      </c>
      <c r="E45" s="1">
        <v>4</v>
      </c>
      <c r="F45" s="1">
        <v>14731</v>
      </c>
      <c r="G45" s="1">
        <v>2</v>
      </c>
      <c r="H45" s="2">
        <v>46173</v>
      </c>
      <c r="I45" s="2">
        <v>46176</v>
      </c>
      <c r="J45" s="1" t="s">
        <v>20</v>
      </c>
      <c r="K45" s="1">
        <v>1044</v>
      </c>
      <c r="L45" s="4">
        <f t="shared" ca="1" si="0"/>
        <v>46261</v>
      </c>
      <c r="M45" s="5">
        <f t="shared" ca="1" si="1"/>
        <v>46261.501276736111</v>
      </c>
      <c r="N45" s="1">
        <f t="shared" si="2"/>
        <v>3</v>
      </c>
      <c r="O45" s="1">
        <f t="shared" ca="1" si="3"/>
        <v>88</v>
      </c>
      <c r="P45" s="4">
        <f t="shared" si="4"/>
        <v>46113</v>
      </c>
    </row>
    <row r="46" spans="1:16" x14ac:dyDescent="0.3">
      <c r="A46" s="1" t="s">
        <v>32</v>
      </c>
      <c r="B46" s="1" t="s">
        <v>38</v>
      </c>
      <c r="C46" s="1" t="s">
        <v>34</v>
      </c>
      <c r="D46" s="1" t="s">
        <v>35</v>
      </c>
      <c r="E46" s="1">
        <v>3</v>
      </c>
      <c r="F46" s="1">
        <v>62762</v>
      </c>
      <c r="G46" s="1">
        <v>7</v>
      </c>
      <c r="H46" s="2">
        <v>46038</v>
      </c>
      <c r="I46" s="2">
        <v>46039</v>
      </c>
      <c r="J46" s="1" t="s">
        <v>29</v>
      </c>
      <c r="K46" s="1">
        <v>1045</v>
      </c>
      <c r="L46" s="4">
        <f t="shared" ca="1" si="0"/>
        <v>46261</v>
      </c>
      <c r="M46" s="5">
        <f t="shared" ca="1" si="1"/>
        <v>46261.501276736111</v>
      </c>
      <c r="N46" s="1">
        <f t="shared" si="2"/>
        <v>1</v>
      </c>
      <c r="O46" s="1">
        <f t="shared" ca="1" si="3"/>
        <v>223</v>
      </c>
      <c r="P46" s="4">
        <f t="shared" si="4"/>
        <v>46113</v>
      </c>
    </row>
    <row r="47" spans="1:16" x14ac:dyDescent="0.3">
      <c r="A47" s="1" t="s">
        <v>57</v>
      </c>
      <c r="B47" s="1" t="s">
        <v>38</v>
      </c>
      <c r="C47" s="1" t="s">
        <v>34</v>
      </c>
      <c r="D47" s="1" t="s">
        <v>45</v>
      </c>
      <c r="E47" s="1">
        <v>3</v>
      </c>
      <c r="F47" s="1">
        <v>19443</v>
      </c>
      <c r="G47" s="1">
        <v>10</v>
      </c>
      <c r="H47" s="2">
        <v>46153</v>
      </c>
      <c r="I47" s="2">
        <v>46158</v>
      </c>
      <c r="J47" s="1" t="s">
        <v>29</v>
      </c>
      <c r="K47" s="1">
        <v>1046</v>
      </c>
      <c r="L47" s="4">
        <f t="shared" ca="1" si="0"/>
        <v>46261</v>
      </c>
      <c r="M47" s="5">
        <f t="shared" ca="1" si="1"/>
        <v>46261.501276736111</v>
      </c>
      <c r="N47" s="1">
        <f t="shared" si="2"/>
        <v>5</v>
      </c>
      <c r="O47" s="1">
        <f t="shared" ca="1" si="3"/>
        <v>108</v>
      </c>
      <c r="P47" s="4">
        <f t="shared" si="4"/>
        <v>46113</v>
      </c>
    </row>
    <row r="48" spans="1:16" x14ac:dyDescent="0.3">
      <c r="A48" s="1" t="s">
        <v>58</v>
      </c>
      <c r="B48" s="1" t="s">
        <v>38</v>
      </c>
      <c r="C48" s="1" t="s">
        <v>18</v>
      </c>
      <c r="D48" s="1" t="s">
        <v>56</v>
      </c>
      <c r="E48" s="1">
        <v>11</v>
      </c>
      <c r="F48" s="1">
        <v>9976</v>
      </c>
      <c r="G48" s="1">
        <v>12</v>
      </c>
      <c r="H48" s="2">
        <v>46200</v>
      </c>
      <c r="I48" s="2">
        <v>46209</v>
      </c>
      <c r="J48" s="1" t="s">
        <v>15</v>
      </c>
      <c r="K48" s="1">
        <v>1047</v>
      </c>
      <c r="L48" s="4">
        <f t="shared" ca="1" si="0"/>
        <v>46261</v>
      </c>
      <c r="M48" s="5">
        <f t="shared" ca="1" si="1"/>
        <v>46261.501276736111</v>
      </c>
      <c r="N48" s="1">
        <f t="shared" si="2"/>
        <v>9</v>
      </c>
      <c r="O48" s="1">
        <f t="shared" ca="1" si="3"/>
        <v>61</v>
      </c>
      <c r="P48" s="4">
        <f t="shared" si="4"/>
        <v>46113</v>
      </c>
    </row>
    <row r="49" spans="1:16" x14ac:dyDescent="0.3">
      <c r="A49" s="1" t="s">
        <v>59</v>
      </c>
      <c r="B49" s="1" t="s">
        <v>25</v>
      </c>
      <c r="C49" s="1" t="s">
        <v>34</v>
      </c>
      <c r="D49" s="1" t="s">
        <v>60</v>
      </c>
      <c r="E49" s="1">
        <v>14</v>
      </c>
      <c r="F49" s="1">
        <v>11762</v>
      </c>
      <c r="G49" s="1">
        <v>7</v>
      </c>
      <c r="H49" s="2">
        <v>46180</v>
      </c>
      <c r="I49" s="2">
        <v>46186</v>
      </c>
      <c r="J49" s="1" t="s">
        <v>24</v>
      </c>
      <c r="K49" s="1">
        <v>1048</v>
      </c>
      <c r="L49" s="4">
        <f t="shared" ca="1" si="0"/>
        <v>46261</v>
      </c>
      <c r="M49" s="5">
        <f t="shared" ca="1" si="1"/>
        <v>46261.501276736111</v>
      </c>
      <c r="N49" s="1">
        <f t="shared" si="2"/>
        <v>6</v>
      </c>
      <c r="O49" s="1">
        <f t="shared" ca="1" si="3"/>
        <v>81</v>
      </c>
      <c r="P49" s="4">
        <f t="shared" si="4"/>
        <v>46113</v>
      </c>
    </row>
    <row r="50" spans="1:16" x14ac:dyDescent="0.3">
      <c r="A50" s="1" t="s">
        <v>52</v>
      </c>
      <c r="B50" s="1" t="s">
        <v>25</v>
      </c>
      <c r="C50" s="1" t="s">
        <v>34</v>
      </c>
      <c r="D50" s="1" t="s">
        <v>45</v>
      </c>
      <c r="E50" s="1">
        <v>2</v>
      </c>
      <c r="F50" s="1">
        <v>40789</v>
      </c>
      <c r="G50" s="1">
        <v>0</v>
      </c>
      <c r="H50" s="2">
        <v>46102</v>
      </c>
      <c r="I50" s="2">
        <v>46108</v>
      </c>
      <c r="J50" s="1" t="s">
        <v>24</v>
      </c>
      <c r="K50" s="1">
        <v>1049</v>
      </c>
      <c r="L50" s="4">
        <f t="shared" ca="1" si="0"/>
        <v>46261</v>
      </c>
      <c r="M50" s="5">
        <f t="shared" ca="1" si="1"/>
        <v>46261.501276736111</v>
      </c>
      <c r="N50" s="1">
        <f t="shared" si="2"/>
        <v>6</v>
      </c>
      <c r="O50" s="1">
        <f t="shared" ca="1" si="3"/>
        <v>159</v>
      </c>
      <c r="P50" s="4">
        <f t="shared" si="4"/>
        <v>46113</v>
      </c>
    </row>
    <row r="51" spans="1:16" x14ac:dyDescent="0.3">
      <c r="A51" s="1" t="s">
        <v>32</v>
      </c>
      <c r="B51" s="1" t="s">
        <v>25</v>
      </c>
      <c r="C51" s="1" t="s">
        <v>13</v>
      </c>
      <c r="D51" s="1" t="s">
        <v>53</v>
      </c>
      <c r="E51" s="1">
        <v>12</v>
      </c>
      <c r="F51" s="1">
        <v>360</v>
      </c>
      <c r="G51" s="1">
        <v>5</v>
      </c>
      <c r="H51" s="2">
        <v>46127</v>
      </c>
      <c r="I51" s="2">
        <v>46137</v>
      </c>
      <c r="J51" s="1" t="s">
        <v>29</v>
      </c>
      <c r="K51" s="1">
        <v>1050</v>
      </c>
      <c r="L51" s="4">
        <f t="shared" ca="1" si="0"/>
        <v>46261</v>
      </c>
      <c r="M51" s="5">
        <f t="shared" ca="1" si="1"/>
        <v>46261.501276736111</v>
      </c>
      <c r="N51" s="1">
        <f t="shared" si="2"/>
        <v>10</v>
      </c>
      <c r="O51" s="1">
        <f t="shared" ca="1" si="3"/>
        <v>134</v>
      </c>
      <c r="P51" s="4">
        <f t="shared" si="4"/>
        <v>46113</v>
      </c>
    </row>
    <row r="52" spans="1:16" x14ac:dyDescent="0.3">
      <c r="A52" s="1" t="s">
        <v>58</v>
      </c>
      <c r="B52" s="1" t="s">
        <v>17</v>
      </c>
      <c r="C52" s="1" t="s">
        <v>13</v>
      </c>
      <c r="D52" s="1" t="s">
        <v>36</v>
      </c>
      <c r="E52" s="1">
        <v>12</v>
      </c>
      <c r="F52" s="1">
        <v>47</v>
      </c>
      <c r="G52" s="1">
        <v>2</v>
      </c>
      <c r="H52" s="2">
        <v>46037</v>
      </c>
      <c r="I52" s="2">
        <v>46045</v>
      </c>
      <c r="J52" s="1" t="s">
        <v>15</v>
      </c>
      <c r="K52" s="1">
        <v>1051</v>
      </c>
      <c r="L52" s="4">
        <f t="shared" ca="1" si="0"/>
        <v>46261</v>
      </c>
      <c r="M52" s="5">
        <f t="shared" ca="1" si="1"/>
        <v>46261.501276736111</v>
      </c>
      <c r="N52" s="1">
        <f t="shared" si="2"/>
        <v>8</v>
      </c>
      <c r="O52" s="1">
        <f t="shared" ca="1" si="3"/>
        <v>224</v>
      </c>
      <c r="P52" s="4">
        <f t="shared" si="4"/>
        <v>46113</v>
      </c>
    </row>
    <row r="53" spans="1:16" x14ac:dyDescent="0.3">
      <c r="A53" s="1" t="s">
        <v>55</v>
      </c>
      <c r="B53" s="1" t="s">
        <v>12</v>
      </c>
      <c r="C53" s="1" t="s">
        <v>13</v>
      </c>
      <c r="D53" s="1" t="s">
        <v>14</v>
      </c>
      <c r="E53" s="1">
        <v>17</v>
      </c>
      <c r="F53" s="1">
        <v>172</v>
      </c>
      <c r="G53" s="1">
        <v>10</v>
      </c>
      <c r="H53" s="2">
        <v>46159</v>
      </c>
      <c r="I53" s="2">
        <v>46165</v>
      </c>
      <c r="J53" s="1" t="s">
        <v>20</v>
      </c>
      <c r="K53" s="1">
        <v>1052</v>
      </c>
      <c r="L53" s="4">
        <f t="shared" ca="1" si="0"/>
        <v>46261</v>
      </c>
      <c r="M53" s="5">
        <f t="shared" ca="1" si="1"/>
        <v>46261.501276736111</v>
      </c>
      <c r="N53" s="1">
        <f t="shared" si="2"/>
        <v>6</v>
      </c>
      <c r="O53" s="1">
        <f t="shared" ca="1" si="3"/>
        <v>102</v>
      </c>
      <c r="P53" s="4">
        <f t="shared" si="4"/>
        <v>46113</v>
      </c>
    </row>
    <row r="54" spans="1:16" x14ac:dyDescent="0.3">
      <c r="A54" s="1" t="s">
        <v>16</v>
      </c>
      <c r="B54" s="1" t="s">
        <v>33</v>
      </c>
      <c r="C54" s="1" t="s">
        <v>18</v>
      </c>
      <c r="D54" s="1" t="s">
        <v>28</v>
      </c>
      <c r="E54" s="1">
        <v>1</v>
      </c>
      <c r="F54" s="1">
        <v>9749</v>
      </c>
      <c r="G54" s="1">
        <v>15</v>
      </c>
      <c r="H54" s="2">
        <v>46064</v>
      </c>
      <c r="I54" s="2">
        <v>46070</v>
      </c>
      <c r="J54" s="1" t="s">
        <v>24</v>
      </c>
      <c r="K54" s="1">
        <v>1053</v>
      </c>
      <c r="L54" s="4">
        <f t="shared" ca="1" si="0"/>
        <v>46261</v>
      </c>
      <c r="M54" s="5">
        <f t="shared" ca="1" si="1"/>
        <v>46261.501276736111</v>
      </c>
      <c r="N54" s="1">
        <f t="shared" si="2"/>
        <v>6</v>
      </c>
      <c r="O54" s="1">
        <f t="shared" ca="1" si="3"/>
        <v>197</v>
      </c>
      <c r="P54" s="4">
        <f t="shared" si="4"/>
        <v>46113</v>
      </c>
    </row>
    <row r="55" spans="1:16" x14ac:dyDescent="0.3">
      <c r="A55" s="1" t="s">
        <v>26</v>
      </c>
      <c r="B55" s="1" t="s">
        <v>25</v>
      </c>
      <c r="C55" s="1" t="s">
        <v>18</v>
      </c>
      <c r="D55" s="1" t="s">
        <v>23</v>
      </c>
      <c r="E55" s="1">
        <v>8</v>
      </c>
      <c r="F55" s="1">
        <v>9798</v>
      </c>
      <c r="G55" s="1">
        <v>12</v>
      </c>
      <c r="H55" s="2">
        <v>46200</v>
      </c>
      <c r="I55" s="2">
        <v>46201</v>
      </c>
      <c r="J55" s="1" t="s">
        <v>51</v>
      </c>
      <c r="K55" s="1">
        <v>1054</v>
      </c>
      <c r="L55" s="4">
        <f t="shared" ca="1" si="0"/>
        <v>46261</v>
      </c>
      <c r="M55" s="5">
        <f t="shared" ca="1" si="1"/>
        <v>46261.501276736111</v>
      </c>
      <c r="N55" s="1">
        <f t="shared" si="2"/>
        <v>1</v>
      </c>
      <c r="O55" s="1">
        <f t="shared" ca="1" si="3"/>
        <v>61</v>
      </c>
      <c r="P55" s="4">
        <f t="shared" si="4"/>
        <v>46113</v>
      </c>
    </row>
    <row r="56" spans="1:16" x14ac:dyDescent="0.3">
      <c r="A56" s="1" t="s">
        <v>48</v>
      </c>
      <c r="B56" s="1" t="s">
        <v>12</v>
      </c>
      <c r="C56" s="1" t="s">
        <v>13</v>
      </c>
      <c r="D56" s="1" t="s">
        <v>37</v>
      </c>
      <c r="E56" s="1">
        <v>18</v>
      </c>
      <c r="F56" s="1">
        <v>185</v>
      </c>
      <c r="G56" s="1">
        <v>15</v>
      </c>
      <c r="H56" s="2">
        <v>46077</v>
      </c>
      <c r="I56" s="2">
        <v>46078</v>
      </c>
      <c r="J56" s="1" t="s">
        <v>15</v>
      </c>
      <c r="K56" s="1">
        <v>1055</v>
      </c>
      <c r="L56" s="4">
        <f t="shared" ca="1" si="0"/>
        <v>46261</v>
      </c>
      <c r="M56" s="5">
        <f t="shared" ca="1" si="1"/>
        <v>46261.501276736111</v>
      </c>
      <c r="N56" s="1">
        <f t="shared" si="2"/>
        <v>1</v>
      </c>
      <c r="O56" s="1">
        <f t="shared" ca="1" si="3"/>
        <v>184</v>
      </c>
      <c r="P56" s="4">
        <f t="shared" si="4"/>
        <v>46113</v>
      </c>
    </row>
    <row r="57" spans="1:16" x14ac:dyDescent="0.3">
      <c r="A57" s="1" t="s">
        <v>11</v>
      </c>
      <c r="B57" s="1" t="s">
        <v>22</v>
      </c>
      <c r="C57" s="1" t="s">
        <v>18</v>
      </c>
      <c r="D57" s="1" t="s">
        <v>19</v>
      </c>
      <c r="E57" s="1">
        <v>3</v>
      </c>
      <c r="F57" s="1">
        <v>9771</v>
      </c>
      <c r="G57" s="1">
        <v>5</v>
      </c>
      <c r="H57" s="2">
        <v>46133</v>
      </c>
      <c r="I57" s="2">
        <v>46139</v>
      </c>
      <c r="J57" s="1" t="s">
        <v>24</v>
      </c>
      <c r="K57" s="1">
        <v>1056</v>
      </c>
      <c r="L57" s="4">
        <f t="shared" ca="1" si="0"/>
        <v>46261</v>
      </c>
      <c r="M57" s="5">
        <f t="shared" ca="1" si="1"/>
        <v>46261.501276736111</v>
      </c>
      <c r="N57" s="1">
        <f t="shared" si="2"/>
        <v>6</v>
      </c>
      <c r="O57" s="1">
        <f t="shared" ca="1" si="3"/>
        <v>128</v>
      </c>
      <c r="P57" s="4">
        <f t="shared" si="4"/>
        <v>46113</v>
      </c>
    </row>
    <row r="58" spans="1:16" x14ac:dyDescent="0.3">
      <c r="A58" s="1" t="s">
        <v>59</v>
      </c>
      <c r="B58" s="1" t="s">
        <v>22</v>
      </c>
      <c r="C58" s="1" t="s">
        <v>18</v>
      </c>
      <c r="D58" s="1" t="s">
        <v>28</v>
      </c>
      <c r="E58" s="1">
        <v>2</v>
      </c>
      <c r="F58" s="1">
        <v>9531</v>
      </c>
      <c r="G58" s="1">
        <v>15</v>
      </c>
      <c r="H58" s="2">
        <v>46067</v>
      </c>
      <c r="I58" s="2">
        <v>46076</v>
      </c>
      <c r="J58" s="1" t="s">
        <v>51</v>
      </c>
      <c r="K58" s="1">
        <v>1057</v>
      </c>
      <c r="L58" s="4">
        <f t="shared" ca="1" si="0"/>
        <v>46261</v>
      </c>
      <c r="M58" s="5">
        <f t="shared" ca="1" si="1"/>
        <v>46261.501276736111</v>
      </c>
      <c r="N58" s="1">
        <f t="shared" si="2"/>
        <v>9</v>
      </c>
      <c r="O58" s="1">
        <f t="shared" ca="1" si="3"/>
        <v>194</v>
      </c>
      <c r="P58" s="4">
        <f t="shared" si="4"/>
        <v>46113</v>
      </c>
    </row>
    <row r="59" spans="1:16" x14ac:dyDescent="0.3">
      <c r="A59" s="1" t="s">
        <v>52</v>
      </c>
      <c r="B59" s="1" t="s">
        <v>38</v>
      </c>
      <c r="C59" s="1" t="s">
        <v>18</v>
      </c>
      <c r="D59" s="1" t="s">
        <v>28</v>
      </c>
      <c r="E59" s="1">
        <v>10</v>
      </c>
      <c r="F59" s="1">
        <v>5532</v>
      </c>
      <c r="G59" s="1">
        <v>7</v>
      </c>
      <c r="H59" s="2">
        <v>46074</v>
      </c>
      <c r="I59" s="2">
        <v>46084</v>
      </c>
      <c r="J59" s="1" t="s">
        <v>24</v>
      </c>
      <c r="K59" s="1">
        <v>1058</v>
      </c>
      <c r="L59" s="4">
        <f t="shared" ca="1" si="0"/>
        <v>46261</v>
      </c>
      <c r="M59" s="5">
        <f t="shared" ca="1" si="1"/>
        <v>46261.501276736111</v>
      </c>
      <c r="N59" s="1">
        <f t="shared" si="2"/>
        <v>10</v>
      </c>
      <c r="O59" s="1">
        <f t="shared" ca="1" si="3"/>
        <v>187</v>
      </c>
      <c r="P59" s="4">
        <f t="shared" si="4"/>
        <v>46113</v>
      </c>
    </row>
    <row r="60" spans="1:16" x14ac:dyDescent="0.3">
      <c r="A60" s="1" t="s">
        <v>54</v>
      </c>
      <c r="B60" s="1" t="s">
        <v>25</v>
      </c>
      <c r="C60" s="1" t="s">
        <v>13</v>
      </c>
      <c r="D60" s="1" t="s">
        <v>50</v>
      </c>
      <c r="E60" s="1">
        <v>20</v>
      </c>
      <c r="F60" s="1">
        <v>112</v>
      </c>
      <c r="G60" s="1">
        <v>10</v>
      </c>
      <c r="H60" s="2">
        <v>46113</v>
      </c>
      <c r="I60" s="2">
        <v>46122</v>
      </c>
      <c r="J60" s="1" t="s">
        <v>51</v>
      </c>
      <c r="K60" s="1">
        <v>1059</v>
      </c>
      <c r="L60" s="4">
        <f t="shared" ca="1" si="0"/>
        <v>46261</v>
      </c>
      <c r="M60" s="5">
        <f t="shared" ca="1" si="1"/>
        <v>46261.501276736111</v>
      </c>
      <c r="N60" s="1">
        <f t="shared" si="2"/>
        <v>9</v>
      </c>
      <c r="O60" s="1">
        <f t="shared" ca="1" si="3"/>
        <v>148</v>
      </c>
      <c r="P60" s="4">
        <f t="shared" si="4"/>
        <v>46113</v>
      </c>
    </row>
    <row r="61" spans="1:16" x14ac:dyDescent="0.3">
      <c r="A61" s="1" t="s">
        <v>49</v>
      </c>
      <c r="B61" s="1" t="s">
        <v>12</v>
      </c>
      <c r="C61" s="1" t="s">
        <v>18</v>
      </c>
      <c r="D61" s="1" t="s">
        <v>44</v>
      </c>
      <c r="E61" s="1">
        <v>9</v>
      </c>
      <c r="F61" s="1">
        <v>9727</v>
      </c>
      <c r="G61" s="1">
        <v>2</v>
      </c>
      <c r="H61" s="2">
        <v>46024</v>
      </c>
      <c r="I61" s="2">
        <v>46030</v>
      </c>
      <c r="J61" s="1" t="s">
        <v>20</v>
      </c>
      <c r="K61" s="1">
        <v>1060</v>
      </c>
      <c r="L61" s="4">
        <f t="shared" ca="1" si="0"/>
        <v>46261</v>
      </c>
      <c r="M61" s="5">
        <f t="shared" ca="1" si="1"/>
        <v>46261.501276736111</v>
      </c>
      <c r="N61" s="1">
        <f t="shared" si="2"/>
        <v>6</v>
      </c>
      <c r="O61" s="1">
        <f t="shared" ca="1" si="3"/>
        <v>237</v>
      </c>
      <c r="P61" s="4">
        <f t="shared" si="4"/>
        <v>46113</v>
      </c>
    </row>
    <row r="62" spans="1:16" x14ac:dyDescent="0.3">
      <c r="A62" s="1" t="s">
        <v>57</v>
      </c>
      <c r="B62" s="1" t="s">
        <v>12</v>
      </c>
      <c r="C62" s="1" t="s">
        <v>34</v>
      </c>
      <c r="D62" s="1" t="s">
        <v>41</v>
      </c>
      <c r="E62" s="1">
        <v>16</v>
      </c>
      <c r="F62" s="1">
        <v>59084</v>
      </c>
      <c r="G62" s="1">
        <v>0</v>
      </c>
      <c r="H62" s="2">
        <v>46060</v>
      </c>
      <c r="I62" s="2">
        <v>46069</v>
      </c>
      <c r="J62" s="1" t="s">
        <v>20</v>
      </c>
      <c r="K62" s="1">
        <v>1061</v>
      </c>
      <c r="L62" s="4">
        <f t="shared" ca="1" si="0"/>
        <v>46261</v>
      </c>
      <c r="M62" s="5">
        <f t="shared" ca="1" si="1"/>
        <v>46261.501276736111</v>
      </c>
      <c r="N62" s="1">
        <f t="shared" si="2"/>
        <v>9</v>
      </c>
      <c r="O62" s="1">
        <f t="shared" ca="1" si="3"/>
        <v>201</v>
      </c>
      <c r="P62" s="4">
        <f t="shared" si="4"/>
        <v>46113</v>
      </c>
    </row>
    <row r="63" spans="1:16" x14ac:dyDescent="0.3">
      <c r="A63" s="1" t="s">
        <v>40</v>
      </c>
      <c r="B63" s="1" t="s">
        <v>43</v>
      </c>
      <c r="C63" s="1" t="s">
        <v>18</v>
      </c>
      <c r="D63" s="1" t="s">
        <v>23</v>
      </c>
      <c r="E63" s="1">
        <v>8</v>
      </c>
      <c r="F63" s="1">
        <v>8360</v>
      </c>
      <c r="G63" s="1">
        <v>2</v>
      </c>
      <c r="H63" s="2">
        <v>46190</v>
      </c>
      <c r="I63" s="2">
        <v>46200</v>
      </c>
      <c r="J63" s="1" t="s">
        <v>51</v>
      </c>
      <c r="K63" s="1">
        <v>1062</v>
      </c>
      <c r="L63" s="4">
        <f t="shared" ca="1" si="0"/>
        <v>46261</v>
      </c>
      <c r="M63" s="5">
        <f t="shared" ca="1" si="1"/>
        <v>46261.501276736111</v>
      </c>
      <c r="N63" s="1">
        <f t="shared" si="2"/>
        <v>10</v>
      </c>
      <c r="O63" s="1">
        <f t="shared" ca="1" si="3"/>
        <v>71</v>
      </c>
      <c r="P63" s="4">
        <f t="shared" si="4"/>
        <v>46113</v>
      </c>
    </row>
    <row r="64" spans="1:16" x14ac:dyDescent="0.3">
      <c r="A64" s="1" t="s">
        <v>54</v>
      </c>
      <c r="B64" s="1" t="s">
        <v>22</v>
      </c>
      <c r="C64" s="1" t="s">
        <v>34</v>
      </c>
      <c r="D64" s="1" t="s">
        <v>45</v>
      </c>
      <c r="E64" s="1">
        <v>7</v>
      </c>
      <c r="F64" s="1">
        <v>66744</v>
      </c>
      <c r="G64" s="1">
        <v>7</v>
      </c>
      <c r="H64" s="2">
        <v>46148</v>
      </c>
      <c r="I64" s="2">
        <v>46155</v>
      </c>
      <c r="J64" s="1" t="s">
        <v>15</v>
      </c>
      <c r="K64" s="1">
        <v>1063</v>
      </c>
      <c r="L64" s="4">
        <f t="shared" ca="1" si="0"/>
        <v>46261</v>
      </c>
      <c r="M64" s="5">
        <f t="shared" ca="1" si="1"/>
        <v>46261.501276736111</v>
      </c>
      <c r="N64" s="1">
        <f t="shared" si="2"/>
        <v>7</v>
      </c>
      <c r="O64" s="1">
        <f t="shared" ca="1" si="3"/>
        <v>113</v>
      </c>
      <c r="P64" s="4">
        <f t="shared" si="4"/>
        <v>46113</v>
      </c>
    </row>
    <row r="65" spans="1:16" x14ac:dyDescent="0.3">
      <c r="A65" s="1" t="s">
        <v>26</v>
      </c>
      <c r="B65" s="1" t="s">
        <v>17</v>
      </c>
      <c r="C65" s="1" t="s">
        <v>13</v>
      </c>
      <c r="D65" s="1" t="s">
        <v>50</v>
      </c>
      <c r="E65" s="1">
        <v>20</v>
      </c>
      <c r="F65" s="1">
        <v>191</v>
      </c>
      <c r="G65" s="1">
        <v>7</v>
      </c>
      <c r="H65" s="2">
        <v>46185</v>
      </c>
      <c r="I65" s="2">
        <v>46195</v>
      </c>
      <c r="J65" s="1" t="s">
        <v>29</v>
      </c>
      <c r="K65" s="1">
        <v>1064</v>
      </c>
      <c r="L65" s="4">
        <f t="shared" ca="1" si="0"/>
        <v>46261</v>
      </c>
      <c r="M65" s="5">
        <f t="shared" ca="1" si="1"/>
        <v>46261.501276736111</v>
      </c>
      <c r="N65" s="1">
        <f t="shared" si="2"/>
        <v>10</v>
      </c>
      <c r="O65" s="1">
        <f t="shared" ca="1" si="3"/>
        <v>76</v>
      </c>
      <c r="P65" s="4">
        <f t="shared" si="4"/>
        <v>46113</v>
      </c>
    </row>
    <row r="66" spans="1:16" x14ac:dyDescent="0.3">
      <c r="A66" s="1" t="s">
        <v>42</v>
      </c>
      <c r="B66" s="1" t="s">
        <v>43</v>
      </c>
      <c r="C66" s="1" t="s">
        <v>18</v>
      </c>
      <c r="D66" s="1" t="s">
        <v>44</v>
      </c>
      <c r="E66" s="1">
        <v>1</v>
      </c>
      <c r="F66" s="1">
        <v>7730</v>
      </c>
      <c r="G66" s="1">
        <v>5</v>
      </c>
      <c r="H66" s="2">
        <v>46192</v>
      </c>
      <c r="I66" s="2">
        <v>46195</v>
      </c>
      <c r="J66" s="1" t="s">
        <v>51</v>
      </c>
      <c r="K66" s="1">
        <v>1065</v>
      </c>
      <c r="L66" s="4">
        <f t="shared" ca="1" si="0"/>
        <v>46261</v>
      </c>
      <c r="M66" s="5">
        <f t="shared" ca="1" si="1"/>
        <v>46261.501276736111</v>
      </c>
      <c r="N66" s="1">
        <f t="shared" si="2"/>
        <v>3</v>
      </c>
      <c r="O66" s="1">
        <f t="shared" ca="1" si="3"/>
        <v>69</v>
      </c>
      <c r="P66" s="4">
        <f t="shared" si="4"/>
        <v>46113</v>
      </c>
    </row>
    <row r="67" spans="1:16" x14ac:dyDescent="0.3">
      <c r="A67" s="1" t="s">
        <v>47</v>
      </c>
      <c r="B67" s="1" t="s">
        <v>25</v>
      </c>
      <c r="C67" s="1" t="s">
        <v>18</v>
      </c>
      <c r="D67" s="1" t="s">
        <v>44</v>
      </c>
      <c r="E67" s="1">
        <v>15</v>
      </c>
      <c r="F67" s="1">
        <v>11987</v>
      </c>
      <c r="G67" s="1">
        <v>5</v>
      </c>
      <c r="H67" s="2">
        <v>46082</v>
      </c>
      <c r="I67" s="2">
        <v>46083</v>
      </c>
      <c r="J67" s="1" t="s">
        <v>15</v>
      </c>
      <c r="K67" s="1">
        <v>1066</v>
      </c>
      <c r="L67" s="4">
        <f t="shared" ca="1" si="0"/>
        <v>46261</v>
      </c>
      <c r="M67" s="5">
        <f t="shared" ca="1" si="1"/>
        <v>46261.501276736111</v>
      </c>
      <c r="N67" s="1">
        <f t="shared" si="2"/>
        <v>1</v>
      </c>
      <c r="O67" s="1">
        <f t="shared" ca="1" si="3"/>
        <v>179</v>
      </c>
      <c r="P67" s="4">
        <f t="shared" si="4"/>
        <v>46113</v>
      </c>
    </row>
    <row r="68" spans="1:16" x14ac:dyDescent="0.3">
      <c r="A68" s="1" t="s">
        <v>32</v>
      </c>
      <c r="B68" s="1" t="s">
        <v>43</v>
      </c>
      <c r="C68" s="1" t="s">
        <v>18</v>
      </c>
      <c r="D68" s="1" t="s">
        <v>56</v>
      </c>
      <c r="E68" s="1">
        <v>14</v>
      </c>
      <c r="F68" s="1">
        <v>10869</v>
      </c>
      <c r="G68" s="1">
        <v>0</v>
      </c>
      <c r="H68" s="2">
        <v>46058</v>
      </c>
      <c r="I68" s="2">
        <v>46062</v>
      </c>
      <c r="J68" s="1" t="s">
        <v>29</v>
      </c>
      <c r="K68" s="1">
        <v>1067</v>
      </c>
      <c r="L68" s="4">
        <f t="shared" ca="1" si="0"/>
        <v>46261</v>
      </c>
      <c r="M68" s="5">
        <f t="shared" ca="1" si="1"/>
        <v>46261.501276736111</v>
      </c>
      <c r="N68" s="1">
        <f t="shared" si="2"/>
        <v>4</v>
      </c>
      <c r="O68" s="1">
        <f t="shared" ca="1" si="3"/>
        <v>203</v>
      </c>
      <c r="P68" s="4">
        <f t="shared" si="4"/>
        <v>46113</v>
      </c>
    </row>
    <row r="69" spans="1:16" x14ac:dyDescent="0.3">
      <c r="A69" s="1" t="s">
        <v>52</v>
      </c>
      <c r="B69" s="1" t="s">
        <v>43</v>
      </c>
      <c r="C69" s="1" t="s">
        <v>34</v>
      </c>
      <c r="D69" s="1" t="s">
        <v>60</v>
      </c>
      <c r="E69" s="1">
        <v>15</v>
      </c>
      <c r="F69" s="1">
        <v>14534</v>
      </c>
      <c r="G69" s="1">
        <v>5</v>
      </c>
      <c r="H69" s="2">
        <v>46196</v>
      </c>
      <c r="I69" s="2">
        <v>46199</v>
      </c>
      <c r="J69" s="1" t="s">
        <v>29</v>
      </c>
      <c r="K69" s="1">
        <v>1068</v>
      </c>
      <c r="L69" s="4">
        <f t="shared" ca="1" si="0"/>
        <v>46261</v>
      </c>
      <c r="M69" s="5">
        <f t="shared" ca="1" si="1"/>
        <v>46261.501276736111</v>
      </c>
      <c r="N69" s="1">
        <f t="shared" si="2"/>
        <v>3</v>
      </c>
      <c r="O69" s="1">
        <f t="shared" ca="1" si="3"/>
        <v>65</v>
      </c>
      <c r="P69" s="4">
        <f t="shared" si="4"/>
        <v>46113</v>
      </c>
    </row>
    <row r="70" spans="1:16" x14ac:dyDescent="0.3">
      <c r="A70" s="1" t="s">
        <v>52</v>
      </c>
      <c r="B70" s="1" t="s">
        <v>31</v>
      </c>
      <c r="C70" s="1" t="s">
        <v>18</v>
      </c>
      <c r="D70" s="1" t="s">
        <v>28</v>
      </c>
      <c r="E70" s="1">
        <v>9</v>
      </c>
      <c r="F70" s="1">
        <v>4415</v>
      </c>
      <c r="G70" s="1">
        <v>5</v>
      </c>
      <c r="H70" s="2">
        <v>46039</v>
      </c>
      <c r="I70" s="2">
        <v>46046</v>
      </c>
      <c r="J70" s="1" t="s">
        <v>15</v>
      </c>
      <c r="K70" s="1">
        <v>1069</v>
      </c>
      <c r="L70" s="4">
        <f t="shared" ca="1" si="0"/>
        <v>46261</v>
      </c>
      <c r="M70" s="5">
        <f t="shared" ca="1" si="1"/>
        <v>46261.501276736111</v>
      </c>
      <c r="N70" s="1">
        <f t="shared" si="2"/>
        <v>7</v>
      </c>
      <c r="O70" s="1">
        <f t="shared" ca="1" si="3"/>
        <v>222</v>
      </c>
      <c r="P70" s="4">
        <f t="shared" si="4"/>
        <v>46113</v>
      </c>
    </row>
    <row r="71" spans="1:16" x14ac:dyDescent="0.3">
      <c r="A71" s="1" t="s">
        <v>52</v>
      </c>
      <c r="B71" s="1" t="s">
        <v>43</v>
      </c>
      <c r="C71" s="1" t="s">
        <v>13</v>
      </c>
      <c r="D71" s="1" t="s">
        <v>36</v>
      </c>
      <c r="E71" s="1">
        <v>10</v>
      </c>
      <c r="F71" s="1">
        <v>233</v>
      </c>
      <c r="G71" s="1">
        <v>7</v>
      </c>
      <c r="H71" s="2">
        <v>46076</v>
      </c>
      <c r="I71" s="2">
        <v>46077</v>
      </c>
      <c r="J71" s="1" t="s">
        <v>29</v>
      </c>
      <c r="K71" s="1">
        <v>1070</v>
      </c>
      <c r="L71" s="4">
        <f t="shared" ca="1" si="0"/>
        <v>46261</v>
      </c>
      <c r="M71" s="5">
        <f t="shared" ca="1" si="1"/>
        <v>46261.501276736111</v>
      </c>
      <c r="N71" s="1">
        <f t="shared" si="2"/>
        <v>1</v>
      </c>
      <c r="O71" s="1">
        <f t="shared" ca="1" si="3"/>
        <v>185</v>
      </c>
      <c r="P71" s="4">
        <f t="shared" si="4"/>
        <v>46113</v>
      </c>
    </row>
    <row r="72" spans="1:16" x14ac:dyDescent="0.3">
      <c r="A72" s="1" t="s">
        <v>59</v>
      </c>
      <c r="B72" s="1" t="s">
        <v>22</v>
      </c>
      <c r="C72" s="1" t="s">
        <v>34</v>
      </c>
      <c r="D72" s="1" t="s">
        <v>61</v>
      </c>
      <c r="E72" s="1">
        <v>18</v>
      </c>
      <c r="F72" s="1">
        <v>32197</v>
      </c>
      <c r="G72" s="1">
        <v>5</v>
      </c>
      <c r="H72" s="2">
        <v>46129</v>
      </c>
      <c r="I72" s="2">
        <v>46137</v>
      </c>
      <c r="J72" s="1" t="s">
        <v>20</v>
      </c>
      <c r="K72" s="1">
        <v>1071</v>
      </c>
      <c r="L72" s="4">
        <f t="shared" ca="1" si="0"/>
        <v>46261</v>
      </c>
      <c r="M72" s="5">
        <f t="shared" ca="1" si="1"/>
        <v>46261.501276736111</v>
      </c>
      <c r="N72" s="1">
        <f t="shared" si="2"/>
        <v>8</v>
      </c>
      <c r="O72" s="1">
        <f t="shared" ca="1" si="3"/>
        <v>132</v>
      </c>
      <c r="P72" s="4">
        <f t="shared" si="4"/>
        <v>46113</v>
      </c>
    </row>
    <row r="73" spans="1:16" x14ac:dyDescent="0.3">
      <c r="A73" s="1" t="s">
        <v>16</v>
      </c>
      <c r="B73" s="1" t="s">
        <v>25</v>
      </c>
      <c r="C73" s="1" t="s">
        <v>34</v>
      </c>
      <c r="D73" s="1" t="s">
        <v>61</v>
      </c>
      <c r="E73" s="1">
        <v>20</v>
      </c>
      <c r="F73" s="1">
        <v>58779</v>
      </c>
      <c r="G73" s="1">
        <v>0</v>
      </c>
      <c r="H73" s="2">
        <v>46035</v>
      </c>
      <c r="I73" s="2">
        <v>46036</v>
      </c>
      <c r="J73" s="1" t="s">
        <v>24</v>
      </c>
      <c r="K73" s="1">
        <v>1072</v>
      </c>
      <c r="L73" s="4">
        <f t="shared" ca="1" si="0"/>
        <v>46261</v>
      </c>
      <c r="M73" s="5">
        <f t="shared" ca="1" si="1"/>
        <v>46261.501276736111</v>
      </c>
      <c r="N73" s="1">
        <f t="shared" si="2"/>
        <v>1</v>
      </c>
      <c r="O73" s="1">
        <f t="shared" ca="1" si="3"/>
        <v>226</v>
      </c>
      <c r="P73" s="4">
        <f t="shared" si="4"/>
        <v>46113</v>
      </c>
    </row>
    <row r="74" spans="1:16" x14ac:dyDescent="0.3">
      <c r="A74" s="1" t="s">
        <v>58</v>
      </c>
      <c r="B74" s="1" t="s">
        <v>17</v>
      </c>
      <c r="C74" s="1" t="s">
        <v>18</v>
      </c>
      <c r="D74" s="1" t="s">
        <v>56</v>
      </c>
      <c r="E74" s="1">
        <v>4</v>
      </c>
      <c r="F74" s="1">
        <v>2453</v>
      </c>
      <c r="G74" s="1">
        <v>7</v>
      </c>
      <c r="H74" s="2">
        <v>46126</v>
      </c>
      <c r="I74" s="2">
        <v>46129</v>
      </c>
      <c r="J74" s="1" t="s">
        <v>51</v>
      </c>
      <c r="K74" s="1">
        <v>1073</v>
      </c>
      <c r="L74" s="4">
        <f t="shared" ca="1" si="0"/>
        <v>46261</v>
      </c>
      <c r="M74" s="5">
        <f t="shared" ca="1" si="1"/>
        <v>46261.501276736111</v>
      </c>
      <c r="N74" s="1">
        <f t="shared" si="2"/>
        <v>3</v>
      </c>
      <c r="O74" s="1">
        <f t="shared" ca="1" si="3"/>
        <v>135</v>
      </c>
      <c r="P74" s="4">
        <f t="shared" si="4"/>
        <v>46113</v>
      </c>
    </row>
    <row r="75" spans="1:16" x14ac:dyDescent="0.3">
      <c r="A75" s="1" t="s">
        <v>26</v>
      </c>
      <c r="B75" s="1" t="s">
        <v>31</v>
      </c>
      <c r="C75" s="1" t="s">
        <v>13</v>
      </c>
      <c r="D75" s="1" t="s">
        <v>50</v>
      </c>
      <c r="E75" s="1">
        <v>11</v>
      </c>
      <c r="F75" s="1">
        <v>390</v>
      </c>
      <c r="G75" s="1">
        <v>15</v>
      </c>
      <c r="H75" s="2">
        <v>46114</v>
      </c>
      <c r="I75" s="2">
        <v>46123</v>
      </c>
      <c r="J75" s="1" t="s">
        <v>29</v>
      </c>
      <c r="K75" s="1">
        <v>1074</v>
      </c>
      <c r="L75" s="4">
        <f t="shared" ca="1" si="0"/>
        <v>46261</v>
      </c>
      <c r="M75" s="5">
        <f t="shared" ca="1" si="1"/>
        <v>46261.501276736111</v>
      </c>
      <c r="N75" s="1">
        <f t="shared" si="2"/>
        <v>9</v>
      </c>
      <c r="O75" s="1">
        <f t="shared" ca="1" si="3"/>
        <v>147</v>
      </c>
      <c r="P75" s="4">
        <f t="shared" si="4"/>
        <v>46113</v>
      </c>
    </row>
    <row r="76" spans="1:16" x14ac:dyDescent="0.3">
      <c r="A76" s="1" t="s">
        <v>42</v>
      </c>
      <c r="B76" s="1" t="s">
        <v>43</v>
      </c>
      <c r="C76" s="1" t="s">
        <v>34</v>
      </c>
      <c r="D76" s="1" t="s">
        <v>61</v>
      </c>
      <c r="E76" s="1">
        <v>4</v>
      </c>
      <c r="F76" s="1">
        <v>64773</v>
      </c>
      <c r="G76" s="1">
        <v>10</v>
      </c>
      <c r="H76" s="2">
        <v>46185</v>
      </c>
      <c r="I76" s="2">
        <v>46186</v>
      </c>
      <c r="J76" s="1" t="s">
        <v>51</v>
      </c>
      <c r="K76" s="1">
        <v>1075</v>
      </c>
      <c r="L76" s="4">
        <f t="shared" ca="1" si="0"/>
        <v>46261</v>
      </c>
      <c r="M76" s="5">
        <f t="shared" ca="1" si="1"/>
        <v>46261.501276736111</v>
      </c>
      <c r="N76" s="1">
        <f t="shared" si="2"/>
        <v>1</v>
      </c>
      <c r="O76" s="1">
        <f t="shared" ca="1" si="3"/>
        <v>76</v>
      </c>
      <c r="P76" s="4">
        <f t="shared" si="4"/>
        <v>46113</v>
      </c>
    </row>
    <row r="77" spans="1:16" x14ac:dyDescent="0.3">
      <c r="A77" s="1" t="s">
        <v>29</v>
      </c>
      <c r="B77" s="1" t="s">
        <v>17</v>
      </c>
      <c r="C77" s="1" t="s">
        <v>34</v>
      </c>
      <c r="D77" s="1" t="s">
        <v>35</v>
      </c>
      <c r="E77" s="1">
        <v>19</v>
      </c>
      <c r="F77" s="1">
        <v>26714</v>
      </c>
      <c r="G77" s="1">
        <v>5</v>
      </c>
      <c r="H77" s="2">
        <v>46045</v>
      </c>
      <c r="I77" s="2">
        <v>46055</v>
      </c>
      <c r="J77" s="1" t="s">
        <v>29</v>
      </c>
      <c r="K77" s="1">
        <v>1076</v>
      </c>
      <c r="L77" s="4">
        <f t="shared" ca="1" si="0"/>
        <v>46261</v>
      </c>
      <c r="M77" s="5">
        <f t="shared" ca="1" si="1"/>
        <v>46261.501276736111</v>
      </c>
      <c r="N77" s="1">
        <f t="shared" si="2"/>
        <v>10</v>
      </c>
      <c r="O77" s="1">
        <f t="shared" ca="1" si="3"/>
        <v>216</v>
      </c>
      <c r="P77" s="4">
        <f t="shared" si="4"/>
        <v>46113</v>
      </c>
    </row>
    <row r="78" spans="1:16" x14ac:dyDescent="0.3">
      <c r="A78" s="1" t="s">
        <v>55</v>
      </c>
      <c r="B78" s="1" t="s">
        <v>25</v>
      </c>
      <c r="C78" s="1" t="s">
        <v>13</v>
      </c>
      <c r="D78" s="1" t="s">
        <v>14</v>
      </c>
      <c r="E78" s="1">
        <v>1</v>
      </c>
      <c r="F78" s="1">
        <v>123</v>
      </c>
      <c r="G78" s="1">
        <v>10</v>
      </c>
      <c r="H78" s="2">
        <v>46113</v>
      </c>
      <c r="I78" s="2">
        <v>46121</v>
      </c>
      <c r="J78" s="1" t="s">
        <v>51</v>
      </c>
      <c r="K78" s="1">
        <v>1077</v>
      </c>
      <c r="L78" s="4">
        <f t="shared" ca="1" si="0"/>
        <v>46261</v>
      </c>
      <c r="M78" s="5">
        <f t="shared" ca="1" si="1"/>
        <v>46261.501276736111</v>
      </c>
      <c r="N78" s="1">
        <f t="shared" si="2"/>
        <v>8</v>
      </c>
      <c r="O78" s="1">
        <f t="shared" ca="1" si="3"/>
        <v>148</v>
      </c>
      <c r="P78" s="4">
        <f t="shared" si="4"/>
        <v>46113</v>
      </c>
    </row>
    <row r="79" spans="1:16" x14ac:dyDescent="0.3">
      <c r="A79" s="1" t="s">
        <v>52</v>
      </c>
      <c r="B79" s="1" t="s">
        <v>17</v>
      </c>
      <c r="C79" s="1" t="s">
        <v>34</v>
      </c>
      <c r="D79" s="1" t="s">
        <v>39</v>
      </c>
      <c r="E79" s="1">
        <v>11</v>
      </c>
      <c r="F79" s="1">
        <v>24278</v>
      </c>
      <c r="G79" s="1">
        <v>12</v>
      </c>
      <c r="H79" s="2">
        <v>46084</v>
      </c>
      <c r="I79" s="2">
        <v>46090</v>
      </c>
      <c r="J79" s="1" t="s">
        <v>29</v>
      </c>
      <c r="K79" s="1">
        <v>1078</v>
      </c>
      <c r="L79" s="4">
        <f t="shared" ca="1" si="0"/>
        <v>46261</v>
      </c>
      <c r="M79" s="5">
        <f t="shared" ca="1" si="1"/>
        <v>46261.501276736111</v>
      </c>
      <c r="N79" s="1">
        <f t="shared" si="2"/>
        <v>6</v>
      </c>
      <c r="O79" s="1">
        <f t="shared" ca="1" si="3"/>
        <v>177</v>
      </c>
      <c r="P79" s="4">
        <f t="shared" si="4"/>
        <v>46113</v>
      </c>
    </row>
    <row r="80" spans="1:16" x14ac:dyDescent="0.3">
      <c r="A80" s="1" t="s">
        <v>26</v>
      </c>
      <c r="B80" s="1" t="s">
        <v>38</v>
      </c>
      <c r="C80" s="1" t="s">
        <v>34</v>
      </c>
      <c r="D80" s="1" t="s">
        <v>41</v>
      </c>
      <c r="E80" s="1">
        <v>19</v>
      </c>
      <c r="F80" s="1">
        <v>48956</v>
      </c>
      <c r="G80" s="1">
        <v>12</v>
      </c>
      <c r="H80" s="2">
        <v>46170</v>
      </c>
      <c r="I80" s="2">
        <v>46177</v>
      </c>
      <c r="J80" s="1" t="s">
        <v>51</v>
      </c>
      <c r="K80" s="1">
        <v>1079</v>
      </c>
      <c r="L80" s="4">
        <f t="shared" ca="1" si="0"/>
        <v>46261</v>
      </c>
      <c r="M80" s="5">
        <f t="shared" ca="1" si="1"/>
        <v>46261.501276736111</v>
      </c>
      <c r="N80" s="1">
        <f t="shared" si="2"/>
        <v>7</v>
      </c>
      <c r="O80" s="1">
        <f t="shared" ca="1" si="3"/>
        <v>91</v>
      </c>
      <c r="P80" s="4">
        <f t="shared" si="4"/>
        <v>46113</v>
      </c>
    </row>
    <row r="81" spans="1:16" x14ac:dyDescent="0.3">
      <c r="A81" s="1" t="s">
        <v>21</v>
      </c>
      <c r="B81" s="1" t="s">
        <v>22</v>
      </c>
      <c r="C81" s="1" t="s">
        <v>34</v>
      </c>
      <c r="D81" s="1" t="s">
        <v>41</v>
      </c>
      <c r="E81" s="1">
        <v>12</v>
      </c>
      <c r="F81" s="1">
        <v>54161</v>
      </c>
      <c r="G81" s="1">
        <v>15</v>
      </c>
      <c r="H81" s="2">
        <v>46133</v>
      </c>
      <c r="I81" s="2">
        <v>46143</v>
      </c>
      <c r="J81" s="1" t="s">
        <v>24</v>
      </c>
      <c r="K81" s="1">
        <v>1080</v>
      </c>
      <c r="L81" s="4">
        <f t="shared" ca="1" si="0"/>
        <v>46261</v>
      </c>
      <c r="M81" s="5">
        <f t="shared" ca="1" si="1"/>
        <v>46261.501276736111</v>
      </c>
      <c r="N81" s="1">
        <f t="shared" si="2"/>
        <v>10</v>
      </c>
      <c r="O81" s="1">
        <f t="shared" ca="1" si="3"/>
        <v>128</v>
      </c>
      <c r="P81" s="4">
        <f t="shared" si="4"/>
        <v>46113</v>
      </c>
    </row>
    <row r="82" spans="1:16" x14ac:dyDescent="0.3">
      <c r="A82" s="1" t="s">
        <v>47</v>
      </c>
      <c r="B82" s="1" t="s">
        <v>12</v>
      </c>
      <c r="C82" s="1" t="s">
        <v>34</v>
      </c>
      <c r="D82" s="1" t="s">
        <v>35</v>
      </c>
      <c r="E82" s="1">
        <v>15</v>
      </c>
      <c r="F82" s="1">
        <v>59912</v>
      </c>
      <c r="G82" s="1">
        <v>7</v>
      </c>
      <c r="H82" s="2">
        <v>46058</v>
      </c>
      <c r="I82" s="2">
        <v>46060</v>
      </c>
      <c r="J82" s="1" t="s">
        <v>51</v>
      </c>
      <c r="K82" s="1">
        <v>1081</v>
      </c>
      <c r="L82" s="4">
        <f t="shared" ca="1" si="0"/>
        <v>46261</v>
      </c>
      <c r="M82" s="5">
        <f t="shared" ca="1" si="1"/>
        <v>46261.501276736111</v>
      </c>
      <c r="N82" s="1">
        <f t="shared" si="2"/>
        <v>2</v>
      </c>
      <c r="O82" s="1">
        <f t="shared" ca="1" si="3"/>
        <v>203</v>
      </c>
      <c r="P82" s="4">
        <f t="shared" si="4"/>
        <v>46113</v>
      </c>
    </row>
    <row r="83" spans="1:16" x14ac:dyDescent="0.3">
      <c r="A83" s="1" t="s">
        <v>21</v>
      </c>
      <c r="B83" s="1" t="s">
        <v>12</v>
      </c>
      <c r="C83" s="1" t="s">
        <v>13</v>
      </c>
      <c r="D83" s="1" t="s">
        <v>14</v>
      </c>
      <c r="E83" s="1">
        <v>7</v>
      </c>
      <c r="F83" s="1">
        <v>133</v>
      </c>
      <c r="G83" s="1">
        <v>10</v>
      </c>
      <c r="H83" s="2">
        <v>46075</v>
      </c>
      <c r="I83" s="2">
        <v>46085</v>
      </c>
      <c r="J83" s="1" t="s">
        <v>51</v>
      </c>
      <c r="K83" s="1">
        <v>1082</v>
      </c>
      <c r="L83" s="4">
        <f t="shared" ca="1" si="0"/>
        <v>46261</v>
      </c>
      <c r="M83" s="5">
        <f t="shared" ca="1" si="1"/>
        <v>46261.501276736111</v>
      </c>
      <c r="N83" s="1">
        <f t="shared" si="2"/>
        <v>10</v>
      </c>
      <c r="O83" s="1">
        <f t="shared" ca="1" si="3"/>
        <v>186</v>
      </c>
      <c r="P83" s="4">
        <f t="shared" si="4"/>
        <v>46113</v>
      </c>
    </row>
    <row r="84" spans="1:16" x14ac:dyDescent="0.3">
      <c r="A84" s="1" t="s">
        <v>55</v>
      </c>
      <c r="B84" s="1" t="s">
        <v>33</v>
      </c>
      <c r="C84" s="1" t="s">
        <v>13</v>
      </c>
      <c r="D84" s="1" t="s">
        <v>53</v>
      </c>
      <c r="E84" s="1">
        <v>4</v>
      </c>
      <c r="F84" s="1">
        <v>397</v>
      </c>
      <c r="G84" s="1">
        <v>7</v>
      </c>
      <c r="H84" s="2">
        <v>46185</v>
      </c>
      <c r="I84" s="2">
        <v>46193</v>
      </c>
      <c r="J84" s="1" t="s">
        <v>15</v>
      </c>
      <c r="K84" s="1">
        <v>1083</v>
      </c>
      <c r="L84" s="4">
        <f t="shared" ca="1" si="0"/>
        <v>46261</v>
      </c>
      <c r="M84" s="5">
        <f t="shared" ca="1" si="1"/>
        <v>46261.501276736111</v>
      </c>
      <c r="N84" s="1">
        <f t="shared" si="2"/>
        <v>8</v>
      </c>
      <c r="O84" s="1">
        <f t="shared" ca="1" si="3"/>
        <v>76</v>
      </c>
      <c r="P84" s="4">
        <f t="shared" si="4"/>
        <v>46113</v>
      </c>
    </row>
    <row r="85" spans="1:16" x14ac:dyDescent="0.3">
      <c r="A85" s="1" t="s">
        <v>49</v>
      </c>
      <c r="B85" s="1" t="s">
        <v>31</v>
      </c>
      <c r="C85" s="1" t="s">
        <v>18</v>
      </c>
      <c r="D85" s="1" t="s">
        <v>28</v>
      </c>
      <c r="E85" s="1">
        <v>4</v>
      </c>
      <c r="F85" s="1">
        <v>6901</v>
      </c>
      <c r="G85" s="1">
        <v>10</v>
      </c>
      <c r="H85" s="2">
        <v>46047</v>
      </c>
      <c r="I85" s="2">
        <v>46057</v>
      </c>
      <c r="J85" s="1" t="s">
        <v>20</v>
      </c>
      <c r="K85" s="1">
        <v>1084</v>
      </c>
      <c r="L85" s="4">
        <f t="shared" ca="1" si="0"/>
        <v>46261</v>
      </c>
      <c r="M85" s="5">
        <f t="shared" ca="1" si="1"/>
        <v>46261.501276736111</v>
      </c>
      <c r="N85" s="1">
        <f t="shared" si="2"/>
        <v>10</v>
      </c>
      <c r="O85" s="1">
        <f t="shared" ca="1" si="3"/>
        <v>214</v>
      </c>
      <c r="P85" s="4">
        <f t="shared" si="4"/>
        <v>46113</v>
      </c>
    </row>
    <row r="86" spans="1:16" x14ac:dyDescent="0.3">
      <c r="A86" s="1" t="s">
        <v>32</v>
      </c>
      <c r="B86" s="1" t="s">
        <v>38</v>
      </c>
      <c r="C86" s="1" t="s">
        <v>34</v>
      </c>
      <c r="D86" s="1" t="s">
        <v>60</v>
      </c>
      <c r="E86" s="1">
        <v>19</v>
      </c>
      <c r="F86" s="1">
        <v>45307</v>
      </c>
      <c r="G86" s="1">
        <v>12</v>
      </c>
      <c r="H86" s="2">
        <v>46146</v>
      </c>
      <c r="I86" s="2">
        <v>46150</v>
      </c>
      <c r="J86" s="1" t="s">
        <v>24</v>
      </c>
      <c r="K86" s="1">
        <v>1085</v>
      </c>
      <c r="L86" s="4">
        <f t="shared" ca="1" si="0"/>
        <v>46261</v>
      </c>
      <c r="M86" s="5">
        <f t="shared" ca="1" si="1"/>
        <v>46261.501276736111</v>
      </c>
      <c r="N86" s="1">
        <f t="shared" si="2"/>
        <v>4</v>
      </c>
      <c r="O86" s="1">
        <f t="shared" ca="1" si="3"/>
        <v>115</v>
      </c>
      <c r="P86" s="4">
        <f t="shared" si="4"/>
        <v>46113</v>
      </c>
    </row>
    <row r="87" spans="1:16" x14ac:dyDescent="0.3">
      <c r="A87" s="1" t="s">
        <v>32</v>
      </c>
      <c r="B87" s="1" t="s">
        <v>12</v>
      </c>
      <c r="C87" s="1" t="s">
        <v>13</v>
      </c>
      <c r="D87" s="1" t="s">
        <v>53</v>
      </c>
      <c r="E87" s="1">
        <v>15</v>
      </c>
      <c r="F87" s="1">
        <v>40</v>
      </c>
      <c r="G87" s="1">
        <v>10</v>
      </c>
      <c r="H87" s="2">
        <v>46045</v>
      </c>
      <c r="I87" s="2">
        <v>46049</v>
      </c>
      <c r="J87" s="1" t="s">
        <v>24</v>
      </c>
      <c r="K87" s="1">
        <v>1086</v>
      </c>
      <c r="L87" s="4">
        <f t="shared" ca="1" si="0"/>
        <v>46261</v>
      </c>
      <c r="M87" s="5">
        <f t="shared" ca="1" si="1"/>
        <v>46261.501276736111</v>
      </c>
      <c r="N87" s="1">
        <f t="shared" si="2"/>
        <v>4</v>
      </c>
      <c r="O87" s="1">
        <f t="shared" ca="1" si="3"/>
        <v>216</v>
      </c>
      <c r="P87" s="4">
        <f t="shared" si="4"/>
        <v>46113</v>
      </c>
    </row>
    <row r="88" spans="1:16" x14ac:dyDescent="0.3">
      <c r="A88" s="1" t="s">
        <v>11</v>
      </c>
      <c r="B88" s="1" t="s">
        <v>31</v>
      </c>
      <c r="C88" s="1" t="s">
        <v>13</v>
      </c>
      <c r="D88" s="1" t="s">
        <v>37</v>
      </c>
      <c r="E88" s="1">
        <v>13</v>
      </c>
      <c r="F88" s="1">
        <v>387</v>
      </c>
      <c r="G88" s="1">
        <v>7</v>
      </c>
      <c r="H88" s="2">
        <v>46171</v>
      </c>
      <c r="I88" s="2">
        <v>46176</v>
      </c>
      <c r="J88" s="1" t="s">
        <v>24</v>
      </c>
      <c r="K88" s="1">
        <v>1087</v>
      </c>
      <c r="L88" s="4">
        <f t="shared" ca="1" si="0"/>
        <v>46261</v>
      </c>
      <c r="M88" s="5">
        <f t="shared" ca="1" si="1"/>
        <v>46261.501276736111</v>
      </c>
      <c r="N88" s="1">
        <f t="shared" si="2"/>
        <v>5</v>
      </c>
      <c r="O88" s="1">
        <f t="shared" ca="1" si="3"/>
        <v>90</v>
      </c>
      <c r="P88" s="4">
        <f t="shared" si="4"/>
        <v>46113</v>
      </c>
    </row>
    <row r="89" spans="1:16" x14ac:dyDescent="0.3">
      <c r="A89" s="1" t="s">
        <v>40</v>
      </c>
      <c r="B89" s="1" t="s">
        <v>33</v>
      </c>
      <c r="C89" s="1" t="s">
        <v>34</v>
      </c>
      <c r="D89" s="1" t="s">
        <v>41</v>
      </c>
      <c r="E89" s="1">
        <v>20</v>
      </c>
      <c r="F89" s="1">
        <v>41165</v>
      </c>
      <c r="G89" s="1">
        <v>0</v>
      </c>
      <c r="H89" s="2">
        <v>46068</v>
      </c>
      <c r="I89" s="2">
        <v>46069</v>
      </c>
      <c r="J89" s="1" t="s">
        <v>20</v>
      </c>
      <c r="K89" s="1">
        <v>1088</v>
      </c>
      <c r="L89" s="4">
        <f t="shared" ca="1" si="0"/>
        <v>46261</v>
      </c>
      <c r="M89" s="5">
        <f t="shared" ca="1" si="1"/>
        <v>46261.501276736111</v>
      </c>
      <c r="N89" s="1">
        <f t="shared" si="2"/>
        <v>1</v>
      </c>
      <c r="O89" s="1">
        <f t="shared" ca="1" si="3"/>
        <v>193</v>
      </c>
      <c r="P89" s="4">
        <f t="shared" si="4"/>
        <v>46113</v>
      </c>
    </row>
    <row r="90" spans="1:16" x14ac:dyDescent="0.3">
      <c r="A90" s="1" t="s">
        <v>46</v>
      </c>
      <c r="B90" s="1" t="s">
        <v>12</v>
      </c>
      <c r="C90" s="1" t="s">
        <v>34</v>
      </c>
      <c r="D90" s="1" t="s">
        <v>35</v>
      </c>
      <c r="E90" s="1">
        <v>10</v>
      </c>
      <c r="F90" s="1">
        <v>17041</v>
      </c>
      <c r="G90" s="1">
        <v>2</v>
      </c>
      <c r="H90" s="2">
        <v>46066</v>
      </c>
      <c r="I90" s="2">
        <v>46071</v>
      </c>
      <c r="J90" s="1" t="s">
        <v>24</v>
      </c>
      <c r="K90" s="1">
        <v>1089</v>
      </c>
      <c r="L90" s="4">
        <f t="shared" ca="1" si="0"/>
        <v>46261</v>
      </c>
      <c r="M90" s="5">
        <f t="shared" ca="1" si="1"/>
        <v>46261.501276736111</v>
      </c>
      <c r="N90" s="1">
        <f t="shared" si="2"/>
        <v>5</v>
      </c>
      <c r="O90" s="1">
        <f t="shared" ca="1" si="3"/>
        <v>195</v>
      </c>
      <c r="P90" s="4">
        <f t="shared" si="4"/>
        <v>46113</v>
      </c>
    </row>
    <row r="91" spans="1:16" x14ac:dyDescent="0.3">
      <c r="A91" s="1" t="s">
        <v>49</v>
      </c>
      <c r="B91" s="1" t="s">
        <v>31</v>
      </c>
      <c r="C91" s="1" t="s">
        <v>34</v>
      </c>
      <c r="D91" s="1" t="s">
        <v>45</v>
      </c>
      <c r="E91" s="1">
        <v>19</v>
      </c>
      <c r="F91" s="1">
        <v>66139</v>
      </c>
      <c r="G91" s="1">
        <v>5</v>
      </c>
      <c r="H91" s="2">
        <v>46088</v>
      </c>
      <c r="I91" s="2">
        <v>46095</v>
      </c>
      <c r="J91" s="1" t="s">
        <v>24</v>
      </c>
      <c r="K91" s="1">
        <v>1090</v>
      </c>
      <c r="L91" s="4">
        <f t="shared" ca="1" si="0"/>
        <v>46261</v>
      </c>
      <c r="M91" s="5">
        <f t="shared" ca="1" si="1"/>
        <v>46261.501276736111</v>
      </c>
      <c r="N91" s="1">
        <f t="shared" si="2"/>
        <v>7</v>
      </c>
      <c r="O91" s="1">
        <f t="shared" ca="1" si="3"/>
        <v>173</v>
      </c>
      <c r="P91" s="4">
        <f t="shared" si="4"/>
        <v>46113</v>
      </c>
    </row>
    <row r="92" spans="1:16" x14ac:dyDescent="0.3">
      <c r="A92" s="1" t="s">
        <v>55</v>
      </c>
      <c r="B92" s="1" t="s">
        <v>17</v>
      </c>
      <c r="C92" s="1" t="s">
        <v>13</v>
      </c>
      <c r="D92" s="1" t="s">
        <v>53</v>
      </c>
      <c r="E92" s="1">
        <v>2</v>
      </c>
      <c r="F92" s="1">
        <v>305</v>
      </c>
      <c r="G92" s="1">
        <v>0</v>
      </c>
      <c r="H92" s="2">
        <v>46136</v>
      </c>
      <c r="I92" s="2">
        <v>46144</v>
      </c>
      <c r="J92" s="1" t="s">
        <v>15</v>
      </c>
      <c r="K92" s="1">
        <v>1091</v>
      </c>
      <c r="L92" s="4">
        <f t="shared" ca="1" si="0"/>
        <v>46261</v>
      </c>
      <c r="M92" s="5">
        <f t="shared" ca="1" si="1"/>
        <v>46261.501276736111</v>
      </c>
      <c r="N92" s="1">
        <f t="shared" si="2"/>
        <v>8</v>
      </c>
      <c r="O92" s="1">
        <f t="shared" ca="1" si="3"/>
        <v>125</v>
      </c>
      <c r="P92" s="4">
        <f t="shared" si="4"/>
        <v>46113</v>
      </c>
    </row>
    <row r="93" spans="1:16" x14ac:dyDescent="0.3">
      <c r="A93" s="1" t="s">
        <v>21</v>
      </c>
      <c r="B93" s="1" t="s">
        <v>22</v>
      </c>
      <c r="C93" s="1" t="s">
        <v>34</v>
      </c>
      <c r="D93" s="1" t="s">
        <v>41</v>
      </c>
      <c r="E93" s="1">
        <v>9</v>
      </c>
      <c r="F93" s="1">
        <v>23438</v>
      </c>
      <c r="G93" s="1">
        <v>2</v>
      </c>
      <c r="H93" s="2">
        <v>46049</v>
      </c>
      <c r="I93" s="2">
        <v>46055</v>
      </c>
      <c r="J93" s="1" t="s">
        <v>29</v>
      </c>
      <c r="K93" s="1">
        <v>1092</v>
      </c>
      <c r="L93" s="4">
        <f t="shared" ca="1" si="0"/>
        <v>46261</v>
      </c>
      <c r="M93" s="5">
        <f t="shared" ca="1" si="1"/>
        <v>46261.501276736111</v>
      </c>
      <c r="N93" s="1">
        <f t="shared" si="2"/>
        <v>6</v>
      </c>
      <c r="O93" s="1">
        <f t="shared" ca="1" si="3"/>
        <v>212</v>
      </c>
      <c r="P93" s="4">
        <f t="shared" si="4"/>
        <v>46113</v>
      </c>
    </row>
    <row r="94" spans="1:16" x14ac:dyDescent="0.3">
      <c r="A94" s="1" t="s">
        <v>47</v>
      </c>
      <c r="B94" s="1" t="s">
        <v>25</v>
      </c>
      <c r="C94" s="1" t="s">
        <v>18</v>
      </c>
      <c r="D94" s="1" t="s">
        <v>23</v>
      </c>
      <c r="E94" s="1">
        <v>6</v>
      </c>
      <c r="F94" s="1">
        <v>8224</v>
      </c>
      <c r="G94" s="1">
        <v>15</v>
      </c>
      <c r="H94" s="2">
        <v>46175</v>
      </c>
      <c r="I94" s="2">
        <v>46185</v>
      </c>
      <c r="J94" s="1" t="s">
        <v>51</v>
      </c>
      <c r="K94" s="1">
        <v>1093</v>
      </c>
      <c r="L94" s="4">
        <f t="shared" ca="1" si="0"/>
        <v>46261</v>
      </c>
      <c r="M94" s="5">
        <f t="shared" ca="1" si="1"/>
        <v>46261.501276736111</v>
      </c>
      <c r="N94" s="1">
        <f t="shared" si="2"/>
        <v>10</v>
      </c>
      <c r="O94" s="1">
        <f t="shared" ca="1" si="3"/>
        <v>86</v>
      </c>
      <c r="P94" s="4">
        <f t="shared" si="4"/>
        <v>46113</v>
      </c>
    </row>
    <row r="95" spans="1:16" x14ac:dyDescent="0.3">
      <c r="A95" s="1" t="s">
        <v>47</v>
      </c>
      <c r="B95" s="1" t="s">
        <v>43</v>
      </c>
      <c r="C95" s="1" t="s">
        <v>34</v>
      </c>
      <c r="D95" s="1" t="s">
        <v>61</v>
      </c>
      <c r="E95" s="1">
        <v>4</v>
      </c>
      <c r="F95" s="1">
        <v>7073</v>
      </c>
      <c r="G95" s="1">
        <v>0</v>
      </c>
      <c r="H95" s="2">
        <v>46101</v>
      </c>
      <c r="I95" s="2">
        <v>46105</v>
      </c>
      <c r="J95" s="1" t="s">
        <v>29</v>
      </c>
      <c r="K95" s="1">
        <v>1094</v>
      </c>
      <c r="L95" s="4">
        <f t="shared" ca="1" si="0"/>
        <v>46261</v>
      </c>
      <c r="M95" s="5">
        <f t="shared" ca="1" si="1"/>
        <v>46261.501276736111</v>
      </c>
      <c r="N95" s="1">
        <f t="shared" si="2"/>
        <v>4</v>
      </c>
      <c r="O95" s="1">
        <f t="shared" ca="1" si="3"/>
        <v>160</v>
      </c>
      <c r="P95" s="4">
        <f t="shared" si="4"/>
        <v>46113</v>
      </c>
    </row>
    <row r="96" spans="1:16" x14ac:dyDescent="0.3">
      <c r="A96" s="1" t="s">
        <v>47</v>
      </c>
      <c r="B96" s="1" t="s">
        <v>25</v>
      </c>
      <c r="C96" s="1" t="s">
        <v>34</v>
      </c>
      <c r="D96" s="1" t="s">
        <v>41</v>
      </c>
      <c r="E96" s="1">
        <v>18</v>
      </c>
      <c r="F96" s="1">
        <v>587</v>
      </c>
      <c r="G96" s="1">
        <v>2</v>
      </c>
      <c r="H96" s="2">
        <v>46167</v>
      </c>
      <c r="I96" s="2">
        <v>46171</v>
      </c>
      <c r="J96" s="1" t="s">
        <v>20</v>
      </c>
      <c r="K96" s="1">
        <v>1095</v>
      </c>
      <c r="L96" s="4">
        <f t="shared" ca="1" si="0"/>
        <v>46261</v>
      </c>
      <c r="M96" s="5">
        <f t="shared" ca="1" si="1"/>
        <v>46261.501276736111</v>
      </c>
      <c r="N96" s="1">
        <f t="shared" si="2"/>
        <v>4</v>
      </c>
      <c r="O96" s="1">
        <f t="shared" ca="1" si="3"/>
        <v>94</v>
      </c>
      <c r="P96" s="4">
        <f t="shared" si="4"/>
        <v>46113</v>
      </c>
    </row>
    <row r="97" spans="1:16" x14ac:dyDescent="0.3">
      <c r="A97" s="1" t="s">
        <v>49</v>
      </c>
      <c r="B97" s="1" t="s">
        <v>17</v>
      </c>
      <c r="C97" s="1" t="s">
        <v>18</v>
      </c>
      <c r="D97" s="1" t="s">
        <v>23</v>
      </c>
      <c r="E97" s="1">
        <v>15</v>
      </c>
      <c r="F97" s="1">
        <v>14724</v>
      </c>
      <c r="G97" s="1">
        <v>15</v>
      </c>
      <c r="H97" s="2">
        <v>46054</v>
      </c>
      <c r="I97" s="2">
        <v>46061</v>
      </c>
      <c r="J97" s="1" t="s">
        <v>20</v>
      </c>
      <c r="K97" s="1">
        <v>1096</v>
      </c>
      <c r="L97" s="4">
        <f t="shared" ca="1" si="0"/>
        <v>46261</v>
      </c>
      <c r="M97" s="5">
        <f t="shared" ca="1" si="1"/>
        <v>46261.501276736111</v>
      </c>
      <c r="N97" s="1">
        <f t="shared" si="2"/>
        <v>7</v>
      </c>
      <c r="O97" s="1">
        <f t="shared" ca="1" si="3"/>
        <v>207</v>
      </c>
      <c r="P97" s="4">
        <f t="shared" si="4"/>
        <v>46113</v>
      </c>
    </row>
    <row r="98" spans="1:16" x14ac:dyDescent="0.3">
      <c r="A98" s="1" t="s">
        <v>52</v>
      </c>
      <c r="B98" s="1" t="s">
        <v>22</v>
      </c>
      <c r="C98" s="1" t="s">
        <v>34</v>
      </c>
      <c r="D98" s="1" t="s">
        <v>61</v>
      </c>
      <c r="E98" s="1">
        <v>10</v>
      </c>
      <c r="F98" s="1">
        <v>28980</v>
      </c>
      <c r="G98" s="1">
        <v>10</v>
      </c>
      <c r="H98" s="2">
        <v>46089</v>
      </c>
      <c r="I98" s="2">
        <v>46094</v>
      </c>
      <c r="J98" s="1" t="s">
        <v>24</v>
      </c>
      <c r="K98" s="1">
        <v>1097</v>
      </c>
      <c r="L98" s="4">
        <f t="shared" ca="1" si="0"/>
        <v>46261</v>
      </c>
      <c r="M98" s="5">
        <f t="shared" ca="1" si="1"/>
        <v>46261.501276736111</v>
      </c>
      <c r="N98" s="1">
        <f t="shared" si="2"/>
        <v>5</v>
      </c>
      <c r="O98" s="1">
        <f t="shared" ca="1" si="3"/>
        <v>172</v>
      </c>
      <c r="P98" s="4">
        <f t="shared" si="4"/>
        <v>46113</v>
      </c>
    </row>
    <row r="99" spans="1:16" x14ac:dyDescent="0.3">
      <c r="A99" s="1" t="s">
        <v>26</v>
      </c>
      <c r="B99" s="1" t="s">
        <v>25</v>
      </c>
      <c r="C99" s="1" t="s">
        <v>13</v>
      </c>
      <c r="D99" s="1" t="s">
        <v>53</v>
      </c>
      <c r="E99" s="1">
        <v>17</v>
      </c>
      <c r="F99" s="1">
        <v>345</v>
      </c>
      <c r="G99" s="1">
        <v>2</v>
      </c>
      <c r="H99" s="2">
        <v>46126</v>
      </c>
      <c r="I99" s="2">
        <v>46127</v>
      </c>
      <c r="J99" s="1" t="s">
        <v>51</v>
      </c>
      <c r="K99" s="1">
        <v>1098</v>
      </c>
      <c r="L99" s="4">
        <f t="shared" ca="1" si="0"/>
        <v>46261</v>
      </c>
      <c r="M99" s="5">
        <f t="shared" ca="1" si="1"/>
        <v>46261.501276736111</v>
      </c>
      <c r="N99" s="1">
        <f t="shared" si="2"/>
        <v>1</v>
      </c>
      <c r="O99" s="1">
        <f t="shared" ca="1" si="3"/>
        <v>135</v>
      </c>
      <c r="P99" s="4">
        <f t="shared" si="4"/>
        <v>46113</v>
      </c>
    </row>
    <row r="100" spans="1:16" x14ac:dyDescent="0.3">
      <c r="A100" s="1" t="s">
        <v>26</v>
      </c>
      <c r="B100" s="1" t="s">
        <v>31</v>
      </c>
      <c r="C100" s="1" t="s">
        <v>18</v>
      </c>
      <c r="D100" s="1" t="s">
        <v>19</v>
      </c>
      <c r="E100" s="1">
        <v>1</v>
      </c>
      <c r="F100" s="1">
        <v>5165</v>
      </c>
      <c r="G100" s="1">
        <v>2</v>
      </c>
      <c r="H100" s="2">
        <v>46058</v>
      </c>
      <c r="I100" s="2">
        <v>46060</v>
      </c>
      <c r="J100" s="1" t="s">
        <v>15</v>
      </c>
      <c r="K100" s="1">
        <v>1099</v>
      </c>
      <c r="L100" s="4">
        <f t="shared" ca="1" si="0"/>
        <v>46261</v>
      </c>
      <c r="M100" s="5">
        <f t="shared" ca="1" si="1"/>
        <v>46261.501276736111</v>
      </c>
      <c r="N100" s="1">
        <f t="shared" si="2"/>
        <v>2</v>
      </c>
      <c r="O100" s="1">
        <f t="shared" ca="1" si="3"/>
        <v>203</v>
      </c>
      <c r="P100" s="4">
        <f t="shared" si="4"/>
        <v>46113</v>
      </c>
    </row>
    <row r="101" spans="1:16" x14ac:dyDescent="0.3">
      <c r="A101" s="1" t="s">
        <v>11</v>
      </c>
      <c r="B101" s="1" t="s">
        <v>31</v>
      </c>
      <c r="C101" s="1" t="s">
        <v>13</v>
      </c>
      <c r="D101" s="1" t="s">
        <v>14</v>
      </c>
      <c r="E101" s="1">
        <v>11</v>
      </c>
      <c r="F101" s="1">
        <v>296</v>
      </c>
      <c r="G101" s="1">
        <v>10</v>
      </c>
      <c r="H101" s="2">
        <v>46027</v>
      </c>
      <c r="I101" s="2">
        <v>46031</v>
      </c>
      <c r="J101" s="1" t="s">
        <v>51</v>
      </c>
      <c r="K101" s="1">
        <v>1100</v>
      </c>
      <c r="L101" s="4">
        <f t="shared" ca="1" si="0"/>
        <v>46261</v>
      </c>
      <c r="M101" s="5">
        <f t="shared" ca="1" si="1"/>
        <v>46261.501276736111</v>
      </c>
      <c r="N101" s="1">
        <f t="shared" si="2"/>
        <v>4</v>
      </c>
      <c r="O101" s="1">
        <f t="shared" ca="1" si="3"/>
        <v>234</v>
      </c>
      <c r="P101" s="4">
        <f t="shared" si="4"/>
        <v>46113</v>
      </c>
    </row>
    <row r="102" spans="1:16" x14ac:dyDescent="0.3">
      <c r="A102" s="1" t="s">
        <v>27</v>
      </c>
      <c r="B102" s="1" t="s">
        <v>22</v>
      </c>
      <c r="C102" s="1" t="s">
        <v>34</v>
      </c>
      <c r="D102" s="1" t="s">
        <v>61</v>
      </c>
      <c r="E102" s="1">
        <v>9</v>
      </c>
      <c r="F102" s="1">
        <v>37361</v>
      </c>
      <c r="G102" s="1">
        <v>10</v>
      </c>
      <c r="H102" s="2">
        <v>46141</v>
      </c>
      <c r="I102" s="2">
        <v>46142</v>
      </c>
      <c r="J102" s="1" t="s">
        <v>24</v>
      </c>
      <c r="K102" s="1">
        <v>1101</v>
      </c>
      <c r="L102" s="4">
        <f t="shared" ca="1" si="0"/>
        <v>46261</v>
      </c>
      <c r="M102" s="5">
        <f t="shared" ca="1" si="1"/>
        <v>46261.501276736111</v>
      </c>
      <c r="N102" s="1">
        <f t="shared" si="2"/>
        <v>1</v>
      </c>
      <c r="O102" s="1">
        <f t="shared" ca="1" si="3"/>
        <v>120</v>
      </c>
      <c r="P102" s="4">
        <f t="shared" si="4"/>
        <v>46113</v>
      </c>
    </row>
    <row r="103" spans="1:16" x14ac:dyDescent="0.3">
      <c r="A103" s="1" t="s">
        <v>54</v>
      </c>
      <c r="B103" s="1" t="s">
        <v>25</v>
      </c>
      <c r="C103" s="1" t="s">
        <v>34</v>
      </c>
      <c r="D103" s="1" t="s">
        <v>45</v>
      </c>
      <c r="E103" s="1">
        <v>12</v>
      </c>
      <c r="F103" s="1">
        <v>63402</v>
      </c>
      <c r="G103" s="1">
        <v>7</v>
      </c>
      <c r="H103" s="2">
        <v>46106</v>
      </c>
      <c r="I103" s="2">
        <v>46113</v>
      </c>
      <c r="J103" s="1" t="s">
        <v>51</v>
      </c>
      <c r="K103" s="1">
        <v>1102</v>
      </c>
      <c r="L103" s="4">
        <f t="shared" ca="1" si="0"/>
        <v>46261</v>
      </c>
      <c r="M103" s="5">
        <f t="shared" ca="1" si="1"/>
        <v>46261.501276736111</v>
      </c>
      <c r="N103" s="1">
        <f t="shared" si="2"/>
        <v>7</v>
      </c>
      <c r="O103" s="1">
        <f t="shared" ca="1" si="3"/>
        <v>155</v>
      </c>
      <c r="P103" s="4">
        <f t="shared" si="4"/>
        <v>46113</v>
      </c>
    </row>
    <row r="104" spans="1:16" x14ac:dyDescent="0.3">
      <c r="A104" s="1" t="s">
        <v>16</v>
      </c>
      <c r="B104" s="1" t="s">
        <v>12</v>
      </c>
      <c r="C104" s="1" t="s">
        <v>18</v>
      </c>
      <c r="D104" s="1" t="s">
        <v>23</v>
      </c>
      <c r="E104" s="1">
        <v>7</v>
      </c>
      <c r="F104" s="1">
        <v>11925</v>
      </c>
      <c r="G104" s="1">
        <v>5</v>
      </c>
      <c r="H104" s="2">
        <v>46040</v>
      </c>
      <c r="I104" s="2">
        <v>46041</v>
      </c>
      <c r="J104" s="1" t="s">
        <v>29</v>
      </c>
      <c r="K104" s="1">
        <v>1103</v>
      </c>
      <c r="L104" s="4">
        <f t="shared" ca="1" si="0"/>
        <v>46261</v>
      </c>
      <c r="M104" s="5">
        <f t="shared" ca="1" si="1"/>
        <v>46261.501276736111</v>
      </c>
      <c r="N104" s="1">
        <f t="shared" si="2"/>
        <v>1</v>
      </c>
      <c r="O104" s="1">
        <f t="shared" ca="1" si="3"/>
        <v>221</v>
      </c>
      <c r="P104" s="4">
        <f t="shared" si="4"/>
        <v>46113</v>
      </c>
    </row>
    <row r="105" spans="1:16" x14ac:dyDescent="0.3">
      <c r="A105" s="1" t="s">
        <v>16</v>
      </c>
      <c r="B105" s="1" t="s">
        <v>43</v>
      </c>
      <c r="C105" s="1" t="s">
        <v>18</v>
      </c>
      <c r="D105" s="1" t="s">
        <v>19</v>
      </c>
      <c r="E105" s="1">
        <v>10</v>
      </c>
      <c r="F105" s="1">
        <v>12848</v>
      </c>
      <c r="G105" s="1">
        <v>15</v>
      </c>
      <c r="H105" s="2">
        <v>46060</v>
      </c>
      <c r="I105" s="2">
        <v>46064</v>
      </c>
      <c r="J105" s="1" t="s">
        <v>29</v>
      </c>
      <c r="K105" s="1">
        <v>1104</v>
      </c>
      <c r="L105" s="4">
        <f t="shared" ca="1" si="0"/>
        <v>46261</v>
      </c>
      <c r="M105" s="5">
        <f t="shared" ca="1" si="1"/>
        <v>46261.501276736111</v>
      </c>
      <c r="N105" s="1">
        <f t="shared" si="2"/>
        <v>4</v>
      </c>
      <c r="O105" s="1">
        <f t="shared" ca="1" si="3"/>
        <v>201</v>
      </c>
      <c r="P105" s="4">
        <f t="shared" si="4"/>
        <v>46113</v>
      </c>
    </row>
    <row r="106" spans="1:16" x14ac:dyDescent="0.3">
      <c r="A106" s="1" t="s">
        <v>59</v>
      </c>
      <c r="B106" s="1" t="s">
        <v>25</v>
      </c>
      <c r="C106" s="1" t="s">
        <v>13</v>
      </c>
      <c r="D106" s="1" t="s">
        <v>50</v>
      </c>
      <c r="E106" s="1">
        <v>2</v>
      </c>
      <c r="F106" s="1">
        <v>493</v>
      </c>
      <c r="G106" s="1">
        <v>12</v>
      </c>
      <c r="H106" s="2">
        <v>46057</v>
      </c>
      <c r="I106" s="2">
        <v>46066</v>
      </c>
      <c r="J106" s="1" t="s">
        <v>51</v>
      </c>
      <c r="K106" s="1">
        <v>1105</v>
      </c>
      <c r="L106" s="4">
        <f t="shared" ca="1" si="0"/>
        <v>46261</v>
      </c>
      <c r="M106" s="5">
        <f t="shared" ca="1" si="1"/>
        <v>46261.501276736111</v>
      </c>
      <c r="N106" s="1">
        <f t="shared" si="2"/>
        <v>9</v>
      </c>
      <c r="O106" s="1">
        <f t="shared" ca="1" si="3"/>
        <v>204</v>
      </c>
      <c r="P106" s="4">
        <f t="shared" si="4"/>
        <v>46113</v>
      </c>
    </row>
    <row r="107" spans="1:16" x14ac:dyDescent="0.3">
      <c r="A107" s="1" t="s">
        <v>27</v>
      </c>
      <c r="B107" s="1" t="s">
        <v>43</v>
      </c>
      <c r="C107" s="1" t="s">
        <v>18</v>
      </c>
      <c r="D107" s="1" t="s">
        <v>23</v>
      </c>
      <c r="E107" s="1">
        <v>20</v>
      </c>
      <c r="F107" s="1">
        <v>2141</v>
      </c>
      <c r="G107" s="1">
        <v>2</v>
      </c>
      <c r="H107" s="2">
        <v>46091</v>
      </c>
      <c r="I107" s="2">
        <v>46097</v>
      </c>
      <c r="J107" s="1" t="s">
        <v>29</v>
      </c>
      <c r="K107" s="1">
        <v>1106</v>
      </c>
      <c r="L107" s="4">
        <f t="shared" ca="1" si="0"/>
        <v>46261</v>
      </c>
      <c r="M107" s="5">
        <f t="shared" ca="1" si="1"/>
        <v>46261.501276736111</v>
      </c>
      <c r="N107" s="1">
        <f t="shared" si="2"/>
        <v>6</v>
      </c>
      <c r="O107" s="1">
        <f t="shared" ca="1" si="3"/>
        <v>170</v>
      </c>
      <c r="P107" s="4">
        <f t="shared" si="4"/>
        <v>46113</v>
      </c>
    </row>
    <row r="108" spans="1:16" x14ac:dyDescent="0.3">
      <c r="A108" s="1" t="s">
        <v>52</v>
      </c>
      <c r="B108" s="1" t="s">
        <v>17</v>
      </c>
      <c r="C108" s="1" t="s">
        <v>34</v>
      </c>
      <c r="D108" s="1" t="s">
        <v>60</v>
      </c>
      <c r="E108" s="1">
        <v>4</v>
      </c>
      <c r="F108" s="1">
        <v>14291</v>
      </c>
      <c r="G108" s="1">
        <v>2</v>
      </c>
      <c r="H108" s="2">
        <v>46076</v>
      </c>
      <c r="I108" s="2">
        <v>46078</v>
      </c>
      <c r="J108" s="1" t="s">
        <v>15</v>
      </c>
      <c r="K108" s="1">
        <v>1107</v>
      </c>
      <c r="L108" s="4">
        <f t="shared" ca="1" si="0"/>
        <v>46261</v>
      </c>
      <c r="M108" s="5">
        <f t="shared" ca="1" si="1"/>
        <v>46261.501276736111</v>
      </c>
      <c r="N108" s="1">
        <f t="shared" si="2"/>
        <v>2</v>
      </c>
      <c r="O108" s="1">
        <f t="shared" ca="1" si="3"/>
        <v>185</v>
      </c>
      <c r="P108" s="4">
        <f t="shared" si="4"/>
        <v>46113</v>
      </c>
    </row>
    <row r="109" spans="1:16" x14ac:dyDescent="0.3">
      <c r="A109" s="1" t="s">
        <v>42</v>
      </c>
      <c r="B109" s="1" t="s">
        <v>33</v>
      </c>
      <c r="C109" s="1" t="s">
        <v>18</v>
      </c>
      <c r="D109" s="1" t="s">
        <v>28</v>
      </c>
      <c r="E109" s="1">
        <v>15</v>
      </c>
      <c r="F109" s="1">
        <v>13843</v>
      </c>
      <c r="G109" s="1">
        <v>7</v>
      </c>
      <c r="H109" s="2">
        <v>46119</v>
      </c>
      <c r="I109" s="2">
        <v>46127</v>
      </c>
      <c r="J109" s="1" t="s">
        <v>20</v>
      </c>
      <c r="K109" s="1">
        <v>1108</v>
      </c>
      <c r="L109" s="4">
        <f t="shared" ca="1" si="0"/>
        <v>46261</v>
      </c>
      <c r="M109" s="5">
        <f t="shared" ca="1" si="1"/>
        <v>46261.501276736111</v>
      </c>
      <c r="N109" s="1">
        <f t="shared" si="2"/>
        <v>8</v>
      </c>
      <c r="O109" s="1">
        <f t="shared" ca="1" si="3"/>
        <v>142</v>
      </c>
      <c r="P109" s="4">
        <f t="shared" si="4"/>
        <v>46113</v>
      </c>
    </row>
    <row r="110" spans="1:16" x14ac:dyDescent="0.3">
      <c r="A110" s="1" t="s">
        <v>21</v>
      </c>
      <c r="B110" s="1" t="s">
        <v>31</v>
      </c>
      <c r="C110" s="1" t="s">
        <v>18</v>
      </c>
      <c r="D110" s="1" t="s">
        <v>44</v>
      </c>
      <c r="E110" s="1">
        <v>19</v>
      </c>
      <c r="F110" s="1">
        <v>6512</v>
      </c>
      <c r="G110" s="1">
        <v>10</v>
      </c>
      <c r="H110" s="2">
        <v>46033</v>
      </c>
      <c r="I110" s="2">
        <v>46037</v>
      </c>
      <c r="J110" s="1" t="s">
        <v>20</v>
      </c>
      <c r="K110" s="1">
        <v>1109</v>
      </c>
      <c r="L110" s="4">
        <f t="shared" ca="1" si="0"/>
        <v>46261</v>
      </c>
      <c r="M110" s="5">
        <f t="shared" ca="1" si="1"/>
        <v>46261.501276736111</v>
      </c>
      <c r="N110" s="1">
        <f t="shared" si="2"/>
        <v>4</v>
      </c>
      <c r="O110" s="1">
        <f t="shared" ca="1" si="3"/>
        <v>228</v>
      </c>
      <c r="P110" s="4">
        <f t="shared" si="4"/>
        <v>46113</v>
      </c>
    </row>
    <row r="111" spans="1:16" x14ac:dyDescent="0.3">
      <c r="A111" s="1" t="s">
        <v>49</v>
      </c>
      <c r="B111" s="1" t="s">
        <v>38</v>
      </c>
      <c r="C111" s="1" t="s">
        <v>18</v>
      </c>
      <c r="D111" s="1" t="s">
        <v>23</v>
      </c>
      <c r="E111" s="1">
        <v>14</v>
      </c>
      <c r="F111" s="1">
        <v>6793</v>
      </c>
      <c r="G111" s="1">
        <v>7</v>
      </c>
      <c r="H111" s="2">
        <v>46077</v>
      </c>
      <c r="I111" s="2">
        <v>46082</v>
      </c>
      <c r="J111" s="1" t="s">
        <v>29</v>
      </c>
      <c r="K111" s="1">
        <v>1110</v>
      </c>
      <c r="L111" s="4">
        <f t="shared" ca="1" si="0"/>
        <v>46261</v>
      </c>
      <c r="M111" s="5">
        <f t="shared" ca="1" si="1"/>
        <v>46261.501276736111</v>
      </c>
      <c r="N111" s="1">
        <f t="shared" si="2"/>
        <v>5</v>
      </c>
      <c r="O111" s="1">
        <f t="shared" ca="1" si="3"/>
        <v>184</v>
      </c>
      <c r="P111" s="4">
        <f t="shared" si="4"/>
        <v>46113</v>
      </c>
    </row>
    <row r="112" spans="1:16" x14ac:dyDescent="0.3">
      <c r="A112" s="1" t="s">
        <v>47</v>
      </c>
      <c r="B112" s="1" t="s">
        <v>17</v>
      </c>
      <c r="C112" s="1" t="s">
        <v>34</v>
      </c>
      <c r="D112" s="1" t="s">
        <v>35</v>
      </c>
      <c r="E112" s="1">
        <v>5</v>
      </c>
      <c r="F112" s="1">
        <v>49945</v>
      </c>
      <c r="G112" s="1">
        <v>12</v>
      </c>
      <c r="H112" s="2">
        <v>46133</v>
      </c>
      <c r="I112" s="2">
        <v>46141</v>
      </c>
      <c r="J112" s="1" t="s">
        <v>29</v>
      </c>
      <c r="K112" s="1">
        <v>1111</v>
      </c>
      <c r="L112" s="4">
        <f t="shared" ca="1" si="0"/>
        <v>46261</v>
      </c>
      <c r="M112" s="5">
        <f t="shared" ca="1" si="1"/>
        <v>46261.501276736111</v>
      </c>
      <c r="N112" s="1">
        <f t="shared" si="2"/>
        <v>8</v>
      </c>
      <c r="O112" s="1">
        <f t="shared" ca="1" si="3"/>
        <v>128</v>
      </c>
      <c r="P112" s="4">
        <f t="shared" si="4"/>
        <v>46113</v>
      </c>
    </row>
    <row r="113" spans="1:16" x14ac:dyDescent="0.3">
      <c r="A113" s="1" t="s">
        <v>21</v>
      </c>
      <c r="B113" s="1" t="s">
        <v>43</v>
      </c>
      <c r="C113" s="1" t="s">
        <v>18</v>
      </c>
      <c r="D113" s="1" t="s">
        <v>44</v>
      </c>
      <c r="E113" s="1">
        <v>7</v>
      </c>
      <c r="F113" s="1">
        <v>1959</v>
      </c>
      <c r="G113" s="1">
        <v>15</v>
      </c>
      <c r="H113" s="2">
        <v>46090</v>
      </c>
      <c r="I113" s="2">
        <v>46100</v>
      </c>
      <c r="J113" s="1" t="s">
        <v>15</v>
      </c>
      <c r="K113" s="1">
        <v>1112</v>
      </c>
      <c r="L113" s="4">
        <f t="shared" ca="1" si="0"/>
        <v>46261</v>
      </c>
      <c r="M113" s="5">
        <f t="shared" ca="1" si="1"/>
        <v>46261.501276736111</v>
      </c>
      <c r="N113" s="1">
        <f t="shared" si="2"/>
        <v>10</v>
      </c>
      <c r="O113" s="1">
        <f t="shared" ca="1" si="3"/>
        <v>171</v>
      </c>
      <c r="P113" s="4">
        <f t="shared" si="4"/>
        <v>46113</v>
      </c>
    </row>
    <row r="114" spans="1:16" x14ac:dyDescent="0.3">
      <c r="A114" s="1" t="s">
        <v>26</v>
      </c>
      <c r="B114" s="1" t="s">
        <v>43</v>
      </c>
      <c r="C114" s="1" t="s">
        <v>18</v>
      </c>
      <c r="D114" s="1" t="s">
        <v>56</v>
      </c>
      <c r="E114" s="1">
        <v>13</v>
      </c>
      <c r="F114" s="1">
        <v>6719</v>
      </c>
      <c r="G114" s="1">
        <v>15</v>
      </c>
      <c r="H114" s="2">
        <v>46076</v>
      </c>
      <c r="I114" s="2">
        <v>46081</v>
      </c>
      <c r="J114" s="1" t="s">
        <v>24</v>
      </c>
      <c r="K114" s="1">
        <v>1113</v>
      </c>
      <c r="L114" s="4">
        <f t="shared" ca="1" si="0"/>
        <v>46261</v>
      </c>
      <c r="M114" s="5">
        <f t="shared" ca="1" si="1"/>
        <v>46261.501276736111</v>
      </c>
      <c r="N114" s="1">
        <f t="shared" si="2"/>
        <v>5</v>
      </c>
      <c r="O114" s="1">
        <f t="shared" ca="1" si="3"/>
        <v>185</v>
      </c>
      <c r="P114" s="4">
        <f t="shared" si="4"/>
        <v>46113</v>
      </c>
    </row>
    <row r="115" spans="1:16" x14ac:dyDescent="0.3">
      <c r="A115" s="1" t="s">
        <v>16</v>
      </c>
      <c r="B115" s="1" t="s">
        <v>25</v>
      </c>
      <c r="C115" s="1" t="s">
        <v>13</v>
      </c>
      <c r="D115" s="1" t="s">
        <v>50</v>
      </c>
      <c r="E115" s="1">
        <v>13</v>
      </c>
      <c r="F115" s="1">
        <v>32</v>
      </c>
      <c r="G115" s="1">
        <v>15</v>
      </c>
      <c r="H115" s="2">
        <v>46066</v>
      </c>
      <c r="I115" s="2">
        <v>46069</v>
      </c>
      <c r="J115" s="1" t="s">
        <v>15</v>
      </c>
      <c r="K115" s="1">
        <v>1114</v>
      </c>
      <c r="L115" s="4">
        <f t="shared" ca="1" si="0"/>
        <v>46261</v>
      </c>
      <c r="M115" s="5">
        <f t="shared" ca="1" si="1"/>
        <v>46261.501276736111</v>
      </c>
      <c r="N115" s="1">
        <f t="shared" si="2"/>
        <v>3</v>
      </c>
      <c r="O115" s="1">
        <f t="shared" ca="1" si="3"/>
        <v>195</v>
      </c>
      <c r="P115" s="4">
        <f t="shared" si="4"/>
        <v>46113</v>
      </c>
    </row>
    <row r="116" spans="1:16" x14ac:dyDescent="0.3">
      <c r="A116" s="1" t="s">
        <v>59</v>
      </c>
      <c r="B116" s="1" t="s">
        <v>43</v>
      </c>
      <c r="C116" s="1" t="s">
        <v>13</v>
      </c>
      <c r="D116" s="1" t="s">
        <v>50</v>
      </c>
      <c r="E116" s="1">
        <v>9</v>
      </c>
      <c r="F116" s="1">
        <v>303</v>
      </c>
      <c r="G116" s="1">
        <v>10</v>
      </c>
      <c r="H116" s="2">
        <v>46149</v>
      </c>
      <c r="I116" s="2">
        <v>46157</v>
      </c>
      <c r="J116" s="1" t="s">
        <v>29</v>
      </c>
      <c r="K116" s="1">
        <v>1115</v>
      </c>
      <c r="L116" s="4">
        <f t="shared" ca="1" si="0"/>
        <v>46261</v>
      </c>
      <c r="M116" s="5">
        <f t="shared" ca="1" si="1"/>
        <v>46261.501276736111</v>
      </c>
      <c r="N116" s="1">
        <f t="shared" si="2"/>
        <v>8</v>
      </c>
      <c r="O116" s="1">
        <f t="shared" ca="1" si="3"/>
        <v>112</v>
      </c>
      <c r="P116" s="4">
        <f t="shared" si="4"/>
        <v>46113</v>
      </c>
    </row>
    <row r="117" spans="1:16" x14ac:dyDescent="0.3">
      <c r="A117" s="1" t="s">
        <v>16</v>
      </c>
      <c r="B117" s="1" t="s">
        <v>25</v>
      </c>
      <c r="C117" s="1" t="s">
        <v>18</v>
      </c>
      <c r="D117" s="1" t="s">
        <v>56</v>
      </c>
      <c r="E117" s="1">
        <v>2</v>
      </c>
      <c r="F117" s="1">
        <v>12692</v>
      </c>
      <c r="G117" s="1">
        <v>15</v>
      </c>
      <c r="H117" s="2">
        <v>46049</v>
      </c>
      <c r="I117" s="2">
        <v>46051</v>
      </c>
      <c r="J117" s="1" t="s">
        <v>15</v>
      </c>
      <c r="K117" s="1">
        <v>1116</v>
      </c>
      <c r="L117" s="4">
        <f t="shared" ca="1" si="0"/>
        <v>46261</v>
      </c>
      <c r="M117" s="5">
        <f t="shared" ca="1" si="1"/>
        <v>46261.501276736111</v>
      </c>
      <c r="N117" s="1">
        <f t="shared" si="2"/>
        <v>2</v>
      </c>
      <c r="O117" s="1">
        <f t="shared" ca="1" si="3"/>
        <v>212</v>
      </c>
      <c r="P117" s="4">
        <f t="shared" si="4"/>
        <v>46113</v>
      </c>
    </row>
    <row r="118" spans="1:16" x14ac:dyDescent="0.3">
      <c r="A118" s="1" t="s">
        <v>55</v>
      </c>
      <c r="B118" s="1" t="s">
        <v>43</v>
      </c>
      <c r="C118" s="1" t="s">
        <v>34</v>
      </c>
      <c r="D118" s="1" t="s">
        <v>39</v>
      </c>
      <c r="E118" s="1">
        <v>16</v>
      </c>
      <c r="F118" s="1">
        <v>33162</v>
      </c>
      <c r="G118" s="1">
        <v>7</v>
      </c>
      <c r="H118" s="2">
        <v>46147</v>
      </c>
      <c r="I118" s="2">
        <v>46155</v>
      </c>
      <c r="J118" s="1" t="s">
        <v>29</v>
      </c>
      <c r="K118" s="1">
        <v>1117</v>
      </c>
      <c r="L118" s="4">
        <f t="shared" ca="1" si="0"/>
        <v>46261</v>
      </c>
      <c r="M118" s="5">
        <f t="shared" ca="1" si="1"/>
        <v>46261.501276736111</v>
      </c>
      <c r="N118" s="1">
        <f t="shared" si="2"/>
        <v>8</v>
      </c>
      <c r="O118" s="1">
        <f t="shared" ca="1" si="3"/>
        <v>114</v>
      </c>
      <c r="P118" s="4">
        <f t="shared" si="4"/>
        <v>46113</v>
      </c>
    </row>
    <row r="119" spans="1:16" x14ac:dyDescent="0.3">
      <c r="A119" s="1" t="s">
        <v>21</v>
      </c>
      <c r="B119" s="1" t="s">
        <v>22</v>
      </c>
      <c r="C119" s="1" t="s">
        <v>18</v>
      </c>
      <c r="D119" s="1" t="s">
        <v>23</v>
      </c>
      <c r="E119" s="1">
        <v>18</v>
      </c>
      <c r="F119" s="1">
        <v>9118</v>
      </c>
      <c r="G119" s="1">
        <v>5</v>
      </c>
      <c r="H119" s="2">
        <v>46178</v>
      </c>
      <c r="I119" s="2">
        <v>46187</v>
      </c>
      <c r="J119" s="1" t="s">
        <v>29</v>
      </c>
      <c r="K119" s="1">
        <v>1118</v>
      </c>
      <c r="L119" s="4">
        <f t="shared" ca="1" si="0"/>
        <v>46261</v>
      </c>
      <c r="M119" s="5">
        <f t="shared" ca="1" si="1"/>
        <v>46261.501276736111</v>
      </c>
      <c r="N119" s="1">
        <f t="shared" si="2"/>
        <v>9</v>
      </c>
      <c r="O119" s="1">
        <f t="shared" ca="1" si="3"/>
        <v>83</v>
      </c>
      <c r="P119" s="4">
        <f t="shared" si="4"/>
        <v>46113</v>
      </c>
    </row>
    <row r="120" spans="1:16" x14ac:dyDescent="0.3">
      <c r="A120" s="1" t="s">
        <v>30</v>
      </c>
      <c r="B120" s="1" t="s">
        <v>43</v>
      </c>
      <c r="C120" s="1" t="s">
        <v>18</v>
      </c>
      <c r="D120" s="1" t="s">
        <v>28</v>
      </c>
      <c r="E120" s="1">
        <v>2</v>
      </c>
      <c r="F120" s="1">
        <v>3706</v>
      </c>
      <c r="G120" s="1">
        <v>5</v>
      </c>
      <c r="H120" s="2">
        <v>46184</v>
      </c>
      <c r="I120" s="2">
        <v>46192</v>
      </c>
      <c r="J120" s="1" t="s">
        <v>51</v>
      </c>
      <c r="K120" s="1">
        <v>1119</v>
      </c>
      <c r="L120" s="4">
        <f t="shared" ca="1" si="0"/>
        <v>46261</v>
      </c>
      <c r="M120" s="5">
        <f t="shared" ca="1" si="1"/>
        <v>46261.501276736111</v>
      </c>
      <c r="N120" s="1">
        <f t="shared" si="2"/>
        <v>8</v>
      </c>
      <c r="O120" s="1">
        <f t="shared" ca="1" si="3"/>
        <v>77</v>
      </c>
      <c r="P120" s="4">
        <f t="shared" si="4"/>
        <v>46113</v>
      </c>
    </row>
    <row r="121" spans="1:16" x14ac:dyDescent="0.3">
      <c r="A121" s="1" t="s">
        <v>32</v>
      </c>
      <c r="B121" s="1" t="s">
        <v>38</v>
      </c>
      <c r="C121" s="1" t="s">
        <v>13</v>
      </c>
      <c r="D121" s="1" t="s">
        <v>36</v>
      </c>
      <c r="E121" s="1">
        <v>10</v>
      </c>
      <c r="F121" s="1">
        <v>438</v>
      </c>
      <c r="G121" s="1">
        <v>10</v>
      </c>
      <c r="H121" s="2">
        <v>46061</v>
      </c>
      <c r="I121" s="2">
        <v>46065</v>
      </c>
      <c r="J121" s="1" t="s">
        <v>51</v>
      </c>
      <c r="K121" s="1">
        <v>1120</v>
      </c>
      <c r="L121" s="4">
        <f t="shared" ca="1" si="0"/>
        <v>46261</v>
      </c>
      <c r="M121" s="5">
        <f t="shared" ca="1" si="1"/>
        <v>46261.501276736111</v>
      </c>
      <c r="N121" s="1">
        <f t="shared" si="2"/>
        <v>4</v>
      </c>
      <c r="O121" s="1">
        <f t="shared" ca="1" si="3"/>
        <v>200</v>
      </c>
      <c r="P121" s="4">
        <f t="shared" si="4"/>
        <v>46113</v>
      </c>
    </row>
    <row r="122" spans="1:16" x14ac:dyDescent="0.3">
      <c r="A122" s="1" t="s">
        <v>29</v>
      </c>
      <c r="B122" s="1" t="s">
        <v>12</v>
      </c>
      <c r="C122" s="1" t="s">
        <v>34</v>
      </c>
      <c r="D122" s="1" t="s">
        <v>39</v>
      </c>
      <c r="E122" s="1">
        <v>4</v>
      </c>
      <c r="F122" s="1">
        <v>55809</v>
      </c>
      <c r="G122" s="1">
        <v>2</v>
      </c>
      <c r="H122" s="2">
        <v>46103</v>
      </c>
      <c r="I122" s="2">
        <v>46108</v>
      </c>
      <c r="J122" s="1" t="s">
        <v>29</v>
      </c>
      <c r="K122" s="1">
        <v>1121</v>
      </c>
      <c r="L122" s="4">
        <f t="shared" ca="1" si="0"/>
        <v>46261</v>
      </c>
      <c r="M122" s="5">
        <f t="shared" ca="1" si="1"/>
        <v>46261.501276736111</v>
      </c>
      <c r="N122" s="1">
        <f t="shared" si="2"/>
        <v>5</v>
      </c>
      <c r="O122" s="1">
        <f t="shared" ca="1" si="3"/>
        <v>158</v>
      </c>
      <c r="P122" s="4">
        <f t="shared" si="4"/>
        <v>46113</v>
      </c>
    </row>
    <row r="123" spans="1:16" x14ac:dyDescent="0.3">
      <c r="A123" s="1" t="s">
        <v>40</v>
      </c>
      <c r="B123" s="1" t="s">
        <v>22</v>
      </c>
      <c r="C123" s="1" t="s">
        <v>34</v>
      </c>
      <c r="D123" s="1" t="s">
        <v>39</v>
      </c>
      <c r="E123" s="1">
        <v>14</v>
      </c>
      <c r="F123" s="1">
        <v>49990</v>
      </c>
      <c r="G123" s="1">
        <v>10</v>
      </c>
      <c r="H123" s="2">
        <v>46132</v>
      </c>
      <c r="I123" s="2">
        <v>46135</v>
      </c>
      <c r="J123" s="1" t="s">
        <v>29</v>
      </c>
      <c r="K123" s="1">
        <v>1122</v>
      </c>
      <c r="L123" s="4">
        <f t="shared" ca="1" si="0"/>
        <v>46261</v>
      </c>
      <c r="M123" s="5">
        <f t="shared" ca="1" si="1"/>
        <v>46261.501276736111</v>
      </c>
      <c r="N123" s="1">
        <f t="shared" si="2"/>
        <v>3</v>
      </c>
      <c r="O123" s="1">
        <f t="shared" ca="1" si="3"/>
        <v>129</v>
      </c>
      <c r="P123" s="4">
        <f t="shared" si="4"/>
        <v>46113</v>
      </c>
    </row>
    <row r="124" spans="1:16" x14ac:dyDescent="0.3">
      <c r="A124" s="1" t="s">
        <v>32</v>
      </c>
      <c r="B124" s="1" t="s">
        <v>31</v>
      </c>
      <c r="C124" s="1" t="s">
        <v>34</v>
      </c>
      <c r="D124" s="1" t="s">
        <v>45</v>
      </c>
      <c r="E124" s="1">
        <v>16</v>
      </c>
      <c r="F124" s="1">
        <v>1332</v>
      </c>
      <c r="G124" s="1">
        <v>7</v>
      </c>
      <c r="H124" s="2">
        <v>46107</v>
      </c>
      <c r="I124" s="2">
        <v>46109</v>
      </c>
      <c r="J124" s="1" t="s">
        <v>29</v>
      </c>
      <c r="K124" s="1">
        <v>1123</v>
      </c>
      <c r="L124" s="4">
        <f t="shared" ca="1" si="0"/>
        <v>46261</v>
      </c>
      <c r="M124" s="5">
        <f t="shared" ca="1" si="1"/>
        <v>46261.501276736111</v>
      </c>
      <c r="N124" s="1">
        <f t="shared" si="2"/>
        <v>2</v>
      </c>
      <c r="O124" s="1">
        <f t="shared" ca="1" si="3"/>
        <v>154</v>
      </c>
      <c r="P124" s="4">
        <f t="shared" si="4"/>
        <v>46113</v>
      </c>
    </row>
    <row r="125" spans="1:16" x14ac:dyDescent="0.3">
      <c r="A125" s="1" t="s">
        <v>27</v>
      </c>
      <c r="B125" s="1" t="s">
        <v>38</v>
      </c>
      <c r="C125" s="1" t="s">
        <v>18</v>
      </c>
      <c r="D125" s="1" t="s">
        <v>56</v>
      </c>
      <c r="E125" s="1">
        <v>4</v>
      </c>
      <c r="F125" s="1">
        <v>14195</v>
      </c>
      <c r="G125" s="1">
        <v>15</v>
      </c>
      <c r="H125" s="2">
        <v>46182</v>
      </c>
      <c r="I125" s="2">
        <v>46189</v>
      </c>
      <c r="J125" s="1" t="s">
        <v>51</v>
      </c>
      <c r="K125" s="1">
        <v>1124</v>
      </c>
      <c r="L125" s="4">
        <f t="shared" ca="1" si="0"/>
        <v>46261</v>
      </c>
      <c r="M125" s="5">
        <f t="shared" ca="1" si="1"/>
        <v>46261.501276736111</v>
      </c>
      <c r="N125" s="1">
        <f t="shared" si="2"/>
        <v>7</v>
      </c>
      <c r="O125" s="1">
        <f t="shared" ca="1" si="3"/>
        <v>79</v>
      </c>
      <c r="P125" s="4">
        <f t="shared" si="4"/>
        <v>46113</v>
      </c>
    </row>
    <row r="126" spans="1:16" x14ac:dyDescent="0.3">
      <c r="A126" s="1" t="s">
        <v>49</v>
      </c>
      <c r="B126" s="1" t="s">
        <v>33</v>
      </c>
      <c r="C126" s="1" t="s">
        <v>13</v>
      </c>
      <c r="D126" s="1" t="s">
        <v>14</v>
      </c>
      <c r="E126" s="1">
        <v>6</v>
      </c>
      <c r="F126" s="1">
        <v>30</v>
      </c>
      <c r="G126" s="1">
        <v>2</v>
      </c>
      <c r="H126" s="2">
        <v>46133</v>
      </c>
      <c r="I126" s="2">
        <v>46138</v>
      </c>
      <c r="J126" s="1" t="s">
        <v>24</v>
      </c>
      <c r="K126" s="1">
        <v>1125</v>
      </c>
      <c r="L126" s="4">
        <f t="shared" ca="1" si="0"/>
        <v>46261</v>
      </c>
      <c r="M126" s="5">
        <f t="shared" ca="1" si="1"/>
        <v>46261.501276736111</v>
      </c>
      <c r="N126" s="1">
        <f t="shared" si="2"/>
        <v>5</v>
      </c>
      <c r="O126" s="1">
        <f t="shared" ca="1" si="3"/>
        <v>128</v>
      </c>
      <c r="P126" s="4">
        <f t="shared" si="4"/>
        <v>46113</v>
      </c>
    </row>
    <row r="127" spans="1:16" x14ac:dyDescent="0.3">
      <c r="A127" s="1" t="s">
        <v>46</v>
      </c>
      <c r="B127" s="1" t="s">
        <v>22</v>
      </c>
      <c r="C127" s="1" t="s">
        <v>34</v>
      </c>
      <c r="D127" s="1" t="s">
        <v>39</v>
      </c>
      <c r="E127" s="1">
        <v>17</v>
      </c>
      <c r="F127" s="1">
        <v>19390</v>
      </c>
      <c r="G127" s="1">
        <v>12</v>
      </c>
      <c r="H127" s="2">
        <v>46201</v>
      </c>
      <c r="I127" s="2">
        <v>46206</v>
      </c>
      <c r="J127" s="1" t="s">
        <v>29</v>
      </c>
      <c r="K127" s="1">
        <v>1126</v>
      </c>
      <c r="L127" s="4">
        <f t="shared" ca="1" si="0"/>
        <v>46261</v>
      </c>
      <c r="M127" s="5">
        <f t="shared" ca="1" si="1"/>
        <v>46261.501276736111</v>
      </c>
      <c r="N127" s="1">
        <f t="shared" si="2"/>
        <v>5</v>
      </c>
      <c r="O127" s="1">
        <f t="shared" ca="1" si="3"/>
        <v>60</v>
      </c>
      <c r="P127" s="4">
        <f t="shared" si="4"/>
        <v>46113</v>
      </c>
    </row>
    <row r="128" spans="1:16" x14ac:dyDescent="0.3">
      <c r="A128" s="1" t="s">
        <v>26</v>
      </c>
      <c r="B128" s="1" t="s">
        <v>33</v>
      </c>
      <c r="C128" s="1" t="s">
        <v>18</v>
      </c>
      <c r="D128" s="1" t="s">
        <v>28</v>
      </c>
      <c r="E128" s="1">
        <v>15</v>
      </c>
      <c r="F128" s="1">
        <v>11694</v>
      </c>
      <c r="G128" s="1">
        <v>12</v>
      </c>
      <c r="H128" s="2">
        <v>46170</v>
      </c>
      <c r="I128" s="2">
        <v>46179</v>
      </c>
      <c r="J128" s="1" t="s">
        <v>29</v>
      </c>
      <c r="K128" s="1">
        <v>1127</v>
      </c>
      <c r="L128" s="4">
        <f t="shared" ca="1" si="0"/>
        <v>46261</v>
      </c>
      <c r="M128" s="5">
        <f t="shared" ca="1" si="1"/>
        <v>46261.501276736111</v>
      </c>
      <c r="N128" s="1">
        <f t="shared" si="2"/>
        <v>9</v>
      </c>
      <c r="O128" s="1">
        <f t="shared" ca="1" si="3"/>
        <v>91</v>
      </c>
      <c r="P128" s="4">
        <f t="shared" si="4"/>
        <v>46113</v>
      </c>
    </row>
    <row r="129" spans="1:16" x14ac:dyDescent="0.3">
      <c r="A129" s="1" t="s">
        <v>30</v>
      </c>
      <c r="B129" s="1" t="s">
        <v>22</v>
      </c>
      <c r="C129" s="1" t="s">
        <v>34</v>
      </c>
      <c r="D129" s="1" t="s">
        <v>61</v>
      </c>
      <c r="E129" s="1">
        <v>6</v>
      </c>
      <c r="F129" s="1">
        <v>5001</v>
      </c>
      <c r="G129" s="1">
        <v>7</v>
      </c>
      <c r="H129" s="2">
        <v>46044</v>
      </c>
      <c r="I129" s="2">
        <v>46050</v>
      </c>
      <c r="J129" s="1" t="s">
        <v>29</v>
      </c>
      <c r="K129" s="1">
        <v>1128</v>
      </c>
      <c r="L129" s="4">
        <f t="shared" ca="1" si="0"/>
        <v>46261</v>
      </c>
      <c r="M129" s="5">
        <f t="shared" ca="1" si="1"/>
        <v>46261.501276736111</v>
      </c>
      <c r="N129" s="1">
        <f t="shared" si="2"/>
        <v>6</v>
      </c>
      <c r="O129" s="1">
        <f t="shared" ca="1" si="3"/>
        <v>217</v>
      </c>
      <c r="P129" s="4">
        <f t="shared" si="4"/>
        <v>46113</v>
      </c>
    </row>
    <row r="130" spans="1:16" x14ac:dyDescent="0.3">
      <c r="A130" s="1" t="s">
        <v>58</v>
      </c>
      <c r="B130" s="1" t="s">
        <v>17</v>
      </c>
      <c r="C130" s="1" t="s">
        <v>13</v>
      </c>
      <c r="D130" s="1" t="s">
        <v>50</v>
      </c>
      <c r="E130" s="1">
        <v>15</v>
      </c>
      <c r="F130" s="1">
        <v>75</v>
      </c>
      <c r="G130" s="1">
        <v>7</v>
      </c>
      <c r="H130" s="2">
        <v>46160</v>
      </c>
      <c r="I130" s="2">
        <v>46164</v>
      </c>
      <c r="J130" s="1" t="s">
        <v>29</v>
      </c>
      <c r="K130" s="1">
        <v>1129</v>
      </c>
      <c r="L130" s="4">
        <f t="shared" ca="1" si="0"/>
        <v>46261</v>
      </c>
      <c r="M130" s="5">
        <f t="shared" ca="1" si="1"/>
        <v>46261.501276736111</v>
      </c>
      <c r="N130" s="1">
        <f t="shared" si="2"/>
        <v>4</v>
      </c>
      <c r="O130" s="1">
        <f t="shared" ca="1" si="3"/>
        <v>101</v>
      </c>
      <c r="P130" s="4">
        <f t="shared" si="4"/>
        <v>46113</v>
      </c>
    </row>
    <row r="131" spans="1:16" x14ac:dyDescent="0.3">
      <c r="A131" s="1" t="s">
        <v>48</v>
      </c>
      <c r="B131" s="1" t="s">
        <v>33</v>
      </c>
      <c r="C131" s="1" t="s">
        <v>13</v>
      </c>
      <c r="D131" s="1" t="s">
        <v>14</v>
      </c>
      <c r="E131" s="1">
        <v>12</v>
      </c>
      <c r="F131" s="1">
        <v>50</v>
      </c>
      <c r="G131" s="1">
        <v>2</v>
      </c>
      <c r="H131" s="2">
        <v>46125</v>
      </c>
      <c r="I131" s="2">
        <v>46131</v>
      </c>
      <c r="J131" s="1" t="s">
        <v>24</v>
      </c>
      <c r="K131" s="1">
        <v>1130</v>
      </c>
      <c r="L131" s="4">
        <f t="shared" ca="1" si="0"/>
        <v>46261</v>
      </c>
      <c r="M131" s="5">
        <f t="shared" ca="1" si="1"/>
        <v>46261.501276736111</v>
      </c>
      <c r="N131" s="1">
        <f t="shared" si="2"/>
        <v>6</v>
      </c>
      <c r="O131" s="1">
        <f t="shared" ca="1" si="3"/>
        <v>136</v>
      </c>
      <c r="P131" s="4">
        <f t="shared" si="4"/>
        <v>46113</v>
      </c>
    </row>
    <row r="132" spans="1:16" x14ac:dyDescent="0.3">
      <c r="A132" s="1" t="s">
        <v>21</v>
      </c>
      <c r="B132" s="1" t="s">
        <v>31</v>
      </c>
      <c r="C132" s="1" t="s">
        <v>18</v>
      </c>
      <c r="D132" s="1" t="s">
        <v>23</v>
      </c>
      <c r="E132" s="1">
        <v>13</v>
      </c>
      <c r="F132" s="1">
        <v>3083</v>
      </c>
      <c r="G132" s="1">
        <v>7</v>
      </c>
      <c r="H132" s="2">
        <v>46168</v>
      </c>
      <c r="I132" s="2">
        <v>46173</v>
      </c>
      <c r="J132" s="1" t="s">
        <v>51</v>
      </c>
      <c r="K132" s="1">
        <v>1131</v>
      </c>
      <c r="L132" s="4">
        <f t="shared" ca="1" si="0"/>
        <v>46261</v>
      </c>
      <c r="M132" s="5">
        <f t="shared" ca="1" si="1"/>
        <v>46261.501276736111</v>
      </c>
      <c r="N132" s="1">
        <f t="shared" si="2"/>
        <v>5</v>
      </c>
      <c r="O132" s="1">
        <f t="shared" ca="1" si="3"/>
        <v>93</v>
      </c>
      <c r="P132" s="4">
        <f t="shared" si="4"/>
        <v>46113</v>
      </c>
    </row>
    <row r="133" spans="1:16" x14ac:dyDescent="0.3">
      <c r="A133" s="1" t="s">
        <v>11</v>
      </c>
      <c r="B133" s="1" t="s">
        <v>31</v>
      </c>
      <c r="C133" s="1" t="s">
        <v>13</v>
      </c>
      <c r="D133" s="1" t="s">
        <v>50</v>
      </c>
      <c r="E133" s="1">
        <v>10</v>
      </c>
      <c r="F133" s="1">
        <v>270</v>
      </c>
      <c r="G133" s="1">
        <v>7</v>
      </c>
      <c r="H133" s="2">
        <v>46024</v>
      </c>
      <c r="I133" s="2">
        <v>46034</v>
      </c>
      <c r="J133" s="1" t="s">
        <v>24</v>
      </c>
      <c r="K133" s="1">
        <v>1132</v>
      </c>
      <c r="L133" s="4">
        <f t="shared" ca="1" si="0"/>
        <v>46261</v>
      </c>
      <c r="M133" s="5">
        <f t="shared" ca="1" si="1"/>
        <v>46261.501276736111</v>
      </c>
      <c r="N133" s="1">
        <f t="shared" si="2"/>
        <v>10</v>
      </c>
      <c r="O133" s="1">
        <f t="shared" ca="1" si="3"/>
        <v>237</v>
      </c>
      <c r="P133" s="4">
        <f t="shared" si="4"/>
        <v>46113</v>
      </c>
    </row>
    <row r="134" spans="1:16" x14ac:dyDescent="0.3">
      <c r="A134" s="1" t="s">
        <v>11</v>
      </c>
      <c r="B134" s="1" t="s">
        <v>12</v>
      </c>
      <c r="C134" s="1" t="s">
        <v>18</v>
      </c>
      <c r="D134" s="1" t="s">
        <v>56</v>
      </c>
      <c r="E134" s="1">
        <v>6</v>
      </c>
      <c r="F134" s="1">
        <v>9037</v>
      </c>
      <c r="G134" s="1">
        <v>2</v>
      </c>
      <c r="H134" s="2">
        <v>46112</v>
      </c>
      <c r="I134" s="2">
        <v>46121</v>
      </c>
      <c r="J134" s="1" t="s">
        <v>51</v>
      </c>
      <c r="K134" s="1">
        <v>1133</v>
      </c>
      <c r="L134" s="4">
        <f t="shared" ca="1" si="0"/>
        <v>46261</v>
      </c>
      <c r="M134" s="5">
        <f t="shared" ca="1" si="1"/>
        <v>46261.501276736111</v>
      </c>
      <c r="N134" s="1">
        <f t="shared" si="2"/>
        <v>9</v>
      </c>
      <c r="O134" s="1">
        <f t="shared" ca="1" si="3"/>
        <v>149</v>
      </c>
      <c r="P134" s="4">
        <f t="shared" si="4"/>
        <v>46113</v>
      </c>
    </row>
    <row r="135" spans="1:16" x14ac:dyDescent="0.3">
      <c r="A135" s="1" t="s">
        <v>57</v>
      </c>
      <c r="B135" s="1" t="s">
        <v>31</v>
      </c>
      <c r="C135" s="1" t="s">
        <v>34</v>
      </c>
      <c r="D135" s="1" t="s">
        <v>61</v>
      </c>
      <c r="E135" s="1">
        <v>10</v>
      </c>
      <c r="F135" s="1">
        <v>29217</v>
      </c>
      <c r="G135" s="1">
        <v>15</v>
      </c>
      <c r="H135" s="2">
        <v>46148</v>
      </c>
      <c r="I135" s="2">
        <v>46150</v>
      </c>
      <c r="J135" s="1" t="s">
        <v>24</v>
      </c>
      <c r="K135" s="1">
        <v>1134</v>
      </c>
      <c r="L135" s="4">
        <f t="shared" ca="1" si="0"/>
        <v>46261</v>
      </c>
      <c r="M135" s="5">
        <f t="shared" ca="1" si="1"/>
        <v>46261.501276736111</v>
      </c>
      <c r="N135" s="1">
        <f t="shared" si="2"/>
        <v>2</v>
      </c>
      <c r="O135" s="1">
        <f t="shared" ca="1" si="3"/>
        <v>113</v>
      </c>
      <c r="P135" s="4">
        <f t="shared" si="4"/>
        <v>46113</v>
      </c>
    </row>
    <row r="136" spans="1:16" x14ac:dyDescent="0.3">
      <c r="A136" s="1" t="s">
        <v>49</v>
      </c>
      <c r="B136" s="1" t="s">
        <v>43</v>
      </c>
      <c r="C136" s="1" t="s">
        <v>34</v>
      </c>
      <c r="D136" s="1" t="s">
        <v>39</v>
      </c>
      <c r="E136" s="1">
        <v>14</v>
      </c>
      <c r="F136" s="1">
        <v>68534</v>
      </c>
      <c r="G136" s="1">
        <v>0</v>
      </c>
      <c r="H136" s="2">
        <v>46041</v>
      </c>
      <c r="I136" s="2">
        <v>46042</v>
      </c>
      <c r="J136" s="1" t="s">
        <v>15</v>
      </c>
      <c r="K136" s="1">
        <v>1135</v>
      </c>
      <c r="L136" s="4">
        <f t="shared" ca="1" si="0"/>
        <v>46261</v>
      </c>
      <c r="M136" s="5">
        <f t="shared" ca="1" si="1"/>
        <v>46261.501276736111</v>
      </c>
      <c r="N136" s="1">
        <f t="shared" si="2"/>
        <v>1</v>
      </c>
      <c r="O136" s="1">
        <f t="shared" ca="1" si="3"/>
        <v>220</v>
      </c>
      <c r="P136" s="4">
        <f t="shared" si="4"/>
        <v>46113</v>
      </c>
    </row>
    <row r="137" spans="1:16" x14ac:dyDescent="0.3">
      <c r="A137" s="1" t="s">
        <v>27</v>
      </c>
      <c r="B137" s="1" t="s">
        <v>43</v>
      </c>
      <c r="C137" s="1" t="s">
        <v>18</v>
      </c>
      <c r="D137" s="1" t="s">
        <v>56</v>
      </c>
      <c r="E137" s="1">
        <v>19</v>
      </c>
      <c r="F137" s="1">
        <v>14528</v>
      </c>
      <c r="G137" s="1">
        <v>12</v>
      </c>
      <c r="H137" s="2">
        <v>46056</v>
      </c>
      <c r="I137" s="2">
        <v>46062</v>
      </c>
      <c r="J137" s="1" t="s">
        <v>24</v>
      </c>
      <c r="K137" s="1">
        <v>1136</v>
      </c>
      <c r="L137" s="4">
        <f t="shared" ca="1" si="0"/>
        <v>46261</v>
      </c>
      <c r="M137" s="5">
        <f t="shared" ca="1" si="1"/>
        <v>46261.501276736111</v>
      </c>
      <c r="N137" s="1">
        <f t="shared" si="2"/>
        <v>6</v>
      </c>
      <c r="O137" s="1">
        <f t="shared" ca="1" si="3"/>
        <v>205</v>
      </c>
      <c r="P137" s="4">
        <f t="shared" si="4"/>
        <v>46113</v>
      </c>
    </row>
    <row r="138" spans="1:16" x14ac:dyDescent="0.3">
      <c r="A138" s="1" t="s">
        <v>52</v>
      </c>
      <c r="B138" s="1" t="s">
        <v>12</v>
      </c>
      <c r="C138" s="1" t="s">
        <v>13</v>
      </c>
      <c r="D138" s="1" t="s">
        <v>37</v>
      </c>
      <c r="E138" s="1">
        <v>16</v>
      </c>
      <c r="F138" s="1">
        <v>270</v>
      </c>
      <c r="G138" s="1">
        <v>10</v>
      </c>
      <c r="H138" s="2">
        <v>46184</v>
      </c>
      <c r="I138" s="2">
        <v>46190</v>
      </c>
      <c r="J138" s="1" t="s">
        <v>29</v>
      </c>
      <c r="K138" s="1">
        <v>1137</v>
      </c>
      <c r="L138" s="4">
        <f t="shared" ca="1" si="0"/>
        <v>46261</v>
      </c>
      <c r="M138" s="5">
        <f t="shared" ca="1" si="1"/>
        <v>46261.501276736111</v>
      </c>
      <c r="N138" s="1">
        <f t="shared" si="2"/>
        <v>6</v>
      </c>
      <c r="O138" s="1">
        <f t="shared" ca="1" si="3"/>
        <v>77</v>
      </c>
      <c r="P138" s="4">
        <f t="shared" si="4"/>
        <v>46113</v>
      </c>
    </row>
    <row r="139" spans="1:16" x14ac:dyDescent="0.3">
      <c r="A139" s="1" t="s">
        <v>55</v>
      </c>
      <c r="B139" s="1" t="s">
        <v>43</v>
      </c>
      <c r="C139" s="1" t="s">
        <v>18</v>
      </c>
      <c r="D139" s="1" t="s">
        <v>19</v>
      </c>
      <c r="E139" s="1">
        <v>5</v>
      </c>
      <c r="F139" s="1">
        <v>14466</v>
      </c>
      <c r="G139" s="1">
        <v>2</v>
      </c>
      <c r="H139" s="2">
        <v>46084</v>
      </c>
      <c r="I139" s="2">
        <v>46092</v>
      </c>
      <c r="J139" s="1" t="s">
        <v>51</v>
      </c>
      <c r="K139" s="1">
        <v>1138</v>
      </c>
      <c r="L139" s="4">
        <f t="shared" ca="1" si="0"/>
        <v>46261</v>
      </c>
      <c r="M139" s="5">
        <f t="shared" ca="1" si="1"/>
        <v>46261.501276736111</v>
      </c>
      <c r="N139" s="1">
        <f t="shared" si="2"/>
        <v>8</v>
      </c>
      <c r="O139" s="1">
        <f t="shared" ca="1" si="3"/>
        <v>177</v>
      </c>
      <c r="P139" s="4">
        <f t="shared" si="4"/>
        <v>46113</v>
      </c>
    </row>
    <row r="140" spans="1:16" x14ac:dyDescent="0.3">
      <c r="A140" s="1" t="s">
        <v>55</v>
      </c>
      <c r="B140" s="1" t="s">
        <v>33</v>
      </c>
      <c r="C140" s="1" t="s">
        <v>34</v>
      </c>
      <c r="D140" s="1" t="s">
        <v>61</v>
      </c>
      <c r="E140" s="1">
        <v>17</v>
      </c>
      <c r="F140" s="1">
        <v>28839</v>
      </c>
      <c r="G140" s="1">
        <v>10</v>
      </c>
      <c r="H140" s="2">
        <v>46093</v>
      </c>
      <c r="I140" s="2">
        <v>46099</v>
      </c>
      <c r="J140" s="1" t="s">
        <v>15</v>
      </c>
      <c r="K140" s="1">
        <v>1139</v>
      </c>
      <c r="L140" s="4">
        <f t="shared" ca="1" si="0"/>
        <v>46261</v>
      </c>
      <c r="M140" s="5">
        <f t="shared" ca="1" si="1"/>
        <v>46261.501276736111</v>
      </c>
      <c r="N140" s="1">
        <f t="shared" si="2"/>
        <v>6</v>
      </c>
      <c r="O140" s="1">
        <f t="shared" ca="1" si="3"/>
        <v>168</v>
      </c>
      <c r="P140" s="4">
        <f t="shared" si="4"/>
        <v>46113</v>
      </c>
    </row>
    <row r="141" spans="1:16" x14ac:dyDescent="0.3">
      <c r="A141" s="1" t="s">
        <v>57</v>
      </c>
      <c r="B141" s="1" t="s">
        <v>38</v>
      </c>
      <c r="C141" s="1" t="s">
        <v>34</v>
      </c>
      <c r="D141" s="1" t="s">
        <v>41</v>
      </c>
      <c r="E141" s="1">
        <v>5</v>
      </c>
      <c r="F141" s="1">
        <v>68012</v>
      </c>
      <c r="G141" s="1">
        <v>5</v>
      </c>
      <c r="H141" s="2">
        <v>46061</v>
      </c>
      <c r="I141" s="2">
        <v>46065</v>
      </c>
      <c r="J141" s="1" t="s">
        <v>15</v>
      </c>
      <c r="K141" s="1">
        <v>1140</v>
      </c>
      <c r="L141" s="4">
        <f t="shared" ca="1" si="0"/>
        <v>46261</v>
      </c>
      <c r="M141" s="5">
        <f t="shared" ca="1" si="1"/>
        <v>46261.501276736111</v>
      </c>
      <c r="N141" s="1">
        <f t="shared" si="2"/>
        <v>4</v>
      </c>
      <c r="O141" s="1">
        <f t="shared" ca="1" si="3"/>
        <v>200</v>
      </c>
      <c r="P141" s="4">
        <f t="shared" si="4"/>
        <v>46113</v>
      </c>
    </row>
    <row r="142" spans="1:16" x14ac:dyDescent="0.3">
      <c r="A142" s="1" t="s">
        <v>11</v>
      </c>
      <c r="B142" s="1" t="s">
        <v>17</v>
      </c>
      <c r="C142" s="1" t="s">
        <v>18</v>
      </c>
      <c r="D142" s="1" t="s">
        <v>44</v>
      </c>
      <c r="E142" s="1">
        <v>20</v>
      </c>
      <c r="F142" s="1">
        <v>6835</v>
      </c>
      <c r="G142" s="1">
        <v>2</v>
      </c>
      <c r="H142" s="2">
        <v>46043</v>
      </c>
      <c r="I142" s="2">
        <v>46053</v>
      </c>
      <c r="J142" s="1" t="s">
        <v>15</v>
      </c>
      <c r="K142" s="1">
        <v>1141</v>
      </c>
      <c r="L142" s="4">
        <f t="shared" ca="1" si="0"/>
        <v>46261</v>
      </c>
      <c r="M142" s="5">
        <f t="shared" ca="1" si="1"/>
        <v>46261.501276736111</v>
      </c>
      <c r="N142" s="1">
        <f t="shared" si="2"/>
        <v>10</v>
      </c>
      <c r="O142" s="1">
        <f t="shared" ca="1" si="3"/>
        <v>218</v>
      </c>
      <c r="P142" s="4">
        <f t="shared" si="4"/>
        <v>46113</v>
      </c>
    </row>
    <row r="143" spans="1:16" x14ac:dyDescent="0.3">
      <c r="A143" s="1" t="s">
        <v>40</v>
      </c>
      <c r="B143" s="1" t="s">
        <v>25</v>
      </c>
      <c r="C143" s="1" t="s">
        <v>34</v>
      </c>
      <c r="D143" s="1" t="s">
        <v>60</v>
      </c>
      <c r="E143" s="1">
        <v>9</v>
      </c>
      <c r="F143" s="1">
        <v>59788</v>
      </c>
      <c r="G143" s="1">
        <v>7</v>
      </c>
      <c r="H143" s="2">
        <v>46064</v>
      </c>
      <c r="I143" s="2">
        <v>46071</v>
      </c>
      <c r="J143" s="1" t="s">
        <v>29</v>
      </c>
      <c r="K143" s="1">
        <v>1142</v>
      </c>
      <c r="L143" s="4">
        <f t="shared" ca="1" si="0"/>
        <v>46261</v>
      </c>
      <c r="M143" s="5">
        <f t="shared" ca="1" si="1"/>
        <v>46261.501276736111</v>
      </c>
      <c r="N143" s="1">
        <f t="shared" si="2"/>
        <v>7</v>
      </c>
      <c r="O143" s="1">
        <f t="shared" ca="1" si="3"/>
        <v>197</v>
      </c>
      <c r="P143" s="4">
        <f t="shared" si="4"/>
        <v>46113</v>
      </c>
    </row>
    <row r="144" spans="1:16" x14ac:dyDescent="0.3">
      <c r="A144" s="1" t="s">
        <v>29</v>
      </c>
      <c r="B144" s="1" t="s">
        <v>17</v>
      </c>
      <c r="C144" s="1" t="s">
        <v>13</v>
      </c>
      <c r="D144" s="1" t="s">
        <v>37</v>
      </c>
      <c r="E144" s="1">
        <v>13</v>
      </c>
      <c r="F144" s="1">
        <v>456</v>
      </c>
      <c r="G144" s="1">
        <v>2</v>
      </c>
      <c r="H144" s="2">
        <v>46160</v>
      </c>
      <c r="I144" s="2">
        <v>46167</v>
      </c>
      <c r="J144" s="1" t="s">
        <v>24</v>
      </c>
      <c r="K144" s="1">
        <v>1143</v>
      </c>
      <c r="L144" s="4">
        <f t="shared" ca="1" si="0"/>
        <v>46261</v>
      </c>
      <c r="M144" s="5">
        <f t="shared" ca="1" si="1"/>
        <v>46261.501276736111</v>
      </c>
      <c r="N144" s="1">
        <f t="shared" si="2"/>
        <v>7</v>
      </c>
      <c r="O144" s="1">
        <f t="shared" ca="1" si="3"/>
        <v>101</v>
      </c>
      <c r="P144" s="4">
        <f t="shared" si="4"/>
        <v>46113</v>
      </c>
    </row>
    <row r="145" spans="1:16" x14ac:dyDescent="0.3">
      <c r="A145" s="1" t="s">
        <v>42</v>
      </c>
      <c r="B145" s="1" t="s">
        <v>25</v>
      </c>
      <c r="C145" s="1" t="s">
        <v>13</v>
      </c>
      <c r="D145" s="1" t="s">
        <v>14</v>
      </c>
      <c r="E145" s="1">
        <v>16</v>
      </c>
      <c r="F145" s="1">
        <v>219</v>
      </c>
      <c r="G145" s="1">
        <v>7</v>
      </c>
      <c r="H145" s="2">
        <v>46138</v>
      </c>
      <c r="I145" s="2">
        <v>46140</v>
      </c>
      <c r="J145" s="1" t="s">
        <v>20</v>
      </c>
      <c r="K145" s="1">
        <v>1144</v>
      </c>
      <c r="L145" s="4">
        <f t="shared" ca="1" si="0"/>
        <v>46261</v>
      </c>
      <c r="M145" s="5">
        <f t="shared" ca="1" si="1"/>
        <v>46261.501276736111</v>
      </c>
      <c r="N145" s="1">
        <f t="shared" si="2"/>
        <v>2</v>
      </c>
      <c r="O145" s="1">
        <f t="shared" ca="1" si="3"/>
        <v>123</v>
      </c>
      <c r="P145" s="4">
        <f t="shared" si="4"/>
        <v>46113</v>
      </c>
    </row>
    <row r="146" spans="1:16" x14ac:dyDescent="0.3">
      <c r="A146" s="1" t="s">
        <v>42</v>
      </c>
      <c r="B146" s="1" t="s">
        <v>33</v>
      </c>
      <c r="C146" s="1" t="s">
        <v>34</v>
      </c>
      <c r="D146" s="1" t="s">
        <v>39</v>
      </c>
      <c r="E146" s="1">
        <v>2</v>
      </c>
      <c r="F146" s="1">
        <v>34429</v>
      </c>
      <c r="G146" s="1">
        <v>12</v>
      </c>
      <c r="H146" s="2">
        <v>46102</v>
      </c>
      <c r="I146" s="2">
        <v>46112</v>
      </c>
      <c r="J146" s="1" t="s">
        <v>24</v>
      </c>
      <c r="K146" s="1">
        <v>1145</v>
      </c>
      <c r="L146" s="4">
        <f t="shared" ca="1" si="0"/>
        <v>46261</v>
      </c>
      <c r="M146" s="5">
        <f t="shared" ca="1" si="1"/>
        <v>46261.501276736111</v>
      </c>
      <c r="N146" s="1">
        <f t="shared" si="2"/>
        <v>10</v>
      </c>
      <c r="O146" s="1">
        <f t="shared" ca="1" si="3"/>
        <v>159</v>
      </c>
      <c r="P146" s="4">
        <f t="shared" si="4"/>
        <v>46113</v>
      </c>
    </row>
    <row r="147" spans="1:16" x14ac:dyDescent="0.3">
      <c r="A147" s="1" t="s">
        <v>16</v>
      </c>
      <c r="B147" s="1" t="s">
        <v>43</v>
      </c>
      <c r="C147" s="1" t="s">
        <v>34</v>
      </c>
      <c r="D147" s="1" t="s">
        <v>45</v>
      </c>
      <c r="E147" s="1">
        <v>7</v>
      </c>
      <c r="F147" s="1">
        <v>68217</v>
      </c>
      <c r="G147" s="1">
        <v>0</v>
      </c>
      <c r="H147" s="2">
        <v>46190</v>
      </c>
      <c r="I147" s="2">
        <v>46197</v>
      </c>
      <c r="J147" s="1" t="s">
        <v>29</v>
      </c>
      <c r="K147" s="1">
        <v>1146</v>
      </c>
      <c r="L147" s="4">
        <f t="shared" ca="1" si="0"/>
        <v>46261</v>
      </c>
      <c r="M147" s="5">
        <f t="shared" ca="1" si="1"/>
        <v>46261.501276736111</v>
      </c>
      <c r="N147" s="1">
        <f t="shared" si="2"/>
        <v>7</v>
      </c>
      <c r="O147" s="1">
        <f t="shared" ca="1" si="3"/>
        <v>71</v>
      </c>
      <c r="P147" s="4">
        <f t="shared" si="4"/>
        <v>46113</v>
      </c>
    </row>
    <row r="148" spans="1:16" x14ac:dyDescent="0.3">
      <c r="A148" s="1" t="s">
        <v>11</v>
      </c>
      <c r="B148" s="1" t="s">
        <v>22</v>
      </c>
      <c r="C148" s="1" t="s">
        <v>18</v>
      </c>
      <c r="D148" s="1" t="s">
        <v>28</v>
      </c>
      <c r="E148" s="1">
        <v>7</v>
      </c>
      <c r="F148" s="1">
        <v>9581</v>
      </c>
      <c r="G148" s="1">
        <v>5</v>
      </c>
      <c r="H148" s="2">
        <v>46154</v>
      </c>
      <c r="I148" s="2">
        <v>46155</v>
      </c>
      <c r="J148" s="1" t="s">
        <v>20</v>
      </c>
      <c r="K148" s="1">
        <v>1147</v>
      </c>
      <c r="L148" s="4">
        <f t="shared" ca="1" si="0"/>
        <v>46261</v>
      </c>
      <c r="M148" s="5">
        <f t="shared" ca="1" si="1"/>
        <v>46261.501276736111</v>
      </c>
      <c r="N148" s="1">
        <f t="shared" si="2"/>
        <v>1</v>
      </c>
      <c r="O148" s="1">
        <f t="shared" ca="1" si="3"/>
        <v>107</v>
      </c>
      <c r="P148" s="4">
        <f t="shared" si="4"/>
        <v>46113</v>
      </c>
    </row>
    <row r="149" spans="1:16" x14ac:dyDescent="0.3">
      <c r="A149" s="1" t="s">
        <v>59</v>
      </c>
      <c r="B149" s="1" t="s">
        <v>33</v>
      </c>
      <c r="C149" s="1" t="s">
        <v>18</v>
      </c>
      <c r="D149" s="1" t="s">
        <v>28</v>
      </c>
      <c r="E149" s="1">
        <v>11</v>
      </c>
      <c r="F149" s="1">
        <v>3023</v>
      </c>
      <c r="G149" s="1">
        <v>7</v>
      </c>
      <c r="H149" s="2">
        <v>46030</v>
      </c>
      <c r="I149" s="2">
        <v>46032</v>
      </c>
      <c r="J149" s="1" t="s">
        <v>24</v>
      </c>
      <c r="K149" s="1">
        <v>1148</v>
      </c>
      <c r="L149" s="4">
        <f t="shared" ca="1" si="0"/>
        <v>46261</v>
      </c>
      <c r="M149" s="5">
        <f t="shared" ca="1" si="1"/>
        <v>46261.501276736111</v>
      </c>
      <c r="N149" s="1">
        <f t="shared" si="2"/>
        <v>2</v>
      </c>
      <c r="O149" s="1">
        <f t="shared" ca="1" si="3"/>
        <v>231</v>
      </c>
      <c r="P149" s="4">
        <f t="shared" si="4"/>
        <v>46113</v>
      </c>
    </row>
    <row r="150" spans="1:16" x14ac:dyDescent="0.3">
      <c r="A150" s="1" t="s">
        <v>26</v>
      </c>
      <c r="B150" s="1" t="s">
        <v>38</v>
      </c>
      <c r="C150" s="1" t="s">
        <v>34</v>
      </c>
      <c r="D150" s="1" t="s">
        <v>35</v>
      </c>
      <c r="E150" s="1">
        <v>10</v>
      </c>
      <c r="F150" s="1">
        <v>22853</v>
      </c>
      <c r="G150" s="1">
        <v>7</v>
      </c>
      <c r="H150" s="2">
        <v>46053</v>
      </c>
      <c r="I150" s="2">
        <v>46054</v>
      </c>
      <c r="J150" s="1" t="s">
        <v>29</v>
      </c>
      <c r="K150" s="1">
        <v>1149</v>
      </c>
      <c r="L150" s="4">
        <f t="shared" ca="1" si="0"/>
        <v>46261</v>
      </c>
      <c r="M150" s="5">
        <f t="shared" ca="1" si="1"/>
        <v>46261.501276736111</v>
      </c>
      <c r="N150" s="1">
        <f t="shared" si="2"/>
        <v>1</v>
      </c>
      <c r="O150" s="1">
        <f t="shared" ca="1" si="3"/>
        <v>208</v>
      </c>
      <c r="P150" s="4">
        <f t="shared" si="4"/>
        <v>46113</v>
      </c>
    </row>
    <row r="151" spans="1:16" x14ac:dyDescent="0.3">
      <c r="A151" s="1" t="s">
        <v>42</v>
      </c>
      <c r="B151" s="1" t="s">
        <v>12</v>
      </c>
      <c r="C151" s="1" t="s">
        <v>18</v>
      </c>
      <c r="D151" s="1" t="s">
        <v>56</v>
      </c>
      <c r="E151" s="1">
        <v>10</v>
      </c>
      <c r="F151" s="1">
        <v>5323</v>
      </c>
      <c r="G151" s="1">
        <v>7</v>
      </c>
      <c r="H151" s="2">
        <v>46143</v>
      </c>
      <c r="I151" s="2">
        <v>46153</v>
      </c>
      <c r="J151" s="1" t="s">
        <v>24</v>
      </c>
      <c r="K151" s="1">
        <v>1150</v>
      </c>
      <c r="L151" s="4">
        <f t="shared" ca="1" si="0"/>
        <v>46261</v>
      </c>
      <c r="M151" s="5">
        <f t="shared" ca="1" si="1"/>
        <v>46261.501276736111</v>
      </c>
      <c r="N151" s="1">
        <f t="shared" si="2"/>
        <v>10</v>
      </c>
      <c r="O151" s="1">
        <f t="shared" ca="1" si="3"/>
        <v>118</v>
      </c>
      <c r="P151" s="4">
        <f t="shared" si="4"/>
        <v>46113</v>
      </c>
    </row>
    <row r="152" spans="1:16" x14ac:dyDescent="0.3">
      <c r="A152" s="1" t="s">
        <v>46</v>
      </c>
      <c r="B152" s="1" t="s">
        <v>43</v>
      </c>
      <c r="C152" s="1" t="s">
        <v>13</v>
      </c>
      <c r="D152" s="1" t="s">
        <v>50</v>
      </c>
      <c r="E152" s="1">
        <v>20</v>
      </c>
      <c r="F152" s="1">
        <v>272</v>
      </c>
      <c r="G152" s="1">
        <v>15</v>
      </c>
      <c r="H152" s="2">
        <v>46024</v>
      </c>
      <c r="I152" s="2">
        <v>46029</v>
      </c>
      <c r="J152" s="1" t="s">
        <v>51</v>
      </c>
      <c r="K152" s="1">
        <v>1151</v>
      </c>
      <c r="L152" s="4">
        <f t="shared" ca="1" si="0"/>
        <v>46261</v>
      </c>
      <c r="M152" s="5">
        <f t="shared" ca="1" si="1"/>
        <v>46261.501276736111</v>
      </c>
      <c r="N152" s="1">
        <f t="shared" si="2"/>
        <v>5</v>
      </c>
      <c r="O152" s="1">
        <f t="shared" ca="1" si="3"/>
        <v>237</v>
      </c>
      <c r="P152" s="4">
        <f t="shared" si="4"/>
        <v>46113</v>
      </c>
    </row>
    <row r="153" spans="1:16" x14ac:dyDescent="0.3">
      <c r="A153" s="1" t="s">
        <v>27</v>
      </c>
      <c r="B153" s="1" t="s">
        <v>31</v>
      </c>
      <c r="C153" s="1" t="s">
        <v>34</v>
      </c>
      <c r="D153" s="1" t="s">
        <v>61</v>
      </c>
      <c r="E153" s="1">
        <v>14</v>
      </c>
      <c r="F153" s="1">
        <v>8150</v>
      </c>
      <c r="G153" s="1">
        <v>10</v>
      </c>
      <c r="H153" s="2">
        <v>46062</v>
      </c>
      <c r="I153" s="2">
        <v>46070</v>
      </c>
      <c r="J153" s="1" t="s">
        <v>15</v>
      </c>
      <c r="K153" s="1">
        <v>1152</v>
      </c>
      <c r="L153" s="4">
        <f t="shared" ca="1" si="0"/>
        <v>46261</v>
      </c>
      <c r="M153" s="5">
        <f t="shared" ca="1" si="1"/>
        <v>46261.501276736111</v>
      </c>
      <c r="N153" s="1">
        <f t="shared" si="2"/>
        <v>8</v>
      </c>
      <c r="O153" s="1">
        <f t="shared" ca="1" si="3"/>
        <v>199</v>
      </c>
      <c r="P153" s="4">
        <f t="shared" si="4"/>
        <v>46113</v>
      </c>
    </row>
    <row r="154" spans="1:16" x14ac:dyDescent="0.3">
      <c r="A154" s="1" t="s">
        <v>42</v>
      </c>
      <c r="B154" s="1" t="s">
        <v>25</v>
      </c>
      <c r="C154" s="1" t="s">
        <v>18</v>
      </c>
      <c r="D154" s="1" t="s">
        <v>23</v>
      </c>
      <c r="E154" s="1">
        <v>19</v>
      </c>
      <c r="F154" s="1">
        <v>10273</v>
      </c>
      <c r="G154" s="1">
        <v>12</v>
      </c>
      <c r="H154" s="2">
        <v>46069</v>
      </c>
      <c r="I154" s="2">
        <v>46072</v>
      </c>
      <c r="J154" s="1" t="s">
        <v>29</v>
      </c>
      <c r="K154" s="1">
        <v>1153</v>
      </c>
      <c r="L154" s="4">
        <f t="shared" ca="1" si="0"/>
        <v>46261</v>
      </c>
      <c r="M154" s="5">
        <f t="shared" ca="1" si="1"/>
        <v>46261.501276736111</v>
      </c>
      <c r="N154" s="1">
        <f t="shared" si="2"/>
        <v>3</v>
      </c>
      <c r="O154" s="1">
        <f t="shared" ca="1" si="3"/>
        <v>192</v>
      </c>
      <c r="P154" s="4">
        <f t="shared" si="4"/>
        <v>46113</v>
      </c>
    </row>
    <row r="155" spans="1:16" x14ac:dyDescent="0.3">
      <c r="A155" s="1" t="s">
        <v>32</v>
      </c>
      <c r="B155" s="1" t="s">
        <v>17</v>
      </c>
      <c r="C155" s="1" t="s">
        <v>18</v>
      </c>
      <c r="D155" s="1" t="s">
        <v>56</v>
      </c>
      <c r="E155" s="1">
        <v>15</v>
      </c>
      <c r="F155" s="1">
        <v>6101</v>
      </c>
      <c r="G155" s="1">
        <v>0</v>
      </c>
      <c r="H155" s="2">
        <v>46178</v>
      </c>
      <c r="I155" s="2">
        <v>46183</v>
      </c>
      <c r="J155" s="1" t="s">
        <v>51</v>
      </c>
      <c r="K155" s="1">
        <v>1154</v>
      </c>
      <c r="L155" s="4">
        <f t="shared" ca="1" si="0"/>
        <v>46261</v>
      </c>
      <c r="M155" s="5">
        <f t="shared" ca="1" si="1"/>
        <v>46261.501276736111</v>
      </c>
      <c r="N155" s="1">
        <f t="shared" si="2"/>
        <v>5</v>
      </c>
      <c r="O155" s="1">
        <f t="shared" ca="1" si="3"/>
        <v>83</v>
      </c>
      <c r="P155" s="4">
        <f t="shared" si="4"/>
        <v>46113</v>
      </c>
    </row>
    <row r="156" spans="1:16" x14ac:dyDescent="0.3">
      <c r="A156" s="1" t="s">
        <v>11</v>
      </c>
      <c r="B156" s="1" t="s">
        <v>31</v>
      </c>
      <c r="C156" s="1" t="s">
        <v>18</v>
      </c>
      <c r="D156" s="1" t="s">
        <v>28</v>
      </c>
      <c r="E156" s="1">
        <v>13</v>
      </c>
      <c r="F156" s="1">
        <v>4341</v>
      </c>
      <c r="G156" s="1">
        <v>15</v>
      </c>
      <c r="H156" s="2">
        <v>46093</v>
      </c>
      <c r="I156" s="2">
        <v>46096</v>
      </c>
      <c r="J156" s="1" t="s">
        <v>24</v>
      </c>
      <c r="K156" s="1">
        <v>1155</v>
      </c>
      <c r="L156" s="4">
        <f t="shared" ca="1" si="0"/>
        <v>46261</v>
      </c>
      <c r="M156" s="5">
        <f t="shared" ca="1" si="1"/>
        <v>46261.501276736111</v>
      </c>
      <c r="N156" s="1">
        <f t="shared" si="2"/>
        <v>3</v>
      </c>
      <c r="O156" s="1">
        <f t="shared" ca="1" si="3"/>
        <v>168</v>
      </c>
      <c r="P156" s="4">
        <f t="shared" si="4"/>
        <v>46113</v>
      </c>
    </row>
    <row r="157" spans="1:16" x14ac:dyDescent="0.3">
      <c r="A157" s="1" t="s">
        <v>54</v>
      </c>
      <c r="B157" s="1" t="s">
        <v>38</v>
      </c>
      <c r="C157" s="1" t="s">
        <v>13</v>
      </c>
      <c r="D157" s="1" t="s">
        <v>36</v>
      </c>
      <c r="E157" s="1">
        <v>5</v>
      </c>
      <c r="F157" s="1">
        <v>466</v>
      </c>
      <c r="G157" s="1">
        <v>15</v>
      </c>
      <c r="H157" s="2">
        <v>46025</v>
      </c>
      <c r="I157" s="2">
        <v>46029</v>
      </c>
      <c r="J157" s="1" t="s">
        <v>15</v>
      </c>
      <c r="K157" s="1">
        <v>1156</v>
      </c>
      <c r="L157" s="4">
        <f t="shared" ca="1" si="0"/>
        <v>46261</v>
      </c>
      <c r="M157" s="5">
        <f t="shared" ca="1" si="1"/>
        <v>46261.501276736111</v>
      </c>
      <c r="N157" s="1">
        <f t="shared" si="2"/>
        <v>4</v>
      </c>
      <c r="O157" s="1">
        <f t="shared" ca="1" si="3"/>
        <v>236</v>
      </c>
      <c r="P157" s="4">
        <f t="shared" si="4"/>
        <v>46113</v>
      </c>
    </row>
    <row r="158" spans="1:16" x14ac:dyDescent="0.3">
      <c r="A158" s="1" t="s">
        <v>52</v>
      </c>
      <c r="B158" s="1" t="s">
        <v>33</v>
      </c>
      <c r="C158" s="1" t="s">
        <v>13</v>
      </c>
      <c r="D158" s="1" t="s">
        <v>50</v>
      </c>
      <c r="E158" s="1">
        <v>3</v>
      </c>
      <c r="F158" s="1">
        <v>203</v>
      </c>
      <c r="G158" s="1">
        <v>15</v>
      </c>
      <c r="H158" s="2">
        <v>46076</v>
      </c>
      <c r="I158" s="2">
        <v>46080</v>
      </c>
      <c r="J158" s="1" t="s">
        <v>29</v>
      </c>
      <c r="K158" s="1">
        <v>1157</v>
      </c>
      <c r="L158" s="4">
        <f t="shared" ca="1" si="0"/>
        <v>46261</v>
      </c>
      <c r="M158" s="5">
        <f t="shared" ca="1" si="1"/>
        <v>46261.501276736111</v>
      </c>
      <c r="N158" s="1">
        <f t="shared" si="2"/>
        <v>4</v>
      </c>
      <c r="O158" s="1">
        <f t="shared" ca="1" si="3"/>
        <v>185</v>
      </c>
      <c r="P158" s="4">
        <f t="shared" si="4"/>
        <v>46113</v>
      </c>
    </row>
    <row r="159" spans="1:16" x14ac:dyDescent="0.3">
      <c r="A159" s="1" t="s">
        <v>26</v>
      </c>
      <c r="B159" s="1" t="s">
        <v>38</v>
      </c>
      <c r="C159" s="1" t="s">
        <v>34</v>
      </c>
      <c r="D159" s="1" t="s">
        <v>41</v>
      </c>
      <c r="E159" s="1">
        <v>13</v>
      </c>
      <c r="F159" s="1">
        <v>12518</v>
      </c>
      <c r="G159" s="1">
        <v>2</v>
      </c>
      <c r="H159" s="2">
        <v>46079</v>
      </c>
      <c r="I159" s="2">
        <v>46082</v>
      </c>
      <c r="J159" s="1" t="s">
        <v>51</v>
      </c>
      <c r="K159" s="1">
        <v>1158</v>
      </c>
      <c r="L159" s="4">
        <f t="shared" ca="1" si="0"/>
        <v>46261</v>
      </c>
      <c r="M159" s="5">
        <f t="shared" ca="1" si="1"/>
        <v>46261.501276736111</v>
      </c>
      <c r="N159" s="1">
        <f t="shared" si="2"/>
        <v>3</v>
      </c>
      <c r="O159" s="1">
        <f t="shared" ca="1" si="3"/>
        <v>182</v>
      </c>
      <c r="P159" s="4">
        <f t="shared" si="4"/>
        <v>46113</v>
      </c>
    </row>
    <row r="160" spans="1:16" x14ac:dyDescent="0.3">
      <c r="A160" s="1" t="s">
        <v>32</v>
      </c>
      <c r="B160" s="1" t="s">
        <v>43</v>
      </c>
      <c r="C160" s="1" t="s">
        <v>18</v>
      </c>
      <c r="D160" s="1" t="s">
        <v>28</v>
      </c>
      <c r="E160" s="1">
        <v>20</v>
      </c>
      <c r="F160" s="1">
        <v>14000</v>
      </c>
      <c r="G160" s="1">
        <v>15</v>
      </c>
      <c r="H160" s="2">
        <v>46184</v>
      </c>
      <c r="I160" s="2">
        <v>46187</v>
      </c>
      <c r="J160" s="1" t="s">
        <v>15</v>
      </c>
      <c r="K160" s="1">
        <v>1159</v>
      </c>
      <c r="L160" s="4">
        <f t="shared" ca="1" si="0"/>
        <v>46261</v>
      </c>
      <c r="M160" s="5">
        <f t="shared" ca="1" si="1"/>
        <v>46261.501276736111</v>
      </c>
      <c r="N160" s="1">
        <f t="shared" si="2"/>
        <v>3</v>
      </c>
      <c r="O160" s="1">
        <f t="shared" ca="1" si="3"/>
        <v>77</v>
      </c>
      <c r="P160" s="4">
        <f t="shared" si="4"/>
        <v>46113</v>
      </c>
    </row>
    <row r="161" spans="1:16" x14ac:dyDescent="0.3">
      <c r="A161" s="1" t="s">
        <v>59</v>
      </c>
      <c r="B161" s="1" t="s">
        <v>22</v>
      </c>
      <c r="C161" s="1" t="s">
        <v>34</v>
      </c>
      <c r="D161" s="1" t="s">
        <v>39</v>
      </c>
      <c r="E161" s="1">
        <v>7</v>
      </c>
      <c r="F161" s="1">
        <v>53986</v>
      </c>
      <c r="G161" s="1">
        <v>10</v>
      </c>
      <c r="H161" s="2">
        <v>46142</v>
      </c>
      <c r="I161" s="2">
        <v>46147</v>
      </c>
      <c r="J161" s="1" t="s">
        <v>51</v>
      </c>
      <c r="K161" s="1">
        <v>1160</v>
      </c>
      <c r="L161" s="4">
        <f t="shared" ca="1" si="0"/>
        <v>46261</v>
      </c>
      <c r="M161" s="5">
        <f t="shared" ca="1" si="1"/>
        <v>46261.501276736111</v>
      </c>
      <c r="N161" s="1">
        <f t="shared" si="2"/>
        <v>5</v>
      </c>
      <c r="O161" s="1">
        <f t="shared" ca="1" si="3"/>
        <v>119</v>
      </c>
      <c r="P161" s="4">
        <f t="shared" si="4"/>
        <v>46113</v>
      </c>
    </row>
    <row r="162" spans="1:16" x14ac:dyDescent="0.3">
      <c r="A162" s="1" t="s">
        <v>27</v>
      </c>
      <c r="B162" s="1" t="s">
        <v>25</v>
      </c>
      <c r="C162" s="1" t="s">
        <v>34</v>
      </c>
      <c r="D162" s="1" t="s">
        <v>39</v>
      </c>
      <c r="E162" s="1">
        <v>4</v>
      </c>
      <c r="F162" s="1">
        <v>54659</v>
      </c>
      <c r="G162" s="1">
        <v>7</v>
      </c>
      <c r="H162" s="2">
        <v>46105</v>
      </c>
      <c r="I162" s="2">
        <v>46109</v>
      </c>
      <c r="J162" s="1" t="s">
        <v>20</v>
      </c>
      <c r="K162" s="1">
        <v>1161</v>
      </c>
      <c r="L162" s="4">
        <f t="shared" ca="1" si="0"/>
        <v>46261</v>
      </c>
      <c r="M162" s="5">
        <f t="shared" ca="1" si="1"/>
        <v>46261.501276736111</v>
      </c>
      <c r="N162" s="1">
        <f t="shared" si="2"/>
        <v>4</v>
      </c>
      <c r="O162" s="1">
        <f t="shared" ca="1" si="3"/>
        <v>156</v>
      </c>
      <c r="P162" s="4">
        <f t="shared" si="4"/>
        <v>46113</v>
      </c>
    </row>
    <row r="163" spans="1:16" x14ac:dyDescent="0.3">
      <c r="A163" s="1" t="s">
        <v>57</v>
      </c>
      <c r="B163" s="1" t="s">
        <v>31</v>
      </c>
      <c r="C163" s="1" t="s">
        <v>34</v>
      </c>
      <c r="D163" s="1" t="s">
        <v>45</v>
      </c>
      <c r="E163" s="1">
        <v>2</v>
      </c>
      <c r="F163" s="1">
        <v>28176</v>
      </c>
      <c r="G163" s="1">
        <v>10</v>
      </c>
      <c r="H163" s="2">
        <v>46100</v>
      </c>
      <c r="I163" s="2">
        <v>46101</v>
      </c>
      <c r="J163" s="1" t="s">
        <v>20</v>
      </c>
      <c r="K163" s="1">
        <v>1162</v>
      </c>
      <c r="L163" s="4">
        <f t="shared" ca="1" si="0"/>
        <v>46261</v>
      </c>
      <c r="M163" s="5">
        <f t="shared" ca="1" si="1"/>
        <v>46261.501276736111</v>
      </c>
      <c r="N163" s="1">
        <f t="shared" si="2"/>
        <v>1</v>
      </c>
      <c r="O163" s="1">
        <f t="shared" ca="1" si="3"/>
        <v>161</v>
      </c>
      <c r="P163" s="4">
        <f t="shared" si="4"/>
        <v>46113</v>
      </c>
    </row>
    <row r="164" spans="1:16" x14ac:dyDescent="0.3">
      <c r="A164" s="1" t="s">
        <v>29</v>
      </c>
      <c r="B164" s="1" t="s">
        <v>38</v>
      </c>
      <c r="C164" s="1" t="s">
        <v>34</v>
      </c>
      <c r="D164" s="1" t="s">
        <v>39</v>
      </c>
      <c r="E164" s="1">
        <v>9</v>
      </c>
      <c r="F164" s="1">
        <v>62440</v>
      </c>
      <c r="G164" s="1">
        <v>2</v>
      </c>
      <c r="H164" s="2">
        <v>46081</v>
      </c>
      <c r="I164" s="2">
        <v>46086</v>
      </c>
      <c r="J164" s="1" t="s">
        <v>29</v>
      </c>
      <c r="K164" s="1">
        <v>1163</v>
      </c>
      <c r="L164" s="4">
        <f t="shared" ca="1" si="0"/>
        <v>46261</v>
      </c>
      <c r="M164" s="5">
        <f t="shared" ca="1" si="1"/>
        <v>46261.501276736111</v>
      </c>
      <c r="N164" s="1">
        <f t="shared" si="2"/>
        <v>5</v>
      </c>
      <c r="O164" s="1">
        <f t="shared" ca="1" si="3"/>
        <v>180</v>
      </c>
      <c r="P164" s="4">
        <f t="shared" si="4"/>
        <v>46113</v>
      </c>
    </row>
    <row r="165" spans="1:16" x14ac:dyDescent="0.3">
      <c r="A165" s="1" t="s">
        <v>40</v>
      </c>
      <c r="B165" s="1" t="s">
        <v>43</v>
      </c>
      <c r="C165" s="1" t="s">
        <v>34</v>
      </c>
      <c r="D165" s="1" t="s">
        <v>61</v>
      </c>
      <c r="E165" s="1">
        <v>7</v>
      </c>
      <c r="F165" s="1">
        <v>24615</v>
      </c>
      <c r="G165" s="1">
        <v>12</v>
      </c>
      <c r="H165" s="2">
        <v>46196</v>
      </c>
      <c r="I165" s="2">
        <v>46203</v>
      </c>
      <c r="J165" s="1" t="s">
        <v>51</v>
      </c>
      <c r="K165" s="1">
        <v>1164</v>
      </c>
      <c r="L165" s="4">
        <f t="shared" ca="1" si="0"/>
        <v>46261</v>
      </c>
      <c r="M165" s="5">
        <f t="shared" ca="1" si="1"/>
        <v>46261.501276736111</v>
      </c>
      <c r="N165" s="1">
        <f t="shared" si="2"/>
        <v>7</v>
      </c>
      <c r="O165" s="1">
        <f t="shared" ca="1" si="3"/>
        <v>65</v>
      </c>
      <c r="P165" s="4">
        <f t="shared" si="4"/>
        <v>46113</v>
      </c>
    </row>
    <row r="166" spans="1:16" x14ac:dyDescent="0.3">
      <c r="A166" s="1" t="s">
        <v>48</v>
      </c>
      <c r="B166" s="1" t="s">
        <v>25</v>
      </c>
      <c r="C166" s="1" t="s">
        <v>13</v>
      </c>
      <c r="D166" s="1" t="s">
        <v>37</v>
      </c>
      <c r="E166" s="1">
        <v>1</v>
      </c>
      <c r="F166" s="1">
        <v>427</v>
      </c>
      <c r="G166" s="1">
        <v>0</v>
      </c>
      <c r="H166" s="2">
        <v>46042</v>
      </c>
      <c r="I166" s="2">
        <v>46050</v>
      </c>
      <c r="J166" s="1" t="s">
        <v>51</v>
      </c>
      <c r="K166" s="1">
        <v>1165</v>
      </c>
      <c r="L166" s="4">
        <f t="shared" ca="1" si="0"/>
        <v>46261</v>
      </c>
      <c r="M166" s="5">
        <f t="shared" ca="1" si="1"/>
        <v>46261.501276736111</v>
      </c>
      <c r="N166" s="1">
        <f t="shared" si="2"/>
        <v>8</v>
      </c>
      <c r="O166" s="1">
        <f t="shared" ca="1" si="3"/>
        <v>219</v>
      </c>
      <c r="P166" s="4">
        <f t="shared" si="4"/>
        <v>46113</v>
      </c>
    </row>
    <row r="167" spans="1:16" x14ac:dyDescent="0.3">
      <c r="A167" s="1" t="s">
        <v>32</v>
      </c>
      <c r="B167" s="1" t="s">
        <v>31</v>
      </c>
      <c r="C167" s="1" t="s">
        <v>13</v>
      </c>
      <c r="D167" s="1" t="s">
        <v>37</v>
      </c>
      <c r="E167" s="1">
        <v>1</v>
      </c>
      <c r="F167" s="1">
        <v>396</v>
      </c>
      <c r="G167" s="1">
        <v>5</v>
      </c>
      <c r="H167" s="2">
        <v>46092</v>
      </c>
      <c r="I167" s="2">
        <v>46093</v>
      </c>
      <c r="J167" s="1" t="s">
        <v>20</v>
      </c>
      <c r="K167" s="1">
        <v>1166</v>
      </c>
      <c r="L167" s="4">
        <f t="shared" ca="1" si="0"/>
        <v>46261</v>
      </c>
      <c r="M167" s="5">
        <f t="shared" ca="1" si="1"/>
        <v>46261.501276736111</v>
      </c>
      <c r="N167" s="1">
        <f t="shared" si="2"/>
        <v>1</v>
      </c>
      <c r="O167" s="1">
        <f t="shared" ca="1" si="3"/>
        <v>169</v>
      </c>
      <c r="P167" s="4">
        <f t="shared" si="4"/>
        <v>46113</v>
      </c>
    </row>
    <row r="168" spans="1:16" x14ac:dyDescent="0.3">
      <c r="A168" s="1" t="s">
        <v>48</v>
      </c>
      <c r="B168" s="1" t="s">
        <v>17</v>
      </c>
      <c r="C168" s="1" t="s">
        <v>13</v>
      </c>
      <c r="D168" s="1" t="s">
        <v>37</v>
      </c>
      <c r="E168" s="1">
        <v>20</v>
      </c>
      <c r="F168" s="1">
        <v>251</v>
      </c>
      <c r="G168" s="1">
        <v>5</v>
      </c>
      <c r="H168" s="2">
        <v>46160</v>
      </c>
      <c r="I168" s="2">
        <v>46170</v>
      </c>
      <c r="J168" s="1" t="s">
        <v>29</v>
      </c>
      <c r="K168" s="1">
        <v>1167</v>
      </c>
      <c r="L168" s="4">
        <f t="shared" ca="1" si="0"/>
        <v>46261</v>
      </c>
      <c r="M168" s="5">
        <f t="shared" ca="1" si="1"/>
        <v>46261.501276736111</v>
      </c>
      <c r="N168" s="1">
        <f t="shared" si="2"/>
        <v>10</v>
      </c>
      <c r="O168" s="1">
        <f t="shared" ca="1" si="3"/>
        <v>101</v>
      </c>
      <c r="P168" s="4">
        <f t="shared" si="4"/>
        <v>46113</v>
      </c>
    </row>
    <row r="169" spans="1:16" x14ac:dyDescent="0.3">
      <c r="A169" s="1" t="s">
        <v>54</v>
      </c>
      <c r="B169" s="1" t="s">
        <v>12</v>
      </c>
      <c r="C169" s="1" t="s">
        <v>13</v>
      </c>
      <c r="D169" s="1" t="s">
        <v>37</v>
      </c>
      <c r="E169" s="1">
        <v>18</v>
      </c>
      <c r="F169" s="1">
        <v>335</v>
      </c>
      <c r="G169" s="1">
        <v>15</v>
      </c>
      <c r="H169" s="2">
        <v>46130</v>
      </c>
      <c r="I169" s="2">
        <v>46140</v>
      </c>
      <c r="J169" s="1" t="s">
        <v>29</v>
      </c>
      <c r="K169" s="1">
        <v>1168</v>
      </c>
      <c r="L169" s="4">
        <f t="shared" ca="1" si="0"/>
        <v>46261</v>
      </c>
      <c r="M169" s="5">
        <f t="shared" ca="1" si="1"/>
        <v>46261.501276736111</v>
      </c>
      <c r="N169" s="1">
        <f t="shared" si="2"/>
        <v>10</v>
      </c>
      <c r="O169" s="1">
        <f t="shared" ca="1" si="3"/>
        <v>131</v>
      </c>
      <c r="P169" s="4">
        <f t="shared" si="4"/>
        <v>46113</v>
      </c>
    </row>
    <row r="170" spans="1:16" x14ac:dyDescent="0.3">
      <c r="A170" s="1" t="s">
        <v>47</v>
      </c>
      <c r="B170" s="1" t="s">
        <v>12</v>
      </c>
      <c r="C170" s="1" t="s">
        <v>18</v>
      </c>
      <c r="D170" s="1" t="s">
        <v>56</v>
      </c>
      <c r="E170" s="1">
        <v>12</v>
      </c>
      <c r="F170" s="1">
        <v>12104</v>
      </c>
      <c r="G170" s="1">
        <v>7</v>
      </c>
      <c r="H170" s="2">
        <v>46121</v>
      </c>
      <c r="I170" s="2">
        <v>46130</v>
      </c>
      <c r="J170" s="1" t="s">
        <v>24</v>
      </c>
      <c r="K170" s="1">
        <v>1169</v>
      </c>
      <c r="L170" s="4">
        <f t="shared" ca="1" si="0"/>
        <v>46261</v>
      </c>
      <c r="M170" s="5">
        <f t="shared" ca="1" si="1"/>
        <v>46261.501276736111</v>
      </c>
      <c r="N170" s="1">
        <f t="shared" si="2"/>
        <v>9</v>
      </c>
      <c r="O170" s="1">
        <f t="shared" ca="1" si="3"/>
        <v>140</v>
      </c>
      <c r="P170" s="4">
        <f t="shared" si="4"/>
        <v>46113</v>
      </c>
    </row>
    <row r="171" spans="1:16" x14ac:dyDescent="0.3">
      <c r="A171" s="1" t="s">
        <v>49</v>
      </c>
      <c r="B171" s="1" t="s">
        <v>38</v>
      </c>
      <c r="C171" s="1" t="s">
        <v>13</v>
      </c>
      <c r="D171" s="1" t="s">
        <v>14</v>
      </c>
      <c r="E171" s="1">
        <v>6</v>
      </c>
      <c r="F171" s="1">
        <v>339</v>
      </c>
      <c r="G171" s="1">
        <v>12</v>
      </c>
      <c r="H171" s="2">
        <v>46105</v>
      </c>
      <c r="I171" s="2">
        <v>46106</v>
      </c>
      <c r="J171" s="1" t="s">
        <v>24</v>
      </c>
      <c r="K171" s="1">
        <v>1170</v>
      </c>
      <c r="L171" s="4">
        <f t="shared" ca="1" si="0"/>
        <v>46261</v>
      </c>
      <c r="M171" s="5">
        <f t="shared" ca="1" si="1"/>
        <v>46261.501276736111</v>
      </c>
      <c r="N171" s="1">
        <f t="shared" si="2"/>
        <v>1</v>
      </c>
      <c r="O171" s="1">
        <f t="shared" ca="1" si="3"/>
        <v>156</v>
      </c>
      <c r="P171" s="4">
        <f t="shared" si="4"/>
        <v>46113</v>
      </c>
    </row>
    <row r="172" spans="1:16" x14ac:dyDescent="0.3">
      <c r="A172" s="1" t="s">
        <v>57</v>
      </c>
      <c r="B172" s="1" t="s">
        <v>25</v>
      </c>
      <c r="C172" s="1" t="s">
        <v>13</v>
      </c>
      <c r="D172" s="1" t="s">
        <v>50</v>
      </c>
      <c r="E172" s="1">
        <v>17</v>
      </c>
      <c r="F172" s="1">
        <v>147</v>
      </c>
      <c r="G172" s="1">
        <v>12</v>
      </c>
      <c r="H172" s="2">
        <v>46155</v>
      </c>
      <c r="I172" s="2">
        <v>46160</v>
      </c>
      <c r="J172" s="1" t="s">
        <v>20</v>
      </c>
      <c r="K172" s="1">
        <v>1171</v>
      </c>
      <c r="L172" s="4">
        <f t="shared" ca="1" si="0"/>
        <v>46261</v>
      </c>
      <c r="M172" s="5">
        <f t="shared" ca="1" si="1"/>
        <v>46261.501276736111</v>
      </c>
      <c r="N172" s="1">
        <f t="shared" si="2"/>
        <v>5</v>
      </c>
      <c r="O172" s="1">
        <f t="shared" ca="1" si="3"/>
        <v>106</v>
      </c>
      <c r="P172" s="4">
        <f t="shared" si="4"/>
        <v>46113</v>
      </c>
    </row>
    <row r="173" spans="1:16" x14ac:dyDescent="0.3">
      <c r="A173" s="1" t="s">
        <v>16</v>
      </c>
      <c r="B173" s="1" t="s">
        <v>12</v>
      </c>
      <c r="C173" s="1" t="s">
        <v>34</v>
      </c>
      <c r="D173" s="1" t="s">
        <v>45</v>
      </c>
      <c r="E173" s="1">
        <v>13</v>
      </c>
      <c r="F173" s="1">
        <v>43163</v>
      </c>
      <c r="G173" s="1">
        <v>12</v>
      </c>
      <c r="H173" s="2">
        <v>46120</v>
      </c>
      <c r="I173" s="2">
        <v>46129</v>
      </c>
      <c r="J173" s="1" t="s">
        <v>24</v>
      </c>
      <c r="K173" s="1">
        <v>1172</v>
      </c>
      <c r="L173" s="4">
        <f t="shared" ca="1" si="0"/>
        <v>46261</v>
      </c>
      <c r="M173" s="5">
        <f t="shared" ca="1" si="1"/>
        <v>46261.501276736111</v>
      </c>
      <c r="N173" s="1">
        <f t="shared" si="2"/>
        <v>9</v>
      </c>
      <c r="O173" s="1">
        <f t="shared" ca="1" si="3"/>
        <v>141</v>
      </c>
      <c r="P173" s="4">
        <f t="shared" si="4"/>
        <v>46113</v>
      </c>
    </row>
    <row r="174" spans="1:16" x14ac:dyDescent="0.3">
      <c r="A174" s="1" t="s">
        <v>40</v>
      </c>
      <c r="B174" s="1" t="s">
        <v>17</v>
      </c>
      <c r="C174" s="1" t="s">
        <v>13</v>
      </c>
      <c r="D174" s="1" t="s">
        <v>37</v>
      </c>
      <c r="E174" s="1">
        <v>15</v>
      </c>
      <c r="F174" s="1">
        <v>214</v>
      </c>
      <c r="G174" s="1">
        <v>10</v>
      </c>
      <c r="H174" s="2">
        <v>46050</v>
      </c>
      <c r="I174" s="2">
        <v>46060</v>
      </c>
      <c r="J174" s="1" t="s">
        <v>51</v>
      </c>
      <c r="K174" s="1">
        <v>1173</v>
      </c>
      <c r="L174" s="4">
        <f t="shared" ca="1" si="0"/>
        <v>46261</v>
      </c>
      <c r="M174" s="5">
        <f t="shared" ca="1" si="1"/>
        <v>46261.501276736111</v>
      </c>
      <c r="N174" s="1">
        <f t="shared" si="2"/>
        <v>10</v>
      </c>
      <c r="O174" s="1">
        <f t="shared" ca="1" si="3"/>
        <v>211</v>
      </c>
      <c r="P174" s="4">
        <f t="shared" si="4"/>
        <v>46113</v>
      </c>
    </row>
    <row r="175" spans="1:16" x14ac:dyDescent="0.3">
      <c r="A175" s="1" t="s">
        <v>58</v>
      </c>
      <c r="B175" s="1" t="s">
        <v>38</v>
      </c>
      <c r="C175" s="1" t="s">
        <v>13</v>
      </c>
      <c r="D175" s="1" t="s">
        <v>14</v>
      </c>
      <c r="E175" s="1">
        <v>13</v>
      </c>
      <c r="F175" s="1">
        <v>155</v>
      </c>
      <c r="G175" s="1">
        <v>2</v>
      </c>
      <c r="H175" s="2">
        <v>46066</v>
      </c>
      <c r="I175" s="2">
        <v>46069</v>
      </c>
      <c r="J175" s="1" t="s">
        <v>24</v>
      </c>
      <c r="K175" s="1">
        <v>1174</v>
      </c>
      <c r="L175" s="4">
        <f t="shared" ca="1" si="0"/>
        <v>46261</v>
      </c>
      <c r="M175" s="5">
        <f t="shared" ca="1" si="1"/>
        <v>46261.501276736111</v>
      </c>
      <c r="N175" s="1">
        <f t="shared" si="2"/>
        <v>3</v>
      </c>
      <c r="O175" s="1">
        <f t="shared" ca="1" si="3"/>
        <v>195</v>
      </c>
      <c r="P175" s="4">
        <f t="shared" si="4"/>
        <v>46113</v>
      </c>
    </row>
    <row r="176" spans="1:16" x14ac:dyDescent="0.3">
      <c r="A176" s="1" t="s">
        <v>26</v>
      </c>
      <c r="B176" s="1" t="s">
        <v>17</v>
      </c>
      <c r="C176" s="1" t="s">
        <v>34</v>
      </c>
      <c r="D176" s="1" t="s">
        <v>41</v>
      </c>
      <c r="E176" s="1">
        <v>10</v>
      </c>
      <c r="F176" s="1">
        <v>20339</v>
      </c>
      <c r="G176" s="1">
        <v>2</v>
      </c>
      <c r="H176" s="2">
        <v>46088</v>
      </c>
      <c r="I176" s="2">
        <v>46094</v>
      </c>
      <c r="J176" s="1" t="s">
        <v>20</v>
      </c>
      <c r="K176" s="1">
        <v>1175</v>
      </c>
      <c r="L176" s="4">
        <f t="shared" ca="1" si="0"/>
        <v>46261</v>
      </c>
      <c r="M176" s="5">
        <f t="shared" ca="1" si="1"/>
        <v>46261.501276736111</v>
      </c>
      <c r="N176" s="1">
        <f t="shared" si="2"/>
        <v>6</v>
      </c>
      <c r="O176" s="1">
        <f t="shared" ca="1" si="3"/>
        <v>173</v>
      </c>
      <c r="P176" s="4">
        <f t="shared" si="4"/>
        <v>46113</v>
      </c>
    </row>
    <row r="177" spans="1:16" x14ac:dyDescent="0.3">
      <c r="A177" s="1" t="s">
        <v>58</v>
      </c>
      <c r="B177" s="1" t="s">
        <v>38</v>
      </c>
      <c r="C177" s="1" t="s">
        <v>34</v>
      </c>
      <c r="D177" s="1" t="s">
        <v>41</v>
      </c>
      <c r="E177" s="1">
        <v>17</v>
      </c>
      <c r="F177" s="1">
        <v>46937</v>
      </c>
      <c r="G177" s="1">
        <v>12</v>
      </c>
      <c r="H177" s="2">
        <v>46048</v>
      </c>
      <c r="I177" s="2">
        <v>46056</v>
      </c>
      <c r="J177" s="1" t="s">
        <v>29</v>
      </c>
      <c r="K177" s="1">
        <v>1176</v>
      </c>
      <c r="L177" s="4">
        <f t="shared" ca="1" si="0"/>
        <v>46261</v>
      </c>
      <c r="M177" s="5">
        <f t="shared" ca="1" si="1"/>
        <v>46261.501276736111</v>
      </c>
      <c r="N177" s="1">
        <f t="shared" si="2"/>
        <v>8</v>
      </c>
      <c r="O177" s="1">
        <f t="shared" ca="1" si="3"/>
        <v>213</v>
      </c>
      <c r="P177" s="4">
        <f t="shared" si="4"/>
        <v>46113</v>
      </c>
    </row>
    <row r="178" spans="1:16" x14ac:dyDescent="0.3">
      <c r="A178" s="1" t="s">
        <v>29</v>
      </c>
      <c r="B178" s="1" t="s">
        <v>22</v>
      </c>
      <c r="C178" s="1" t="s">
        <v>18</v>
      </c>
      <c r="D178" s="1" t="s">
        <v>19</v>
      </c>
      <c r="E178" s="1">
        <v>14</v>
      </c>
      <c r="F178" s="1">
        <v>7501</v>
      </c>
      <c r="G178" s="1">
        <v>7</v>
      </c>
      <c r="H178" s="2">
        <v>46169</v>
      </c>
      <c r="I178" s="2">
        <v>46179</v>
      </c>
      <c r="J178" s="1" t="s">
        <v>20</v>
      </c>
      <c r="K178" s="1">
        <v>1177</v>
      </c>
      <c r="L178" s="4">
        <f t="shared" ca="1" si="0"/>
        <v>46261</v>
      </c>
      <c r="M178" s="5">
        <f t="shared" ca="1" si="1"/>
        <v>46261.501276736111</v>
      </c>
      <c r="N178" s="1">
        <f t="shared" si="2"/>
        <v>10</v>
      </c>
      <c r="O178" s="1">
        <f t="shared" ca="1" si="3"/>
        <v>92</v>
      </c>
      <c r="P178" s="4">
        <f t="shared" si="4"/>
        <v>46113</v>
      </c>
    </row>
    <row r="179" spans="1:16" x14ac:dyDescent="0.3">
      <c r="A179" s="1" t="s">
        <v>57</v>
      </c>
      <c r="B179" s="1" t="s">
        <v>17</v>
      </c>
      <c r="C179" s="1" t="s">
        <v>13</v>
      </c>
      <c r="D179" s="1" t="s">
        <v>50</v>
      </c>
      <c r="E179" s="1">
        <v>5</v>
      </c>
      <c r="F179" s="1">
        <v>50</v>
      </c>
      <c r="G179" s="1">
        <v>0</v>
      </c>
      <c r="H179" s="2">
        <v>46111</v>
      </c>
      <c r="I179" s="2">
        <v>46117</v>
      </c>
      <c r="J179" s="1" t="s">
        <v>20</v>
      </c>
      <c r="K179" s="1">
        <v>1178</v>
      </c>
      <c r="L179" s="4">
        <f t="shared" ca="1" si="0"/>
        <v>46261</v>
      </c>
      <c r="M179" s="5">
        <f t="shared" ca="1" si="1"/>
        <v>46261.501276736111</v>
      </c>
      <c r="N179" s="1">
        <f t="shared" si="2"/>
        <v>6</v>
      </c>
      <c r="O179" s="1">
        <f t="shared" ca="1" si="3"/>
        <v>150</v>
      </c>
      <c r="P179" s="4">
        <f t="shared" si="4"/>
        <v>46113</v>
      </c>
    </row>
    <row r="180" spans="1:16" x14ac:dyDescent="0.3">
      <c r="A180" s="1" t="s">
        <v>47</v>
      </c>
      <c r="B180" s="1" t="s">
        <v>17</v>
      </c>
      <c r="C180" s="1" t="s">
        <v>34</v>
      </c>
      <c r="D180" s="1" t="s">
        <v>39</v>
      </c>
      <c r="E180" s="1">
        <v>6</v>
      </c>
      <c r="F180" s="1">
        <v>10400</v>
      </c>
      <c r="G180" s="1">
        <v>2</v>
      </c>
      <c r="H180" s="2">
        <v>46155</v>
      </c>
      <c r="I180" s="2">
        <v>46158</v>
      </c>
      <c r="J180" s="1" t="s">
        <v>15</v>
      </c>
      <c r="K180" s="1">
        <v>1179</v>
      </c>
      <c r="L180" s="4">
        <f t="shared" ca="1" si="0"/>
        <v>46261</v>
      </c>
      <c r="M180" s="5">
        <f t="shared" ca="1" si="1"/>
        <v>46261.501276736111</v>
      </c>
      <c r="N180" s="1">
        <f t="shared" si="2"/>
        <v>3</v>
      </c>
      <c r="O180" s="1">
        <f t="shared" ca="1" si="3"/>
        <v>106</v>
      </c>
      <c r="P180" s="4">
        <f t="shared" si="4"/>
        <v>46113</v>
      </c>
    </row>
    <row r="181" spans="1:16" x14ac:dyDescent="0.3">
      <c r="A181" s="1" t="s">
        <v>40</v>
      </c>
      <c r="B181" s="1" t="s">
        <v>31</v>
      </c>
      <c r="C181" s="1" t="s">
        <v>18</v>
      </c>
      <c r="D181" s="1" t="s">
        <v>28</v>
      </c>
      <c r="E181" s="1">
        <v>2</v>
      </c>
      <c r="F181" s="1">
        <v>2076</v>
      </c>
      <c r="G181" s="1">
        <v>2</v>
      </c>
      <c r="H181" s="2">
        <v>46111</v>
      </c>
      <c r="I181" s="2">
        <v>46121</v>
      </c>
      <c r="J181" s="1" t="s">
        <v>29</v>
      </c>
      <c r="K181" s="1">
        <v>1180</v>
      </c>
      <c r="L181" s="4">
        <f t="shared" ca="1" si="0"/>
        <v>46261</v>
      </c>
      <c r="M181" s="5">
        <f t="shared" ca="1" si="1"/>
        <v>46261.501276736111</v>
      </c>
      <c r="N181" s="1">
        <f t="shared" si="2"/>
        <v>10</v>
      </c>
      <c r="O181" s="1">
        <f t="shared" ca="1" si="3"/>
        <v>150</v>
      </c>
      <c r="P181" s="4">
        <f t="shared" si="4"/>
        <v>46113</v>
      </c>
    </row>
    <row r="182" spans="1:16" x14ac:dyDescent="0.3">
      <c r="A182" s="1" t="s">
        <v>58</v>
      </c>
      <c r="B182" s="1" t="s">
        <v>33</v>
      </c>
      <c r="C182" s="1" t="s">
        <v>13</v>
      </c>
      <c r="D182" s="1" t="s">
        <v>36</v>
      </c>
      <c r="E182" s="1">
        <v>4</v>
      </c>
      <c r="F182" s="1">
        <v>357</v>
      </c>
      <c r="G182" s="1">
        <v>2</v>
      </c>
      <c r="H182" s="2">
        <v>46033</v>
      </c>
      <c r="I182" s="2">
        <v>46035</v>
      </c>
      <c r="J182" s="1" t="s">
        <v>15</v>
      </c>
      <c r="K182" s="1">
        <v>1181</v>
      </c>
      <c r="L182" s="4">
        <f t="shared" ca="1" si="0"/>
        <v>46261</v>
      </c>
      <c r="M182" s="5">
        <f t="shared" ca="1" si="1"/>
        <v>46261.501276736111</v>
      </c>
      <c r="N182" s="1">
        <f t="shared" si="2"/>
        <v>2</v>
      </c>
      <c r="O182" s="1">
        <f t="shared" ca="1" si="3"/>
        <v>228</v>
      </c>
      <c r="P182" s="4">
        <f t="shared" si="4"/>
        <v>46113</v>
      </c>
    </row>
    <row r="183" spans="1:16" x14ac:dyDescent="0.3">
      <c r="A183" s="1" t="s">
        <v>42</v>
      </c>
      <c r="B183" s="1" t="s">
        <v>12</v>
      </c>
      <c r="C183" s="1" t="s">
        <v>34</v>
      </c>
      <c r="D183" s="1" t="s">
        <v>39</v>
      </c>
      <c r="E183" s="1">
        <v>8</v>
      </c>
      <c r="F183" s="1">
        <v>66022</v>
      </c>
      <c r="G183" s="1">
        <v>12</v>
      </c>
      <c r="H183" s="2">
        <v>46108</v>
      </c>
      <c r="I183" s="2">
        <v>46114</v>
      </c>
      <c r="J183" s="1" t="s">
        <v>24</v>
      </c>
      <c r="K183" s="1">
        <v>1182</v>
      </c>
      <c r="L183" s="4">
        <f t="shared" ca="1" si="0"/>
        <v>46261</v>
      </c>
      <c r="M183" s="5">
        <f t="shared" ca="1" si="1"/>
        <v>46261.501276736111</v>
      </c>
      <c r="N183" s="1">
        <f t="shared" si="2"/>
        <v>6</v>
      </c>
      <c r="O183" s="1">
        <f t="shared" ca="1" si="3"/>
        <v>153</v>
      </c>
      <c r="P183" s="4">
        <f t="shared" si="4"/>
        <v>46113</v>
      </c>
    </row>
    <row r="184" spans="1:16" x14ac:dyDescent="0.3">
      <c r="A184" s="1" t="s">
        <v>52</v>
      </c>
      <c r="B184" s="1" t="s">
        <v>43</v>
      </c>
      <c r="C184" s="1" t="s">
        <v>13</v>
      </c>
      <c r="D184" s="1" t="s">
        <v>14</v>
      </c>
      <c r="E184" s="1">
        <v>2</v>
      </c>
      <c r="F184" s="1">
        <v>309</v>
      </c>
      <c r="G184" s="1">
        <v>2</v>
      </c>
      <c r="H184" s="2">
        <v>46109</v>
      </c>
      <c r="I184" s="2">
        <v>46111</v>
      </c>
      <c r="J184" s="1" t="s">
        <v>20</v>
      </c>
      <c r="K184" s="1">
        <v>1183</v>
      </c>
      <c r="L184" s="4">
        <f t="shared" ca="1" si="0"/>
        <v>46261</v>
      </c>
      <c r="M184" s="5">
        <f t="shared" ca="1" si="1"/>
        <v>46261.501276736111</v>
      </c>
      <c r="N184" s="1">
        <f t="shared" si="2"/>
        <v>2</v>
      </c>
      <c r="O184" s="1">
        <f t="shared" ca="1" si="3"/>
        <v>152</v>
      </c>
      <c r="P184" s="4">
        <f t="shared" si="4"/>
        <v>46113</v>
      </c>
    </row>
    <row r="185" spans="1:16" x14ac:dyDescent="0.3">
      <c r="A185" s="1" t="s">
        <v>40</v>
      </c>
      <c r="B185" s="1" t="s">
        <v>31</v>
      </c>
      <c r="C185" s="1" t="s">
        <v>34</v>
      </c>
      <c r="D185" s="1" t="s">
        <v>39</v>
      </c>
      <c r="E185" s="1">
        <v>12</v>
      </c>
      <c r="F185" s="1">
        <v>50517</v>
      </c>
      <c r="G185" s="1">
        <v>15</v>
      </c>
      <c r="H185" s="2">
        <v>46145</v>
      </c>
      <c r="I185" s="2">
        <v>46153</v>
      </c>
      <c r="J185" s="1" t="s">
        <v>29</v>
      </c>
      <c r="K185" s="1">
        <v>1184</v>
      </c>
      <c r="L185" s="4">
        <f t="shared" ca="1" si="0"/>
        <v>46261</v>
      </c>
      <c r="M185" s="5">
        <f t="shared" ca="1" si="1"/>
        <v>46261.501276736111</v>
      </c>
      <c r="N185" s="1">
        <f t="shared" si="2"/>
        <v>8</v>
      </c>
      <c r="O185" s="1">
        <f t="shared" ca="1" si="3"/>
        <v>116</v>
      </c>
      <c r="P185" s="4">
        <f t="shared" si="4"/>
        <v>46113</v>
      </c>
    </row>
    <row r="186" spans="1:16" x14ac:dyDescent="0.3">
      <c r="A186" s="1" t="s">
        <v>58</v>
      </c>
      <c r="B186" s="1" t="s">
        <v>22</v>
      </c>
      <c r="C186" s="1" t="s">
        <v>34</v>
      </c>
      <c r="D186" s="1" t="s">
        <v>60</v>
      </c>
      <c r="E186" s="1">
        <v>16</v>
      </c>
      <c r="F186" s="1">
        <v>15536</v>
      </c>
      <c r="G186" s="1">
        <v>2</v>
      </c>
      <c r="H186" s="2">
        <v>46153</v>
      </c>
      <c r="I186" s="2">
        <v>46156</v>
      </c>
      <c r="J186" s="1" t="s">
        <v>15</v>
      </c>
      <c r="K186" s="1">
        <v>1185</v>
      </c>
      <c r="L186" s="4">
        <f t="shared" ca="1" si="0"/>
        <v>46261</v>
      </c>
      <c r="M186" s="5">
        <f t="shared" ca="1" si="1"/>
        <v>46261.501276736111</v>
      </c>
      <c r="N186" s="1">
        <f t="shared" si="2"/>
        <v>3</v>
      </c>
      <c r="O186" s="1">
        <f t="shared" ca="1" si="3"/>
        <v>108</v>
      </c>
      <c r="P186" s="4">
        <f t="shared" si="4"/>
        <v>46113</v>
      </c>
    </row>
    <row r="187" spans="1:16" x14ac:dyDescent="0.3">
      <c r="A187" s="1" t="s">
        <v>16</v>
      </c>
      <c r="B187" s="1" t="s">
        <v>25</v>
      </c>
      <c r="C187" s="1" t="s">
        <v>18</v>
      </c>
      <c r="D187" s="1" t="s">
        <v>44</v>
      </c>
      <c r="E187" s="1">
        <v>10</v>
      </c>
      <c r="F187" s="1">
        <v>14951</v>
      </c>
      <c r="G187" s="1">
        <v>2</v>
      </c>
      <c r="H187" s="2">
        <v>46188</v>
      </c>
      <c r="I187" s="2">
        <v>46196</v>
      </c>
      <c r="J187" s="1" t="s">
        <v>24</v>
      </c>
      <c r="K187" s="1">
        <v>1186</v>
      </c>
      <c r="L187" s="4">
        <f t="shared" ca="1" si="0"/>
        <v>46261</v>
      </c>
      <c r="M187" s="5">
        <f t="shared" ca="1" si="1"/>
        <v>46261.501276736111</v>
      </c>
      <c r="N187" s="1">
        <f t="shared" si="2"/>
        <v>8</v>
      </c>
      <c r="O187" s="1">
        <f t="shared" ca="1" si="3"/>
        <v>73</v>
      </c>
      <c r="P187" s="4">
        <f t="shared" si="4"/>
        <v>46113</v>
      </c>
    </row>
    <row r="188" spans="1:16" x14ac:dyDescent="0.3">
      <c r="A188" s="1" t="s">
        <v>54</v>
      </c>
      <c r="B188" s="1" t="s">
        <v>22</v>
      </c>
      <c r="C188" s="1" t="s">
        <v>34</v>
      </c>
      <c r="D188" s="1" t="s">
        <v>45</v>
      </c>
      <c r="E188" s="1">
        <v>18</v>
      </c>
      <c r="F188" s="1">
        <v>68527</v>
      </c>
      <c r="G188" s="1">
        <v>12</v>
      </c>
      <c r="H188" s="2">
        <v>46178</v>
      </c>
      <c r="I188" s="2">
        <v>46184</v>
      </c>
      <c r="J188" s="1" t="s">
        <v>51</v>
      </c>
      <c r="K188" s="1">
        <v>1187</v>
      </c>
      <c r="L188" s="4">
        <f t="shared" ca="1" si="0"/>
        <v>46261</v>
      </c>
      <c r="M188" s="5">
        <f t="shared" ca="1" si="1"/>
        <v>46261.501276736111</v>
      </c>
      <c r="N188" s="1">
        <f t="shared" si="2"/>
        <v>6</v>
      </c>
      <c r="O188" s="1">
        <f t="shared" ca="1" si="3"/>
        <v>83</v>
      </c>
      <c r="P188" s="4">
        <f t="shared" si="4"/>
        <v>46113</v>
      </c>
    </row>
    <row r="189" spans="1:16" x14ac:dyDescent="0.3">
      <c r="A189" s="1" t="s">
        <v>29</v>
      </c>
      <c r="B189" s="1" t="s">
        <v>22</v>
      </c>
      <c r="C189" s="1" t="s">
        <v>18</v>
      </c>
      <c r="D189" s="1" t="s">
        <v>56</v>
      </c>
      <c r="E189" s="1">
        <v>6</v>
      </c>
      <c r="F189" s="1">
        <v>10368</v>
      </c>
      <c r="G189" s="1">
        <v>7</v>
      </c>
      <c r="H189" s="2">
        <v>46137</v>
      </c>
      <c r="I189" s="2">
        <v>46142</v>
      </c>
      <c r="J189" s="1" t="s">
        <v>15</v>
      </c>
      <c r="K189" s="1">
        <v>1188</v>
      </c>
      <c r="L189" s="4">
        <f t="shared" ca="1" si="0"/>
        <v>46261</v>
      </c>
      <c r="M189" s="5">
        <f t="shared" ca="1" si="1"/>
        <v>46261.501276736111</v>
      </c>
      <c r="N189" s="1">
        <f t="shared" si="2"/>
        <v>5</v>
      </c>
      <c r="O189" s="1">
        <f t="shared" ca="1" si="3"/>
        <v>124</v>
      </c>
      <c r="P189" s="4">
        <f t="shared" si="4"/>
        <v>46113</v>
      </c>
    </row>
    <row r="190" spans="1:16" x14ac:dyDescent="0.3">
      <c r="A190" s="1" t="s">
        <v>49</v>
      </c>
      <c r="B190" s="1" t="s">
        <v>31</v>
      </c>
      <c r="C190" s="1" t="s">
        <v>18</v>
      </c>
      <c r="D190" s="1" t="s">
        <v>56</v>
      </c>
      <c r="E190" s="1">
        <v>12</v>
      </c>
      <c r="F190" s="1">
        <v>8327</v>
      </c>
      <c r="G190" s="1">
        <v>10</v>
      </c>
      <c r="H190" s="2">
        <v>46184</v>
      </c>
      <c r="I190" s="2">
        <v>46185</v>
      </c>
      <c r="J190" s="1" t="s">
        <v>29</v>
      </c>
      <c r="K190" s="1">
        <v>1189</v>
      </c>
      <c r="L190" s="4">
        <f t="shared" ca="1" si="0"/>
        <v>46261</v>
      </c>
      <c r="M190" s="5">
        <f t="shared" ca="1" si="1"/>
        <v>46261.501276736111</v>
      </c>
      <c r="N190" s="1">
        <f t="shared" si="2"/>
        <v>1</v>
      </c>
      <c r="O190" s="1">
        <f t="shared" ca="1" si="3"/>
        <v>77</v>
      </c>
      <c r="P190" s="4">
        <f t="shared" si="4"/>
        <v>46113</v>
      </c>
    </row>
    <row r="191" spans="1:16" x14ac:dyDescent="0.3">
      <c r="A191" s="1" t="s">
        <v>57</v>
      </c>
      <c r="B191" s="1" t="s">
        <v>17</v>
      </c>
      <c r="C191" s="1" t="s">
        <v>18</v>
      </c>
      <c r="D191" s="1" t="s">
        <v>28</v>
      </c>
      <c r="E191" s="1">
        <v>4</v>
      </c>
      <c r="F191" s="1">
        <v>10154</v>
      </c>
      <c r="G191" s="1">
        <v>7</v>
      </c>
      <c r="H191" s="2">
        <v>46052</v>
      </c>
      <c r="I191" s="2">
        <v>46062</v>
      </c>
      <c r="J191" s="1" t="s">
        <v>20</v>
      </c>
      <c r="K191" s="1">
        <v>1190</v>
      </c>
      <c r="L191" s="4">
        <f t="shared" ca="1" si="0"/>
        <v>46261</v>
      </c>
      <c r="M191" s="5">
        <f t="shared" ca="1" si="1"/>
        <v>46261.501276736111</v>
      </c>
      <c r="N191" s="1">
        <f t="shared" si="2"/>
        <v>10</v>
      </c>
      <c r="O191" s="1">
        <f t="shared" ca="1" si="3"/>
        <v>209</v>
      </c>
      <c r="P191" s="4">
        <f t="shared" si="4"/>
        <v>46113</v>
      </c>
    </row>
    <row r="192" spans="1:16" x14ac:dyDescent="0.3">
      <c r="A192" s="1" t="s">
        <v>52</v>
      </c>
      <c r="B192" s="1" t="s">
        <v>33</v>
      </c>
      <c r="C192" s="1" t="s">
        <v>18</v>
      </c>
      <c r="D192" s="1" t="s">
        <v>56</v>
      </c>
      <c r="E192" s="1">
        <v>9</v>
      </c>
      <c r="F192" s="1">
        <v>8631</v>
      </c>
      <c r="G192" s="1">
        <v>10</v>
      </c>
      <c r="H192" s="2">
        <v>46149</v>
      </c>
      <c r="I192" s="2">
        <v>46156</v>
      </c>
      <c r="J192" s="1" t="s">
        <v>20</v>
      </c>
      <c r="K192" s="1">
        <v>1191</v>
      </c>
      <c r="L192" s="4">
        <f t="shared" ca="1" si="0"/>
        <v>46261</v>
      </c>
      <c r="M192" s="5">
        <f t="shared" ca="1" si="1"/>
        <v>46261.501276736111</v>
      </c>
      <c r="N192" s="1">
        <f t="shared" si="2"/>
        <v>7</v>
      </c>
      <c r="O192" s="1">
        <f t="shared" ca="1" si="3"/>
        <v>112</v>
      </c>
      <c r="P192" s="4">
        <f t="shared" si="4"/>
        <v>46113</v>
      </c>
    </row>
    <row r="193" spans="1:16" x14ac:dyDescent="0.3">
      <c r="A193" s="1" t="s">
        <v>21</v>
      </c>
      <c r="B193" s="1" t="s">
        <v>33</v>
      </c>
      <c r="C193" s="1" t="s">
        <v>13</v>
      </c>
      <c r="D193" s="1" t="s">
        <v>53</v>
      </c>
      <c r="E193" s="1">
        <v>18</v>
      </c>
      <c r="F193" s="1">
        <v>49</v>
      </c>
      <c r="G193" s="1">
        <v>12</v>
      </c>
      <c r="H193" s="2">
        <v>46089</v>
      </c>
      <c r="I193" s="2">
        <v>46095</v>
      </c>
      <c r="J193" s="1" t="s">
        <v>24</v>
      </c>
      <c r="K193" s="1">
        <v>1192</v>
      </c>
      <c r="L193" s="4">
        <f t="shared" ca="1" si="0"/>
        <v>46261</v>
      </c>
      <c r="M193" s="5">
        <f t="shared" ca="1" si="1"/>
        <v>46261.501276736111</v>
      </c>
      <c r="N193" s="1">
        <f t="shared" si="2"/>
        <v>6</v>
      </c>
      <c r="O193" s="1">
        <f t="shared" ca="1" si="3"/>
        <v>172</v>
      </c>
      <c r="P193" s="4">
        <f t="shared" si="4"/>
        <v>46113</v>
      </c>
    </row>
    <row r="194" spans="1:16" x14ac:dyDescent="0.3">
      <c r="A194" s="1" t="s">
        <v>57</v>
      </c>
      <c r="B194" s="1" t="s">
        <v>12</v>
      </c>
      <c r="C194" s="1" t="s">
        <v>18</v>
      </c>
      <c r="D194" s="1" t="s">
        <v>23</v>
      </c>
      <c r="E194" s="1">
        <v>19</v>
      </c>
      <c r="F194" s="1">
        <v>2699</v>
      </c>
      <c r="G194" s="1">
        <v>7</v>
      </c>
      <c r="H194" s="2">
        <v>46110</v>
      </c>
      <c r="I194" s="2">
        <v>46112</v>
      </c>
      <c r="J194" s="1" t="s">
        <v>29</v>
      </c>
      <c r="K194" s="1">
        <v>1193</v>
      </c>
      <c r="L194" s="4">
        <f t="shared" ca="1" si="0"/>
        <v>46261</v>
      </c>
      <c r="M194" s="5">
        <f t="shared" ca="1" si="1"/>
        <v>46261.501276736111</v>
      </c>
      <c r="N194" s="1">
        <f t="shared" si="2"/>
        <v>2</v>
      </c>
      <c r="O194" s="1">
        <f t="shared" ca="1" si="3"/>
        <v>151</v>
      </c>
      <c r="P194" s="4">
        <f t="shared" si="4"/>
        <v>46113</v>
      </c>
    </row>
    <row r="195" spans="1:16" x14ac:dyDescent="0.3">
      <c r="A195" s="1" t="s">
        <v>57</v>
      </c>
      <c r="B195" s="1" t="s">
        <v>43</v>
      </c>
      <c r="C195" s="1" t="s">
        <v>18</v>
      </c>
      <c r="D195" s="1" t="s">
        <v>28</v>
      </c>
      <c r="E195" s="1">
        <v>13</v>
      </c>
      <c r="F195" s="1">
        <v>12856</v>
      </c>
      <c r="G195" s="1">
        <v>15</v>
      </c>
      <c r="H195" s="2">
        <v>46129</v>
      </c>
      <c r="I195" s="2">
        <v>46133</v>
      </c>
      <c r="J195" s="1" t="s">
        <v>51</v>
      </c>
      <c r="K195" s="1">
        <v>1194</v>
      </c>
      <c r="L195" s="4">
        <f t="shared" ca="1" si="0"/>
        <v>46261</v>
      </c>
      <c r="M195" s="5">
        <f t="shared" ca="1" si="1"/>
        <v>46261.501276736111</v>
      </c>
      <c r="N195" s="1">
        <f t="shared" si="2"/>
        <v>4</v>
      </c>
      <c r="O195" s="1">
        <f t="shared" ca="1" si="3"/>
        <v>132</v>
      </c>
      <c r="P195" s="4">
        <f t="shared" si="4"/>
        <v>46113</v>
      </c>
    </row>
    <row r="196" spans="1:16" x14ac:dyDescent="0.3">
      <c r="A196" s="1" t="s">
        <v>59</v>
      </c>
      <c r="B196" s="1" t="s">
        <v>17</v>
      </c>
      <c r="C196" s="1" t="s">
        <v>13</v>
      </c>
      <c r="D196" s="1" t="s">
        <v>50</v>
      </c>
      <c r="E196" s="1">
        <v>19</v>
      </c>
      <c r="F196" s="1">
        <v>313</v>
      </c>
      <c r="G196" s="1">
        <v>2</v>
      </c>
      <c r="H196" s="2">
        <v>46198</v>
      </c>
      <c r="I196" s="2">
        <v>46206</v>
      </c>
      <c r="J196" s="1" t="s">
        <v>51</v>
      </c>
      <c r="K196" s="1">
        <v>1195</v>
      </c>
      <c r="L196" s="4">
        <f t="shared" ca="1" si="0"/>
        <v>46261</v>
      </c>
      <c r="M196" s="5">
        <f t="shared" ca="1" si="1"/>
        <v>46261.501276736111</v>
      </c>
      <c r="N196" s="1">
        <f t="shared" si="2"/>
        <v>8</v>
      </c>
      <c r="O196" s="1">
        <f t="shared" ca="1" si="3"/>
        <v>63</v>
      </c>
      <c r="P196" s="4">
        <f t="shared" si="4"/>
        <v>46113</v>
      </c>
    </row>
    <row r="197" spans="1:16" x14ac:dyDescent="0.3">
      <c r="A197" s="1" t="s">
        <v>48</v>
      </c>
      <c r="B197" s="1" t="s">
        <v>22</v>
      </c>
      <c r="C197" s="1" t="s">
        <v>34</v>
      </c>
      <c r="D197" s="1" t="s">
        <v>35</v>
      </c>
      <c r="E197" s="1">
        <v>20</v>
      </c>
      <c r="F197" s="1">
        <v>3172</v>
      </c>
      <c r="G197" s="1">
        <v>5</v>
      </c>
      <c r="H197" s="2">
        <v>46155</v>
      </c>
      <c r="I197" s="2">
        <v>46159</v>
      </c>
      <c r="J197" s="1" t="s">
        <v>20</v>
      </c>
      <c r="K197" s="1">
        <v>1196</v>
      </c>
      <c r="L197" s="4">
        <f t="shared" ca="1" si="0"/>
        <v>46261</v>
      </c>
      <c r="M197" s="5">
        <f t="shared" ca="1" si="1"/>
        <v>46261.501276736111</v>
      </c>
      <c r="N197" s="1">
        <f t="shared" si="2"/>
        <v>4</v>
      </c>
      <c r="O197" s="1">
        <f t="shared" ca="1" si="3"/>
        <v>106</v>
      </c>
      <c r="P197" s="4">
        <f t="shared" si="4"/>
        <v>46113</v>
      </c>
    </row>
    <row r="198" spans="1:16" x14ac:dyDescent="0.3">
      <c r="A198" s="1" t="s">
        <v>52</v>
      </c>
      <c r="B198" s="1" t="s">
        <v>31</v>
      </c>
      <c r="C198" s="1" t="s">
        <v>34</v>
      </c>
      <c r="D198" s="1" t="s">
        <v>35</v>
      </c>
      <c r="E198" s="1">
        <v>5</v>
      </c>
      <c r="F198" s="1">
        <v>45352</v>
      </c>
      <c r="G198" s="1">
        <v>12</v>
      </c>
      <c r="H198" s="2">
        <v>46045</v>
      </c>
      <c r="I198" s="2">
        <v>46048</v>
      </c>
      <c r="J198" s="1" t="s">
        <v>15</v>
      </c>
      <c r="K198" s="1">
        <v>1197</v>
      </c>
      <c r="L198" s="4">
        <f t="shared" ca="1" si="0"/>
        <v>46261</v>
      </c>
      <c r="M198" s="5">
        <f t="shared" ca="1" si="1"/>
        <v>46261.501276736111</v>
      </c>
      <c r="N198" s="1">
        <f t="shared" si="2"/>
        <v>3</v>
      </c>
      <c r="O198" s="1">
        <f t="shared" ca="1" si="3"/>
        <v>216</v>
      </c>
      <c r="P198" s="4">
        <f t="shared" si="4"/>
        <v>46113</v>
      </c>
    </row>
    <row r="199" spans="1:16" x14ac:dyDescent="0.3">
      <c r="A199" s="1" t="s">
        <v>58</v>
      </c>
      <c r="B199" s="1" t="s">
        <v>12</v>
      </c>
      <c r="C199" s="1" t="s">
        <v>13</v>
      </c>
      <c r="D199" s="1" t="s">
        <v>14</v>
      </c>
      <c r="E199" s="1">
        <v>12</v>
      </c>
      <c r="F199" s="1">
        <v>491</v>
      </c>
      <c r="G199" s="1">
        <v>2</v>
      </c>
      <c r="H199" s="2">
        <v>46106</v>
      </c>
      <c r="I199" s="2">
        <v>46109</v>
      </c>
      <c r="J199" s="1" t="s">
        <v>51</v>
      </c>
      <c r="K199" s="1">
        <v>1198</v>
      </c>
      <c r="L199" s="4">
        <f t="shared" ca="1" si="0"/>
        <v>46261</v>
      </c>
      <c r="M199" s="5">
        <f t="shared" ca="1" si="1"/>
        <v>46261.501276736111</v>
      </c>
      <c r="N199" s="1">
        <f t="shared" si="2"/>
        <v>3</v>
      </c>
      <c r="O199" s="1">
        <f t="shared" ca="1" si="3"/>
        <v>155</v>
      </c>
      <c r="P199" s="4">
        <f t="shared" si="4"/>
        <v>46113</v>
      </c>
    </row>
    <row r="200" spans="1:16" x14ac:dyDescent="0.3">
      <c r="A200" s="1" t="s">
        <v>11</v>
      </c>
      <c r="B200" s="1" t="s">
        <v>25</v>
      </c>
      <c r="C200" s="1" t="s">
        <v>34</v>
      </c>
      <c r="D200" s="1" t="s">
        <v>45</v>
      </c>
      <c r="E200" s="1">
        <v>2</v>
      </c>
      <c r="F200" s="1">
        <v>4375</v>
      </c>
      <c r="G200" s="1">
        <v>7</v>
      </c>
      <c r="H200" s="2">
        <v>46178</v>
      </c>
      <c r="I200" s="2">
        <v>46180</v>
      </c>
      <c r="J200" s="1" t="s">
        <v>24</v>
      </c>
      <c r="K200" s="1">
        <v>1199</v>
      </c>
      <c r="L200" s="4">
        <f t="shared" ca="1" si="0"/>
        <v>46261</v>
      </c>
      <c r="M200" s="5">
        <f t="shared" ca="1" si="1"/>
        <v>46261.501276736111</v>
      </c>
      <c r="N200" s="1">
        <f t="shared" si="2"/>
        <v>2</v>
      </c>
      <c r="O200" s="1">
        <f t="shared" ca="1" si="3"/>
        <v>83</v>
      </c>
      <c r="P200" s="4">
        <f t="shared" si="4"/>
        <v>46113</v>
      </c>
    </row>
    <row r="201" spans="1:16" x14ac:dyDescent="0.3">
      <c r="A201" s="1" t="s">
        <v>29</v>
      </c>
      <c r="B201" s="1" t="s">
        <v>31</v>
      </c>
      <c r="C201" s="1" t="s">
        <v>34</v>
      </c>
      <c r="D201" s="1" t="s">
        <v>45</v>
      </c>
      <c r="E201" s="1">
        <v>13</v>
      </c>
      <c r="F201" s="1">
        <v>69422</v>
      </c>
      <c r="G201" s="1">
        <v>0</v>
      </c>
      <c r="H201" s="2">
        <v>46134</v>
      </c>
      <c r="I201" s="2">
        <v>46143</v>
      </c>
      <c r="J201" s="1" t="s">
        <v>29</v>
      </c>
      <c r="K201" s="1">
        <v>1200</v>
      </c>
      <c r="L201" s="4">
        <f t="shared" ca="1" si="0"/>
        <v>46261</v>
      </c>
      <c r="M201" s="5">
        <f t="shared" ca="1" si="1"/>
        <v>46261.501276736111</v>
      </c>
      <c r="N201" s="1">
        <f t="shared" si="2"/>
        <v>9</v>
      </c>
      <c r="O201" s="1">
        <f t="shared" ca="1" si="3"/>
        <v>127</v>
      </c>
      <c r="P201" s="4">
        <f t="shared" si="4"/>
        <v>46113</v>
      </c>
    </row>
    <row r="202" spans="1:16" x14ac:dyDescent="0.3">
      <c r="A202" s="1" t="s">
        <v>54</v>
      </c>
      <c r="B202" s="1" t="s">
        <v>31</v>
      </c>
      <c r="C202" s="1" t="s">
        <v>13</v>
      </c>
      <c r="D202" s="1" t="s">
        <v>53</v>
      </c>
      <c r="E202" s="1">
        <v>18</v>
      </c>
      <c r="F202" s="1">
        <v>139</v>
      </c>
      <c r="G202" s="1">
        <v>12</v>
      </c>
      <c r="H202" s="2">
        <v>46075</v>
      </c>
      <c r="I202" s="2">
        <v>46076</v>
      </c>
      <c r="J202" s="1" t="s">
        <v>20</v>
      </c>
      <c r="K202" s="1">
        <v>1201</v>
      </c>
      <c r="L202" s="4">
        <f t="shared" ca="1" si="0"/>
        <v>46261</v>
      </c>
      <c r="M202" s="5">
        <f t="shared" ca="1" si="1"/>
        <v>46261.501276736111</v>
      </c>
      <c r="N202" s="1">
        <f t="shared" si="2"/>
        <v>1</v>
      </c>
      <c r="O202" s="1">
        <f t="shared" ca="1" si="3"/>
        <v>186</v>
      </c>
      <c r="P202" s="4">
        <f t="shared" si="4"/>
        <v>46113</v>
      </c>
    </row>
    <row r="203" spans="1:16" x14ac:dyDescent="0.3">
      <c r="A203" s="1" t="s">
        <v>57</v>
      </c>
      <c r="B203" s="1" t="s">
        <v>22</v>
      </c>
      <c r="C203" s="1" t="s">
        <v>34</v>
      </c>
      <c r="D203" s="1" t="s">
        <v>35</v>
      </c>
      <c r="E203" s="1">
        <v>2</v>
      </c>
      <c r="F203" s="1">
        <v>20312</v>
      </c>
      <c r="G203" s="1">
        <v>12</v>
      </c>
      <c r="H203" s="2">
        <v>46082</v>
      </c>
      <c r="I203" s="2">
        <v>46091</v>
      </c>
      <c r="J203" s="1" t="s">
        <v>15</v>
      </c>
      <c r="K203" s="1">
        <v>1202</v>
      </c>
      <c r="L203" s="4">
        <f t="shared" ca="1" si="0"/>
        <v>46261</v>
      </c>
      <c r="M203" s="5">
        <f t="shared" ca="1" si="1"/>
        <v>46261.501276736111</v>
      </c>
      <c r="N203" s="1">
        <f t="shared" si="2"/>
        <v>9</v>
      </c>
      <c r="O203" s="1">
        <f t="shared" ca="1" si="3"/>
        <v>179</v>
      </c>
      <c r="P203" s="4">
        <f t="shared" si="4"/>
        <v>46113</v>
      </c>
    </row>
    <row r="204" spans="1:16" x14ac:dyDescent="0.3">
      <c r="A204" s="1" t="s">
        <v>40</v>
      </c>
      <c r="B204" s="1" t="s">
        <v>22</v>
      </c>
      <c r="C204" s="1" t="s">
        <v>18</v>
      </c>
      <c r="D204" s="1" t="s">
        <v>23</v>
      </c>
      <c r="E204" s="1">
        <v>17</v>
      </c>
      <c r="F204" s="1">
        <v>6695</v>
      </c>
      <c r="G204" s="1">
        <v>2</v>
      </c>
      <c r="H204" s="2">
        <v>46119</v>
      </c>
      <c r="I204" s="2">
        <v>46122</v>
      </c>
      <c r="J204" s="1" t="s">
        <v>51</v>
      </c>
      <c r="K204" s="1">
        <v>1203</v>
      </c>
      <c r="L204" s="4">
        <f t="shared" ca="1" si="0"/>
        <v>46261</v>
      </c>
      <c r="M204" s="5">
        <f t="shared" ca="1" si="1"/>
        <v>46261.501276736111</v>
      </c>
      <c r="N204" s="1">
        <f t="shared" si="2"/>
        <v>3</v>
      </c>
      <c r="O204" s="1">
        <f t="shared" ca="1" si="3"/>
        <v>142</v>
      </c>
      <c r="P204" s="4">
        <f t="shared" si="4"/>
        <v>46113</v>
      </c>
    </row>
    <row r="205" spans="1:16" x14ac:dyDescent="0.3">
      <c r="A205" s="1" t="s">
        <v>16</v>
      </c>
      <c r="B205" s="1" t="s">
        <v>31</v>
      </c>
      <c r="C205" s="1" t="s">
        <v>13</v>
      </c>
      <c r="D205" s="1" t="s">
        <v>37</v>
      </c>
      <c r="E205" s="1">
        <v>13</v>
      </c>
      <c r="F205" s="1">
        <v>416</v>
      </c>
      <c r="G205" s="1">
        <v>10</v>
      </c>
      <c r="H205" s="2">
        <v>46123</v>
      </c>
      <c r="I205" s="2">
        <v>46132</v>
      </c>
      <c r="J205" s="1" t="s">
        <v>20</v>
      </c>
      <c r="K205" s="1">
        <v>1204</v>
      </c>
      <c r="L205" s="4">
        <f t="shared" ca="1" si="0"/>
        <v>46261</v>
      </c>
      <c r="M205" s="5">
        <f t="shared" ca="1" si="1"/>
        <v>46261.501276736111</v>
      </c>
      <c r="N205" s="1">
        <f t="shared" si="2"/>
        <v>9</v>
      </c>
      <c r="O205" s="1">
        <f t="shared" ca="1" si="3"/>
        <v>138</v>
      </c>
      <c r="P205" s="4">
        <f t="shared" si="4"/>
        <v>46113</v>
      </c>
    </row>
    <row r="206" spans="1:16" x14ac:dyDescent="0.3">
      <c r="A206" s="1" t="s">
        <v>21</v>
      </c>
      <c r="B206" s="1" t="s">
        <v>38</v>
      </c>
      <c r="C206" s="1" t="s">
        <v>13</v>
      </c>
      <c r="D206" s="1" t="s">
        <v>36</v>
      </c>
      <c r="E206" s="1">
        <v>1</v>
      </c>
      <c r="F206" s="1">
        <v>112</v>
      </c>
      <c r="G206" s="1">
        <v>7</v>
      </c>
      <c r="H206" s="2">
        <v>46033</v>
      </c>
      <c r="I206" s="2">
        <v>46040</v>
      </c>
      <c r="J206" s="1" t="s">
        <v>51</v>
      </c>
      <c r="K206" s="1">
        <v>1205</v>
      </c>
      <c r="L206" s="4">
        <f t="shared" ca="1" si="0"/>
        <v>46261</v>
      </c>
      <c r="M206" s="5">
        <f t="shared" ca="1" si="1"/>
        <v>46261.501276736111</v>
      </c>
      <c r="N206" s="1">
        <f t="shared" si="2"/>
        <v>7</v>
      </c>
      <c r="O206" s="1">
        <f t="shared" ca="1" si="3"/>
        <v>228</v>
      </c>
      <c r="P206" s="4">
        <f t="shared" si="4"/>
        <v>46113</v>
      </c>
    </row>
    <row r="207" spans="1:16" x14ac:dyDescent="0.3">
      <c r="A207" s="1" t="s">
        <v>55</v>
      </c>
      <c r="B207" s="1" t="s">
        <v>33</v>
      </c>
      <c r="C207" s="1" t="s">
        <v>13</v>
      </c>
      <c r="D207" s="1" t="s">
        <v>14</v>
      </c>
      <c r="E207" s="1">
        <v>9</v>
      </c>
      <c r="F207" s="1">
        <v>60</v>
      </c>
      <c r="G207" s="1">
        <v>0</v>
      </c>
      <c r="H207" s="2">
        <v>46166</v>
      </c>
      <c r="I207" s="2">
        <v>46174</v>
      </c>
      <c r="J207" s="1" t="s">
        <v>15</v>
      </c>
      <c r="K207" s="1">
        <v>1206</v>
      </c>
      <c r="L207" s="4">
        <f t="shared" ca="1" si="0"/>
        <v>46261</v>
      </c>
      <c r="M207" s="5">
        <f t="shared" ca="1" si="1"/>
        <v>46261.501276736111</v>
      </c>
      <c r="N207" s="1">
        <f t="shared" si="2"/>
        <v>8</v>
      </c>
      <c r="O207" s="1">
        <f t="shared" ca="1" si="3"/>
        <v>95</v>
      </c>
      <c r="P207" s="4">
        <f t="shared" si="4"/>
        <v>46113</v>
      </c>
    </row>
    <row r="208" spans="1:16" x14ac:dyDescent="0.3">
      <c r="A208" s="1" t="s">
        <v>55</v>
      </c>
      <c r="B208" s="1" t="s">
        <v>25</v>
      </c>
      <c r="C208" s="1" t="s">
        <v>13</v>
      </c>
      <c r="D208" s="1" t="s">
        <v>53</v>
      </c>
      <c r="E208" s="1">
        <v>7</v>
      </c>
      <c r="F208" s="1">
        <v>244</v>
      </c>
      <c r="G208" s="1">
        <v>2</v>
      </c>
      <c r="H208" s="2">
        <v>46164</v>
      </c>
      <c r="I208" s="2">
        <v>46173</v>
      </c>
      <c r="J208" s="1" t="s">
        <v>24</v>
      </c>
      <c r="K208" s="1">
        <v>1207</v>
      </c>
      <c r="L208" s="4">
        <f t="shared" ca="1" si="0"/>
        <v>46261</v>
      </c>
      <c r="M208" s="5">
        <f t="shared" ca="1" si="1"/>
        <v>46261.501276736111</v>
      </c>
      <c r="N208" s="1">
        <f t="shared" si="2"/>
        <v>9</v>
      </c>
      <c r="O208" s="1">
        <f t="shared" ca="1" si="3"/>
        <v>97</v>
      </c>
      <c r="P208" s="4">
        <f t="shared" si="4"/>
        <v>46113</v>
      </c>
    </row>
    <row r="209" spans="1:16" x14ac:dyDescent="0.3">
      <c r="A209" s="1" t="s">
        <v>54</v>
      </c>
      <c r="B209" s="1" t="s">
        <v>43</v>
      </c>
      <c r="C209" s="1" t="s">
        <v>18</v>
      </c>
      <c r="D209" s="1" t="s">
        <v>44</v>
      </c>
      <c r="E209" s="1">
        <v>6</v>
      </c>
      <c r="F209" s="1">
        <v>7627</v>
      </c>
      <c r="G209" s="1">
        <v>10</v>
      </c>
      <c r="H209" s="2">
        <v>46042</v>
      </c>
      <c r="I209" s="2">
        <v>46047</v>
      </c>
      <c r="J209" s="1" t="s">
        <v>20</v>
      </c>
      <c r="K209" s="1">
        <v>1208</v>
      </c>
      <c r="L209" s="4">
        <f t="shared" ca="1" si="0"/>
        <v>46261</v>
      </c>
      <c r="M209" s="5">
        <f t="shared" ca="1" si="1"/>
        <v>46261.501276736111</v>
      </c>
      <c r="N209" s="1">
        <f t="shared" si="2"/>
        <v>5</v>
      </c>
      <c r="O209" s="1">
        <f t="shared" ca="1" si="3"/>
        <v>219</v>
      </c>
      <c r="P209" s="4">
        <f t="shared" si="4"/>
        <v>46113</v>
      </c>
    </row>
    <row r="210" spans="1:16" x14ac:dyDescent="0.3">
      <c r="A210" s="1" t="s">
        <v>48</v>
      </c>
      <c r="B210" s="1" t="s">
        <v>38</v>
      </c>
      <c r="C210" s="1" t="s">
        <v>34</v>
      </c>
      <c r="D210" s="1" t="s">
        <v>35</v>
      </c>
      <c r="E210" s="1">
        <v>19</v>
      </c>
      <c r="F210" s="1">
        <v>20284</v>
      </c>
      <c r="G210" s="1">
        <v>10</v>
      </c>
      <c r="H210" s="2">
        <v>46103</v>
      </c>
      <c r="I210" s="2">
        <v>46110</v>
      </c>
      <c r="J210" s="1" t="s">
        <v>20</v>
      </c>
      <c r="K210" s="1">
        <v>1209</v>
      </c>
      <c r="L210" s="4">
        <f t="shared" ca="1" si="0"/>
        <v>46261</v>
      </c>
      <c r="M210" s="5">
        <f t="shared" ca="1" si="1"/>
        <v>46261.501276736111</v>
      </c>
      <c r="N210" s="1">
        <f t="shared" si="2"/>
        <v>7</v>
      </c>
      <c r="O210" s="1">
        <f t="shared" ca="1" si="3"/>
        <v>158</v>
      </c>
      <c r="P210" s="4">
        <f t="shared" si="4"/>
        <v>46113</v>
      </c>
    </row>
    <row r="211" spans="1:16" x14ac:dyDescent="0.3">
      <c r="A211" s="1" t="s">
        <v>30</v>
      </c>
      <c r="B211" s="1" t="s">
        <v>31</v>
      </c>
      <c r="C211" s="1" t="s">
        <v>13</v>
      </c>
      <c r="D211" s="1" t="s">
        <v>53</v>
      </c>
      <c r="E211" s="1">
        <v>10</v>
      </c>
      <c r="F211" s="1">
        <v>349</v>
      </c>
      <c r="G211" s="1">
        <v>0</v>
      </c>
      <c r="H211" s="2">
        <v>46052</v>
      </c>
      <c r="I211" s="2">
        <v>46060</v>
      </c>
      <c r="J211" s="1" t="s">
        <v>29</v>
      </c>
      <c r="K211" s="1">
        <v>1210</v>
      </c>
      <c r="L211" s="4">
        <f t="shared" ca="1" si="0"/>
        <v>46261</v>
      </c>
      <c r="M211" s="5">
        <f t="shared" ca="1" si="1"/>
        <v>46261.501276736111</v>
      </c>
      <c r="N211" s="1">
        <f t="shared" si="2"/>
        <v>8</v>
      </c>
      <c r="O211" s="1">
        <f t="shared" ca="1" si="3"/>
        <v>209</v>
      </c>
      <c r="P211" s="4">
        <f t="shared" si="4"/>
        <v>46113</v>
      </c>
    </row>
    <row r="212" spans="1:16" x14ac:dyDescent="0.3">
      <c r="A212" s="1" t="s">
        <v>48</v>
      </c>
      <c r="B212" s="1" t="s">
        <v>17</v>
      </c>
      <c r="C212" s="1" t="s">
        <v>34</v>
      </c>
      <c r="D212" s="1" t="s">
        <v>35</v>
      </c>
      <c r="E212" s="1">
        <v>3</v>
      </c>
      <c r="F212" s="1">
        <v>5962</v>
      </c>
      <c r="G212" s="1">
        <v>7</v>
      </c>
      <c r="H212" s="2">
        <v>46175</v>
      </c>
      <c r="I212" s="2">
        <v>46183</v>
      </c>
      <c r="J212" s="1" t="s">
        <v>15</v>
      </c>
      <c r="K212" s="1">
        <v>1211</v>
      </c>
      <c r="L212" s="4">
        <f t="shared" ca="1" si="0"/>
        <v>46261</v>
      </c>
      <c r="M212" s="5">
        <f t="shared" ca="1" si="1"/>
        <v>46261.501276736111</v>
      </c>
      <c r="N212" s="1">
        <f t="shared" si="2"/>
        <v>8</v>
      </c>
      <c r="O212" s="1">
        <f t="shared" ca="1" si="3"/>
        <v>86</v>
      </c>
      <c r="P212" s="4">
        <f t="shared" si="4"/>
        <v>46113</v>
      </c>
    </row>
    <row r="213" spans="1:16" x14ac:dyDescent="0.3">
      <c r="A213" s="1" t="s">
        <v>59</v>
      </c>
      <c r="B213" s="1" t="s">
        <v>25</v>
      </c>
      <c r="C213" s="1" t="s">
        <v>34</v>
      </c>
      <c r="D213" s="1" t="s">
        <v>60</v>
      </c>
      <c r="E213" s="1">
        <v>10</v>
      </c>
      <c r="F213" s="1">
        <v>34380</v>
      </c>
      <c r="G213" s="1">
        <v>7</v>
      </c>
      <c r="H213" s="2">
        <v>46194</v>
      </c>
      <c r="I213" s="2">
        <v>46195</v>
      </c>
      <c r="J213" s="1" t="s">
        <v>29</v>
      </c>
      <c r="K213" s="1">
        <v>1212</v>
      </c>
      <c r="L213" s="4">
        <f t="shared" ca="1" si="0"/>
        <v>46261</v>
      </c>
      <c r="M213" s="5">
        <f t="shared" ca="1" si="1"/>
        <v>46261.501276736111</v>
      </c>
      <c r="N213" s="1">
        <f t="shared" si="2"/>
        <v>1</v>
      </c>
      <c r="O213" s="1">
        <f t="shared" ca="1" si="3"/>
        <v>67</v>
      </c>
      <c r="P213" s="4">
        <f t="shared" si="4"/>
        <v>46113</v>
      </c>
    </row>
    <row r="214" spans="1:16" x14ac:dyDescent="0.3">
      <c r="A214" s="1" t="s">
        <v>32</v>
      </c>
      <c r="B214" s="1" t="s">
        <v>38</v>
      </c>
      <c r="C214" s="1" t="s">
        <v>34</v>
      </c>
      <c r="D214" s="1" t="s">
        <v>45</v>
      </c>
      <c r="E214" s="1">
        <v>16</v>
      </c>
      <c r="F214" s="1">
        <v>27741</v>
      </c>
      <c r="G214" s="1">
        <v>12</v>
      </c>
      <c r="H214" s="2">
        <v>46116</v>
      </c>
      <c r="I214" s="2">
        <v>46119</v>
      </c>
      <c r="J214" s="1" t="s">
        <v>15</v>
      </c>
      <c r="K214" s="1">
        <v>1213</v>
      </c>
      <c r="L214" s="4">
        <f t="shared" ca="1" si="0"/>
        <v>46261</v>
      </c>
      <c r="M214" s="5">
        <f t="shared" ca="1" si="1"/>
        <v>46261.501276736111</v>
      </c>
      <c r="N214" s="1">
        <f t="shared" si="2"/>
        <v>3</v>
      </c>
      <c r="O214" s="1">
        <f t="shared" ca="1" si="3"/>
        <v>145</v>
      </c>
      <c r="P214" s="4">
        <f t="shared" si="4"/>
        <v>46113</v>
      </c>
    </row>
    <row r="215" spans="1:16" x14ac:dyDescent="0.3">
      <c r="A215" s="1" t="s">
        <v>42</v>
      </c>
      <c r="B215" s="1" t="s">
        <v>25</v>
      </c>
      <c r="C215" s="1" t="s">
        <v>18</v>
      </c>
      <c r="D215" s="1" t="s">
        <v>28</v>
      </c>
      <c r="E215" s="1">
        <v>19</v>
      </c>
      <c r="F215" s="1">
        <v>13832</v>
      </c>
      <c r="G215" s="1">
        <v>0</v>
      </c>
      <c r="H215" s="2">
        <v>46140</v>
      </c>
      <c r="I215" s="2">
        <v>46145</v>
      </c>
      <c r="J215" s="1" t="s">
        <v>51</v>
      </c>
      <c r="K215" s="1">
        <v>1214</v>
      </c>
      <c r="L215" s="4">
        <f t="shared" ca="1" si="0"/>
        <v>46261</v>
      </c>
      <c r="M215" s="5">
        <f t="shared" ca="1" si="1"/>
        <v>46261.501276736111</v>
      </c>
      <c r="N215" s="1">
        <f t="shared" si="2"/>
        <v>5</v>
      </c>
      <c r="O215" s="1">
        <f t="shared" ca="1" si="3"/>
        <v>121</v>
      </c>
      <c r="P215" s="4">
        <f t="shared" si="4"/>
        <v>46113</v>
      </c>
    </row>
    <row r="216" spans="1:16" x14ac:dyDescent="0.3">
      <c r="A216" s="1" t="s">
        <v>27</v>
      </c>
      <c r="B216" s="1" t="s">
        <v>12</v>
      </c>
      <c r="C216" s="1" t="s">
        <v>18</v>
      </c>
      <c r="D216" s="1" t="s">
        <v>28</v>
      </c>
      <c r="E216" s="1">
        <v>6</v>
      </c>
      <c r="F216" s="1">
        <v>1254</v>
      </c>
      <c r="G216" s="1">
        <v>0</v>
      </c>
      <c r="H216" s="2">
        <v>46131</v>
      </c>
      <c r="I216" s="2">
        <v>46136</v>
      </c>
      <c r="J216" s="1" t="s">
        <v>29</v>
      </c>
      <c r="K216" s="1">
        <v>1215</v>
      </c>
      <c r="L216" s="4">
        <f t="shared" ca="1" si="0"/>
        <v>46261</v>
      </c>
      <c r="M216" s="5">
        <f t="shared" ca="1" si="1"/>
        <v>46261.501276736111</v>
      </c>
      <c r="N216" s="1">
        <f t="shared" si="2"/>
        <v>5</v>
      </c>
      <c r="O216" s="1">
        <f t="shared" ca="1" si="3"/>
        <v>130</v>
      </c>
      <c r="P216" s="4">
        <f t="shared" si="4"/>
        <v>46113</v>
      </c>
    </row>
    <row r="217" spans="1:16" x14ac:dyDescent="0.3">
      <c r="A217" s="1" t="s">
        <v>40</v>
      </c>
      <c r="B217" s="1" t="s">
        <v>22</v>
      </c>
      <c r="C217" s="1" t="s">
        <v>34</v>
      </c>
      <c r="D217" s="1" t="s">
        <v>45</v>
      </c>
      <c r="E217" s="1">
        <v>10</v>
      </c>
      <c r="F217" s="1">
        <v>56709</v>
      </c>
      <c r="G217" s="1">
        <v>15</v>
      </c>
      <c r="H217" s="2">
        <v>46135</v>
      </c>
      <c r="I217" s="2">
        <v>46139</v>
      </c>
      <c r="J217" s="1" t="s">
        <v>29</v>
      </c>
      <c r="K217" s="1">
        <v>1216</v>
      </c>
      <c r="L217" s="4">
        <f t="shared" ca="1" si="0"/>
        <v>46261</v>
      </c>
      <c r="M217" s="5">
        <f t="shared" ca="1" si="1"/>
        <v>46261.501276736111</v>
      </c>
      <c r="N217" s="1">
        <f t="shared" si="2"/>
        <v>4</v>
      </c>
      <c r="O217" s="1">
        <f t="shared" ca="1" si="3"/>
        <v>126</v>
      </c>
      <c r="P217" s="4">
        <f t="shared" si="4"/>
        <v>46113</v>
      </c>
    </row>
    <row r="218" spans="1:16" x14ac:dyDescent="0.3">
      <c r="A218" s="1" t="s">
        <v>30</v>
      </c>
      <c r="B218" s="1" t="s">
        <v>22</v>
      </c>
      <c r="C218" s="1" t="s">
        <v>13</v>
      </c>
      <c r="D218" s="1" t="s">
        <v>50</v>
      </c>
      <c r="E218" s="1">
        <v>18</v>
      </c>
      <c r="F218" s="1">
        <v>60</v>
      </c>
      <c r="G218" s="1">
        <v>0</v>
      </c>
      <c r="H218" s="2">
        <v>46171</v>
      </c>
      <c r="I218" s="2">
        <v>46172</v>
      </c>
      <c r="J218" s="1" t="s">
        <v>29</v>
      </c>
      <c r="K218" s="1">
        <v>1217</v>
      </c>
      <c r="L218" s="4">
        <f t="shared" ca="1" si="0"/>
        <v>46261</v>
      </c>
      <c r="M218" s="5">
        <f t="shared" ca="1" si="1"/>
        <v>46261.501276736111</v>
      </c>
      <c r="N218" s="1">
        <f t="shared" si="2"/>
        <v>1</v>
      </c>
      <c r="O218" s="1">
        <f t="shared" ca="1" si="3"/>
        <v>90</v>
      </c>
      <c r="P218" s="4">
        <f t="shared" si="4"/>
        <v>46113</v>
      </c>
    </row>
    <row r="219" spans="1:16" x14ac:dyDescent="0.3">
      <c r="A219" s="1" t="s">
        <v>55</v>
      </c>
      <c r="B219" s="1" t="s">
        <v>38</v>
      </c>
      <c r="C219" s="1" t="s">
        <v>13</v>
      </c>
      <c r="D219" s="1" t="s">
        <v>14</v>
      </c>
      <c r="E219" s="1">
        <v>1</v>
      </c>
      <c r="F219" s="1">
        <v>134</v>
      </c>
      <c r="G219" s="1">
        <v>10</v>
      </c>
      <c r="H219" s="2">
        <v>46143</v>
      </c>
      <c r="I219" s="2">
        <v>46151</v>
      </c>
      <c r="J219" s="1" t="s">
        <v>51</v>
      </c>
      <c r="K219" s="1">
        <v>1218</v>
      </c>
      <c r="L219" s="4">
        <f t="shared" ca="1" si="0"/>
        <v>46261</v>
      </c>
      <c r="M219" s="5">
        <f t="shared" ca="1" si="1"/>
        <v>46261.501276736111</v>
      </c>
      <c r="N219" s="1">
        <f t="shared" si="2"/>
        <v>8</v>
      </c>
      <c r="O219" s="1">
        <f t="shared" ca="1" si="3"/>
        <v>118</v>
      </c>
      <c r="P219" s="4">
        <f t="shared" si="4"/>
        <v>46113</v>
      </c>
    </row>
    <row r="220" spans="1:16" x14ac:dyDescent="0.3">
      <c r="A220" s="1" t="s">
        <v>46</v>
      </c>
      <c r="B220" s="1" t="s">
        <v>22</v>
      </c>
      <c r="C220" s="1" t="s">
        <v>13</v>
      </c>
      <c r="D220" s="1" t="s">
        <v>14</v>
      </c>
      <c r="E220" s="1">
        <v>4</v>
      </c>
      <c r="F220" s="1">
        <v>117</v>
      </c>
      <c r="G220" s="1">
        <v>15</v>
      </c>
      <c r="H220" s="2">
        <v>46202</v>
      </c>
      <c r="I220" s="2">
        <v>46206</v>
      </c>
      <c r="J220" s="1" t="s">
        <v>29</v>
      </c>
      <c r="K220" s="1">
        <v>1219</v>
      </c>
      <c r="L220" s="4">
        <f t="shared" ca="1" si="0"/>
        <v>46261</v>
      </c>
      <c r="M220" s="5">
        <f t="shared" ca="1" si="1"/>
        <v>46261.501276736111</v>
      </c>
      <c r="N220" s="1">
        <f t="shared" si="2"/>
        <v>4</v>
      </c>
      <c r="O220" s="1">
        <f t="shared" ca="1" si="3"/>
        <v>59</v>
      </c>
      <c r="P220" s="4">
        <f t="shared" si="4"/>
        <v>46113</v>
      </c>
    </row>
    <row r="221" spans="1:16" x14ac:dyDescent="0.3">
      <c r="A221" s="1" t="s">
        <v>11</v>
      </c>
      <c r="B221" s="1" t="s">
        <v>25</v>
      </c>
      <c r="C221" s="1" t="s">
        <v>18</v>
      </c>
      <c r="D221" s="1" t="s">
        <v>56</v>
      </c>
      <c r="E221" s="1">
        <v>2</v>
      </c>
      <c r="F221" s="1">
        <v>8861</v>
      </c>
      <c r="G221" s="1">
        <v>2</v>
      </c>
      <c r="H221" s="2">
        <v>46170</v>
      </c>
      <c r="I221" s="2">
        <v>46174</v>
      </c>
      <c r="J221" s="1" t="s">
        <v>24</v>
      </c>
      <c r="K221" s="1">
        <v>1220</v>
      </c>
      <c r="L221" s="4">
        <f t="shared" ca="1" si="0"/>
        <v>46261</v>
      </c>
      <c r="M221" s="5">
        <f t="shared" ca="1" si="1"/>
        <v>46261.501276736111</v>
      </c>
      <c r="N221" s="1">
        <f t="shared" si="2"/>
        <v>4</v>
      </c>
      <c r="O221" s="1">
        <f t="shared" ca="1" si="3"/>
        <v>91</v>
      </c>
      <c r="P221" s="4">
        <f t="shared" si="4"/>
        <v>46113</v>
      </c>
    </row>
    <row r="222" spans="1:16" x14ac:dyDescent="0.3">
      <c r="A222" s="1" t="s">
        <v>11</v>
      </c>
      <c r="B222" s="1" t="s">
        <v>31</v>
      </c>
      <c r="C222" s="1" t="s">
        <v>18</v>
      </c>
      <c r="D222" s="1" t="s">
        <v>56</v>
      </c>
      <c r="E222" s="1">
        <v>18</v>
      </c>
      <c r="F222" s="1">
        <v>2681</v>
      </c>
      <c r="G222" s="1">
        <v>10</v>
      </c>
      <c r="H222" s="2">
        <v>46122</v>
      </c>
      <c r="I222" s="2">
        <v>46125</v>
      </c>
      <c r="J222" s="1" t="s">
        <v>51</v>
      </c>
      <c r="K222" s="1">
        <v>1221</v>
      </c>
      <c r="L222" s="4">
        <f t="shared" ca="1" si="0"/>
        <v>46261</v>
      </c>
      <c r="M222" s="5">
        <f t="shared" ca="1" si="1"/>
        <v>46261.501276736111</v>
      </c>
      <c r="N222" s="1">
        <f t="shared" si="2"/>
        <v>3</v>
      </c>
      <c r="O222" s="1">
        <f t="shared" ca="1" si="3"/>
        <v>139</v>
      </c>
      <c r="P222" s="4">
        <f t="shared" si="4"/>
        <v>46113</v>
      </c>
    </row>
    <row r="223" spans="1:16" x14ac:dyDescent="0.3">
      <c r="A223" s="1" t="s">
        <v>30</v>
      </c>
      <c r="B223" s="1" t="s">
        <v>33</v>
      </c>
      <c r="C223" s="1" t="s">
        <v>18</v>
      </c>
      <c r="D223" s="1" t="s">
        <v>23</v>
      </c>
      <c r="E223" s="1">
        <v>9</v>
      </c>
      <c r="F223" s="1">
        <v>2712</v>
      </c>
      <c r="G223" s="1">
        <v>12</v>
      </c>
      <c r="H223" s="2">
        <v>46154</v>
      </c>
      <c r="I223" s="2">
        <v>46163</v>
      </c>
      <c r="J223" s="1" t="s">
        <v>15</v>
      </c>
      <c r="K223" s="1">
        <v>1222</v>
      </c>
      <c r="L223" s="4">
        <f t="shared" ca="1" si="0"/>
        <v>46261</v>
      </c>
      <c r="M223" s="5">
        <f t="shared" ca="1" si="1"/>
        <v>46261.501276736111</v>
      </c>
      <c r="N223" s="1">
        <f t="shared" si="2"/>
        <v>9</v>
      </c>
      <c r="O223" s="1">
        <f t="shared" ca="1" si="3"/>
        <v>107</v>
      </c>
      <c r="P223" s="4">
        <f t="shared" si="4"/>
        <v>46113</v>
      </c>
    </row>
    <row r="224" spans="1:16" x14ac:dyDescent="0.3">
      <c r="A224" s="1" t="s">
        <v>59</v>
      </c>
      <c r="B224" s="1" t="s">
        <v>17</v>
      </c>
      <c r="C224" s="1" t="s">
        <v>18</v>
      </c>
      <c r="D224" s="1" t="s">
        <v>23</v>
      </c>
      <c r="E224" s="1">
        <v>4</v>
      </c>
      <c r="F224" s="1">
        <v>2249</v>
      </c>
      <c r="G224" s="1">
        <v>7</v>
      </c>
      <c r="H224" s="2">
        <v>46077</v>
      </c>
      <c r="I224" s="2">
        <v>46084</v>
      </c>
      <c r="J224" s="1" t="s">
        <v>15</v>
      </c>
      <c r="K224" s="1">
        <v>1223</v>
      </c>
      <c r="L224" s="4">
        <f t="shared" ca="1" si="0"/>
        <v>46261</v>
      </c>
      <c r="M224" s="5">
        <f t="shared" ca="1" si="1"/>
        <v>46261.501276736111</v>
      </c>
      <c r="N224" s="1">
        <f t="shared" si="2"/>
        <v>7</v>
      </c>
      <c r="O224" s="1">
        <f t="shared" ca="1" si="3"/>
        <v>184</v>
      </c>
      <c r="P224" s="4">
        <f t="shared" si="4"/>
        <v>46113</v>
      </c>
    </row>
    <row r="225" spans="1:16" x14ac:dyDescent="0.3">
      <c r="A225" s="1" t="s">
        <v>30</v>
      </c>
      <c r="B225" s="1" t="s">
        <v>38</v>
      </c>
      <c r="C225" s="1" t="s">
        <v>34</v>
      </c>
      <c r="D225" s="1" t="s">
        <v>45</v>
      </c>
      <c r="E225" s="1">
        <v>16</v>
      </c>
      <c r="F225" s="1">
        <v>18378</v>
      </c>
      <c r="G225" s="1">
        <v>10</v>
      </c>
      <c r="H225" s="2">
        <v>46045</v>
      </c>
      <c r="I225" s="2">
        <v>46052</v>
      </c>
      <c r="J225" s="1" t="s">
        <v>24</v>
      </c>
      <c r="K225" s="1">
        <v>1224</v>
      </c>
      <c r="L225" s="4">
        <f t="shared" ca="1" si="0"/>
        <v>46261</v>
      </c>
      <c r="M225" s="5">
        <f t="shared" ca="1" si="1"/>
        <v>46261.501276736111</v>
      </c>
      <c r="N225" s="1">
        <f t="shared" si="2"/>
        <v>7</v>
      </c>
      <c r="O225" s="1">
        <f t="shared" ca="1" si="3"/>
        <v>216</v>
      </c>
      <c r="P225" s="4">
        <f t="shared" si="4"/>
        <v>46113</v>
      </c>
    </row>
    <row r="226" spans="1:16" x14ac:dyDescent="0.3">
      <c r="A226" s="1" t="s">
        <v>42</v>
      </c>
      <c r="B226" s="1" t="s">
        <v>31</v>
      </c>
      <c r="C226" s="1" t="s">
        <v>34</v>
      </c>
      <c r="D226" s="1" t="s">
        <v>35</v>
      </c>
      <c r="E226" s="1">
        <v>16</v>
      </c>
      <c r="F226" s="1">
        <v>32262</v>
      </c>
      <c r="G226" s="1">
        <v>12</v>
      </c>
      <c r="H226" s="2">
        <v>46125</v>
      </c>
      <c r="I226" s="2">
        <v>46126</v>
      </c>
      <c r="J226" s="1" t="s">
        <v>20</v>
      </c>
      <c r="K226" s="1">
        <v>1225</v>
      </c>
      <c r="L226" s="4">
        <f t="shared" ca="1" si="0"/>
        <v>46261</v>
      </c>
      <c r="M226" s="5">
        <f t="shared" ca="1" si="1"/>
        <v>46261.501276736111</v>
      </c>
      <c r="N226" s="1">
        <f t="shared" si="2"/>
        <v>1</v>
      </c>
      <c r="O226" s="1">
        <f t="shared" ca="1" si="3"/>
        <v>136</v>
      </c>
      <c r="P226" s="4">
        <f t="shared" si="4"/>
        <v>46113</v>
      </c>
    </row>
    <row r="227" spans="1:16" x14ac:dyDescent="0.3">
      <c r="A227" s="1" t="s">
        <v>29</v>
      </c>
      <c r="B227" s="1" t="s">
        <v>31</v>
      </c>
      <c r="C227" s="1" t="s">
        <v>34</v>
      </c>
      <c r="D227" s="1" t="s">
        <v>41</v>
      </c>
      <c r="E227" s="1">
        <v>13</v>
      </c>
      <c r="F227" s="1">
        <v>21332</v>
      </c>
      <c r="G227" s="1">
        <v>0</v>
      </c>
      <c r="H227" s="2">
        <v>46044</v>
      </c>
      <c r="I227" s="2">
        <v>46048</v>
      </c>
      <c r="J227" s="1" t="s">
        <v>29</v>
      </c>
      <c r="K227" s="1">
        <v>1226</v>
      </c>
      <c r="L227" s="4">
        <f t="shared" ca="1" si="0"/>
        <v>46261</v>
      </c>
      <c r="M227" s="5">
        <f t="shared" ca="1" si="1"/>
        <v>46261.501276736111</v>
      </c>
      <c r="N227" s="1">
        <f t="shared" si="2"/>
        <v>4</v>
      </c>
      <c r="O227" s="1">
        <f t="shared" ca="1" si="3"/>
        <v>217</v>
      </c>
      <c r="P227" s="4">
        <f t="shared" si="4"/>
        <v>46113</v>
      </c>
    </row>
    <row r="228" spans="1:16" x14ac:dyDescent="0.3">
      <c r="A228" s="1" t="s">
        <v>58</v>
      </c>
      <c r="B228" s="1" t="s">
        <v>22</v>
      </c>
      <c r="C228" s="1" t="s">
        <v>34</v>
      </c>
      <c r="D228" s="1" t="s">
        <v>45</v>
      </c>
      <c r="E228" s="1">
        <v>16</v>
      </c>
      <c r="F228" s="1">
        <v>1321</v>
      </c>
      <c r="G228" s="1">
        <v>12</v>
      </c>
      <c r="H228" s="2">
        <v>46113</v>
      </c>
      <c r="I228" s="2">
        <v>46116</v>
      </c>
      <c r="J228" s="1" t="s">
        <v>15</v>
      </c>
      <c r="K228" s="1">
        <v>1227</v>
      </c>
      <c r="L228" s="4">
        <f t="shared" ca="1" si="0"/>
        <v>46261</v>
      </c>
      <c r="M228" s="5">
        <f t="shared" ca="1" si="1"/>
        <v>46261.501276736111</v>
      </c>
      <c r="N228" s="1">
        <f t="shared" si="2"/>
        <v>3</v>
      </c>
      <c r="O228" s="1">
        <f t="shared" ca="1" si="3"/>
        <v>148</v>
      </c>
      <c r="P228" s="4">
        <f t="shared" si="4"/>
        <v>46113</v>
      </c>
    </row>
    <row r="229" spans="1:16" x14ac:dyDescent="0.3">
      <c r="A229" s="1" t="s">
        <v>29</v>
      </c>
      <c r="B229" s="1" t="s">
        <v>25</v>
      </c>
      <c r="C229" s="1" t="s">
        <v>34</v>
      </c>
      <c r="D229" s="1" t="s">
        <v>45</v>
      </c>
      <c r="E229" s="1">
        <v>16</v>
      </c>
      <c r="F229" s="1">
        <v>17477</v>
      </c>
      <c r="G229" s="1">
        <v>10</v>
      </c>
      <c r="H229" s="2">
        <v>46041</v>
      </c>
      <c r="I229" s="2">
        <v>46043</v>
      </c>
      <c r="J229" s="1" t="s">
        <v>24</v>
      </c>
      <c r="K229" s="1">
        <v>1228</v>
      </c>
      <c r="L229" s="4">
        <f t="shared" ca="1" si="0"/>
        <v>46261</v>
      </c>
      <c r="M229" s="5">
        <f t="shared" ca="1" si="1"/>
        <v>46261.501276736111</v>
      </c>
      <c r="N229" s="1">
        <f t="shared" si="2"/>
        <v>2</v>
      </c>
      <c r="O229" s="1">
        <f t="shared" ca="1" si="3"/>
        <v>220</v>
      </c>
      <c r="P229" s="4">
        <f t="shared" si="4"/>
        <v>46113</v>
      </c>
    </row>
    <row r="230" spans="1:16" x14ac:dyDescent="0.3">
      <c r="A230" s="1" t="s">
        <v>57</v>
      </c>
      <c r="B230" s="1" t="s">
        <v>12</v>
      </c>
      <c r="C230" s="1" t="s">
        <v>18</v>
      </c>
      <c r="D230" s="1" t="s">
        <v>56</v>
      </c>
      <c r="E230" s="1">
        <v>14</v>
      </c>
      <c r="F230" s="1">
        <v>5859</v>
      </c>
      <c r="G230" s="1">
        <v>12</v>
      </c>
      <c r="H230" s="2">
        <v>46027</v>
      </c>
      <c r="I230" s="2">
        <v>46036</v>
      </c>
      <c r="J230" s="1" t="s">
        <v>20</v>
      </c>
      <c r="K230" s="1">
        <v>1229</v>
      </c>
      <c r="L230" s="4">
        <f t="shared" ca="1" si="0"/>
        <v>46261</v>
      </c>
      <c r="M230" s="5">
        <f t="shared" ca="1" si="1"/>
        <v>46261.501276736111</v>
      </c>
      <c r="N230" s="1">
        <f t="shared" si="2"/>
        <v>9</v>
      </c>
      <c r="O230" s="1">
        <f t="shared" ca="1" si="3"/>
        <v>234</v>
      </c>
      <c r="P230" s="4">
        <f t="shared" si="4"/>
        <v>46113</v>
      </c>
    </row>
    <row r="231" spans="1:16" x14ac:dyDescent="0.3">
      <c r="A231" s="1" t="s">
        <v>59</v>
      </c>
      <c r="B231" s="1" t="s">
        <v>33</v>
      </c>
      <c r="C231" s="1" t="s">
        <v>34</v>
      </c>
      <c r="D231" s="1" t="s">
        <v>60</v>
      </c>
      <c r="E231" s="1">
        <v>7</v>
      </c>
      <c r="F231" s="1">
        <v>2932</v>
      </c>
      <c r="G231" s="1">
        <v>7</v>
      </c>
      <c r="H231" s="2">
        <v>46050</v>
      </c>
      <c r="I231" s="2">
        <v>46059</v>
      </c>
      <c r="J231" s="1" t="s">
        <v>24</v>
      </c>
      <c r="K231" s="1">
        <v>1230</v>
      </c>
      <c r="L231" s="4">
        <f t="shared" ca="1" si="0"/>
        <v>46261</v>
      </c>
      <c r="M231" s="5">
        <f t="shared" ca="1" si="1"/>
        <v>46261.501276736111</v>
      </c>
      <c r="N231" s="1">
        <f t="shared" si="2"/>
        <v>9</v>
      </c>
      <c r="O231" s="1">
        <f t="shared" ca="1" si="3"/>
        <v>211</v>
      </c>
      <c r="P231" s="4">
        <f t="shared" si="4"/>
        <v>46113</v>
      </c>
    </row>
    <row r="232" spans="1:16" x14ac:dyDescent="0.3">
      <c r="A232" s="1" t="s">
        <v>48</v>
      </c>
      <c r="B232" s="1" t="s">
        <v>38</v>
      </c>
      <c r="C232" s="1" t="s">
        <v>18</v>
      </c>
      <c r="D232" s="1" t="s">
        <v>19</v>
      </c>
      <c r="E232" s="1">
        <v>13</v>
      </c>
      <c r="F232" s="1">
        <v>10297</v>
      </c>
      <c r="G232" s="1">
        <v>12</v>
      </c>
      <c r="H232" s="2">
        <v>46178</v>
      </c>
      <c r="I232" s="2">
        <v>46186</v>
      </c>
      <c r="J232" s="1" t="s">
        <v>20</v>
      </c>
      <c r="K232" s="1">
        <v>1231</v>
      </c>
      <c r="L232" s="4">
        <f t="shared" ca="1" si="0"/>
        <v>46261</v>
      </c>
      <c r="M232" s="5">
        <f t="shared" ca="1" si="1"/>
        <v>46261.501276736111</v>
      </c>
      <c r="N232" s="1">
        <f t="shared" si="2"/>
        <v>8</v>
      </c>
      <c r="O232" s="1">
        <f t="shared" ca="1" si="3"/>
        <v>83</v>
      </c>
      <c r="P232" s="4">
        <f t="shared" si="4"/>
        <v>46113</v>
      </c>
    </row>
    <row r="233" spans="1:16" x14ac:dyDescent="0.3">
      <c r="A233" s="1" t="s">
        <v>21</v>
      </c>
      <c r="B233" s="1" t="s">
        <v>12</v>
      </c>
      <c r="C233" s="1" t="s">
        <v>34</v>
      </c>
      <c r="D233" s="1" t="s">
        <v>60</v>
      </c>
      <c r="E233" s="1">
        <v>3</v>
      </c>
      <c r="F233" s="1">
        <v>13272</v>
      </c>
      <c r="G233" s="1">
        <v>2</v>
      </c>
      <c r="H233" s="2">
        <v>46060</v>
      </c>
      <c r="I233" s="2">
        <v>46065</v>
      </c>
      <c r="J233" s="1" t="s">
        <v>15</v>
      </c>
      <c r="K233" s="1">
        <v>1232</v>
      </c>
      <c r="L233" s="4">
        <f t="shared" ca="1" si="0"/>
        <v>46261</v>
      </c>
      <c r="M233" s="5">
        <f t="shared" ca="1" si="1"/>
        <v>46261.501276736111</v>
      </c>
      <c r="N233" s="1">
        <f t="shared" si="2"/>
        <v>5</v>
      </c>
      <c r="O233" s="1">
        <f t="shared" ca="1" si="3"/>
        <v>201</v>
      </c>
      <c r="P233" s="4">
        <f t="shared" si="4"/>
        <v>46113</v>
      </c>
    </row>
    <row r="234" spans="1:16" x14ac:dyDescent="0.3">
      <c r="A234" s="1" t="s">
        <v>58</v>
      </c>
      <c r="B234" s="1" t="s">
        <v>22</v>
      </c>
      <c r="C234" s="1" t="s">
        <v>18</v>
      </c>
      <c r="D234" s="1" t="s">
        <v>19</v>
      </c>
      <c r="E234" s="1">
        <v>20</v>
      </c>
      <c r="F234" s="1">
        <v>13941</v>
      </c>
      <c r="G234" s="1">
        <v>15</v>
      </c>
      <c r="H234" s="2">
        <v>46198</v>
      </c>
      <c r="I234" s="2">
        <v>46202</v>
      </c>
      <c r="J234" s="1" t="s">
        <v>24</v>
      </c>
      <c r="K234" s="1">
        <v>1233</v>
      </c>
      <c r="L234" s="4">
        <f t="shared" ca="1" si="0"/>
        <v>46261</v>
      </c>
      <c r="M234" s="5">
        <f t="shared" ca="1" si="1"/>
        <v>46261.501276736111</v>
      </c>
      <c r="N234" s="1">
        <f t="shared" si="2"/>
        <v>4</v>
      </c>
      <c r="O234" s="1">
        <f t="shared" ca="1" si="3"/>
        <v>63</v>
      </c>
      <c r="P234" s="4">
        <f t="shared" si="4"/>
        <v>46113</v>
      </c>
    </row>
    <row r="235" spans="1:16" x14ac:dyDescent="0.3">
      <c r="A235" s="1" t="s">
        <v>11</v>
      </c>
      <c r="B235" s="1" t="s">
        <v>25</v>
      </c>
      <c r="C235" s="1" t="s">
        <v>18</v>
      </c>
      <c r="D235" s="1" t="s">
        <v>28</v>
      </c>
      <c r="E235" s="1">
        <v>1</v>
      </c>
      <c r="F235" s="1">
        <v>14320</v>
      </c>
      <c r="G235" s="1">
        <v>12</v>
      </c>
      <c r="H235" s="2">
        <v>46114</v>
      </c>
      <c r="I235" s="2">
        <v>46121</v>
      </c>
      <c r="J235" s="1" t="s">
        <v>51</v>
      </c>
      <c r="K235" s="1">
        <v>1234</v>
      </c>
      <c r="L235" s="4">
        <f t="shared" ca="1" si="0"/>
        <v>46261</v>
      </c>
      <c r="M235" s="5">
        <f t="shared" ca="1" si="1"/>
        <v>46261.501276736111</v>
      </c>
      <c r="N235" s="1">
        <f t="shared" si="2"/>
        <v>7</v>
      </c>
      <c r="O235" s="1">
        <f t="shared" ca="1" si="3"/>
        <v>147</v>
      </c>
      <c r="P235" s="4">
        <f t="shared" si="4"/>
        <v>46113</v>
      </c>
    </row>
    <row r="236" spans="1:16" x14ac:dyDescent="0.3">
      <c r="A236" s="1" t="s">
        <v>57</v>
      </c>
      <c r="B236" s="1" t="s">
        <v>25</v>
      </c>
      <c r="C236" s="1" t="s">
        <v>13</v>
      </c>
      <c r="D236" s="1" t="s">
        <v>50</v>
      </c>
      <c r="E236" s="1">
        <v>15</v>
      </c>
      <c r="F236" s="1">
        <v>267</v>
      </c>
      <c r="G236" s="1">
        <v>15</v>
      </c>
      <c r="H236" s="2">
        <v>46172</v>
      </c>
      <c r="I236" s="2">
        <v>46177</v>
      </c>
      <c r="J236" s="1" t="s">
        <v>29</v>
      </c>
      <c r="K236" s="1">
        <v>1235</v>
      </c>
      <c r="L236" s="4">
        <f t="shared" ca="1" si="0"/>
        <v>46261</v>
      </c>
      <c r="M236" s="5">
        <f t="shared" ca="1" si="1"/>
        <v>46261.501276736111</v>
      </c>
      <c r="N236" s="1">
        <f t="shared" si="2"/>
        <v>5</v>
      </c>
      <c r="O236" s="1">
        <f t="shared" ca="1" si="3"/>
        <v>89</v>
      </c>
      <c r="P236" s="4">
        <f t="shared" si="4"/>
        <v>46113</v>
      </c>
    </row>
    <row r="237" spans="1:16" x14ac:dyDescent="0.3">
      <c r="A237" s="1" t="s">
        <v>54</v>
      </c>
      <c r="B237" s="1" t="s">
        <v>43</v>
      </c>
      <c r="C237" s="1" t="s">
        <v>13</v>
      </c>
      <c r="D237" s="1" t="s">
        <v>37</v>
      </c>
      <c r="E237" s="1">
        <v>12</v>
      </c>
      <c r="F237" s="1">
        <v>189</v>
      </c>
      <c r="G237" s="1">
        <v>7</v>
      </c>
      <c r="H237" s="2">
        <v>46164</v>
      </c>
      <c r="I237" s="2">
        <v>46169</v>
      </c>
      <c r="J237" s="1" t="s">
        <v>29</v>
      </c>
      <c r="K237" s="1">
        <v>1236</v>
      </c>
      <c r="L237" s="4">
        <f t="shared" ca="1" si="0"/>
        <v>46261</v>
      </c>
      <c r="M237" s="5">
        <f t="shared" ca="1" si="1"/>
        <v>46261.501276736111</v>
      </c>
      <c r="N237" s="1">
        <f t="shared" si="2"/>
        <v>5</v>
      </c>
      <c r="O237" s="1">
        <f t="shared" ca="1" si="3"/>
        <v>97</v>
      </c>
      <c r="P237" s="4">
        <f t="shared" si="4"/>
        <v>46113</v>
      </c>
    </row>
    <row r="238" spans="1:16" x14ac:dyDescent="0.3">
      <c r="A238" s="1" t="s">
        <v>46</v>
      </c>
      <c r="B238" s="1" t="s">
        <v>38</v>
      </c>
      <c r="C238" s="1" t="s">
        <v>18</v>
      </c>
      <c r="D238" s="1" t="s">
        <v>56</v>
      </c>
      <c r="E238" s="1">
        <v>8</v>
      </c>
      <c r="F238" s="1">
        <v>12123</v>
      </c>
      <c r="G238" s="1">
        <v>2</v>
      </c>
      <c r="H238" s="2">
        <v>46137</v>
      </c>
      <c r="I238" s="2">
        <v>46145</v>
      </c>
      <c r="J238" s="1" t="s">
        <v>15</v>
      </c>
      <c r="K238" s="1">
        <v>1237</v>
      </c>
      <c r="L238" s="4">
        <f t="shared" ca="1" si="0"/>
        <v>46261</v>
      </c>
      <c r="M238" s="5">
        <f t="shared" ca="1" si="1"/>
        <v>46261.501276736111</v>
      </c>
      <c r="N238" s="1">
        <f t="shared" si="2"/>
        <v>8</v>
      </c>
      <c r="O238" s="1">
        <f t="shared" ca="1" si="3"/>
        <v>124</v>
      </c>
      <c r="P238" s="4">
        <f t="shared" si="4"/>
        <v>46113</v>
      </c>
    </row>
    <row r="239" spans="1:16" x14ac:dyDescent="0.3">
      <c r="A239" s="1" t="s">
        <v>30</v>
      </c>
      <c r="B239" s="1" t="s">
        <v>31</v>
      </c>
      <c r="C239" s="1" t="s">
        <v>13</v>
      </c>
      <c r="D239" s="1" t="s">
        <v>14</v>
      </c>
      <c r="E239" s="1">
        <v>6</v>
      </c>
      <c r="F239" s="1">
        <v>180</v>
      </c>
      <c r="G239" s="1">
        <v>12</v>
      </c>
      <c r="H239" s="2">
        <v>46096</v>
      </c>
      <c r="I239" s="2">
        <v>46097</v>
      </c>
      <c r="J239" s="1" t="s">
        <v>51</v>
      </c>
      <c r="K239" s="1">
        <v>1238</v>
      </c>
      <c r="L239" s="4">
        <f t="shared" ca="1" si="0"/>
        <v>46261</v>
      </c>
      <c r="M239" s="5">
        <f t="shared" ca="1" si="1"/>
        <v>46261.501276736111</v>
      </c>
      <c r="N239" s="1">
        <f t="shared" si="2"/>
        <v>1</v>
      </c>
      <c r="O239" s="1">
        <f t="shared" ca="1" si="3"/>
        <v>165</v>
      </c>
      <c r="P239" s="4">
        <f t="shared" si="4"/>
        <v>46113</v>
      </c>
    </row>
    <row r="240" spans="1:16" x14ac:dyDescent="0.3">
      <c r="A240" s="1" t="s">
        <v>48</v>
      </c>
      <c r="B240" s="1" t="s">
        <v>17</v>
      </c>
      <c r="C240" s="1" t="s">
        <v>18</v>
      </c>
      <c r="D240" s="1" t="s">
        <v>56</v>
      </c>
      <c r="E240" s="1">
        <v>2</v>
      </c>
      <c r="F240" s="1">
        <v>12330</v>
      </c>
      <c r="G240" s="1">
        <v>12</v>
      </c>
      <c r="H240" s="2">
        <v>46122</v>
      </c>
      <c r="I240" s="2">
        <v>46125</v>
      </c>
      <c r="J240" s="1" t="s">
        <v>15</v>
      </c>
      <c r="K240" s="1">
        <v>1239</v>
      </c>
      <c r="L240" s="4">
        <f t="shared" ca="1" si="0"/>
        <v>46261</v>
      </c>
      <c r="M240" s="5">
        <f t="shared" ca="1" si="1"/>
        <v>46261.501276736111</v>
      </c>
      <c r="N240" s="1">
        <f t="shared" si="2"/>
        <v>3</v>
      </c>
      <c r="O240" s="1">
        <f t="shared" ca="1" si="3"/>
        <v>139</v>
      </c>
      <c r="P240" s="4">
        <f t="shared" si="4"/>
        <v>46113</v>
      </c>
    </row>
    <row r="241" spans="1:16" x14ac:dyDescent="0.3">
      <c r="A241" s="1" t="s">
        <v>55</v>
      </c>
      <c r="B241" s="1" t="s">
        <v>33</v>
      </c>
      <c r="C241" s="1" t="s">
        <v>18</v>
      </c>
      <c r="D241" s="1" t="s">
        <v>23</v>
      </c>
      <c r="E241" s="1">
        <v>2</v>
      </c>
      <c r="F241" s="1">
        <v>5475</v>
      </c>
      <c r="G241" s="1">
        <v>2</v>
      </c>
      <c r="H241" s="2">
        <v>46142</v>
      </c>
      <c r="I241" s="2">
        <v>46146</v>
      </c>
      <c r="J241" s="1" t="s">
        <v>29</v>
      </c>
      <c r="K241" s="1">
        <v>1240</v>
      </c>
      <c r="L241" s="4">
        <f t="shared" ca="1" si="0"/>
        <v>46261</v>
      </c>
      <c r="M241" s="5">
        <f t="shared" ca="1" si="1"/>
        <v>46261.501276736111</v>
      </c>
      <c r="N241" s="1">
        <f t="shared" si="2"/>
        <v>4</v>
      </c>
      <c r="O241" s="1">
        <f t="shared" ca="1" si="3"/>
        <v>119</v>
      </c>
      <c r="P241" s="4">
        <f t="shared" si="4"/>
        <v>46113</v>
      </c>
    </row>
    <row r="242" spans="1:16" x14ac:dyDescent="0.3">
      <c r="A242" s="1" t="s">
        <v>46</v>
      </c>
      <c r="B242" s="1" t="s">
        <v>31</v>
      </c>
      <c r="C242" s="1" t="s">
        <v>18</v>
      </c>
      <c r="D242" s="1" t="s">
        <v>44</v>
      </c>
      <c r="E242" s="1">
        <v>1</v>
      </c>
      <c r="F242" s="1">
        <v>12537</v>
      </c>
      <c r="G242" s="1">
        <v>0</v>
      </c>
      <c r="H242" s="2">
        <v>46119</v>
      </c>
      <c r="I242" s="2">
        <v>46122</v>
      </c>
      <c r="J242" s="1" t="s">
        <v>15</v>
      </c>
      <c r="K242" s="1">
        <v>1241</v>
      </c>
      <c r="L242" s="4">
        <f t="shared" ca="1" si="0"/>
        <v>46261</v>
      </c>
      <c r="M242" s="5">
        <f t="shared" ca="1" si="1"/>
        <v>46261.501276736111</v>
      </c>
      <c r="N242" s="1">
        <f t="shared" si="2"/>
        <v>3</v>
      </c>
      <c r="O242" s="1">
        <f t="shared" ca="1" si="3"/>
        <v>142</v>
      </c>
      <c r="P242" s="4">
        <f t="shared" si="4"/>
        <v>46113</v>
      </c>
    </row>
    <row r="243" spans="1:16" x14ac:dyDescent="0.3">
      <c r="A243" s="1" t="s">
        <v>54</v>
      </c>
      <c r="B243" s="1" t="s">
        <v>38</v>
      </c>
      <c r="C243" s="1" t="s">
        <v>13</v>
      </c>
      <c r="D243" s="1" t="s">
        <v>50</v>
      </c>
      <c r="E243" s="1">
        <v>7</v>
      </c>
      <c r="F243" s="1">
        <v>168</v>
      </c>
      <c r="G243" s="1">
        <v>10</v>
      </c>
      <c r="H243" s="2">
        <v>46191</v>
      </c>
      <c r="I243" s="2">
        <v>46196</v>
      </c>
      <c r="J243" s="1" t="s">
        <v>51</v>
      </c>
      <c r="K243" s="1">
        <v>1242</v>
      </c>
      <c r="L243" s="4">
        <f t="shared" ca="1" si="0"/>
        <v>46261</v>
      </c>
      <c r="M243" s="5">
        <f t="shared" ca="1" si="1"/>
        <v>46261.501276736111</v>
      </c>
      <c r="N243" s="1">
        <f t="shared" si="2"/>
        <v>5</v>
      </c>
      <c r="O243" s="1">
        <f t="shared" ca="1" si="3"/>
        <v>70</v>
      </c>
      <c r="P243" s="4">
        <f t="shared" si="4"/>
        <v>46113</v>
      </c>
    </row>
    <row r="244" spans="1:16" x14ac:dyDescent="0.3">
      <c r="A244" s="1" t="s">
        <v>30</v>
      </c>
      <c r="B244" s="1" t="s">
        <v>31</v>
      </c>
      <c r="C244" s="1" t="s">
        <v>34</v>
      </c>
      <c r="D244" s="1" t="s">
        <v>41</v>
      </c>
      <c r="E244" s="1">
        <v>5</v>
      </c>
      <c r="F244" s="1">
        <v>11570</v>
      </c>
      <c r="G244" s="1">
        <v>15</v>
      </c>
      <c r="H244" s="2">
        <v>46069</v>
      </c>
      <c r="I244" s="2">
        <v>46077</v>
      </c>
      <c r="J244" s="1" t="s">
        <v>24</v>
      </c>
      <c r="K244" s="1">
        <v>1243</v>
      </c>
      <c r="L244" s="4">
        <f t="shared" ca="1" si="0"/>
        <v>46261</v>
      </c>
      <c r="M244" s="5">
        <f t="shared" ca="1" si="1"/>
        <v>46261.501276736111</v>
      </c>
      <c r="N244" s="1">
        <f t="shared" si="2"/>
        <v>8</v>
      </c>
      <c r="O244" s="1">
        <f t="shared" ca="1" si="3"/>
        <v>192</v>
      </c>
      <c r="P244" s="4">
        <f t="shared" si="4"/>
        <v>46113</v>
      </c>
    </row>
    <row r="245" spans="1:16" x14ac:dyDescent="0.3">
      <c r="A245" s="1" t="s">
        <v>57</v>
      </c>
      <c r="B245" s="1" t="s">
        <v>38</v>
      </c>
      <c r="C245" s="1" t="s">
        <v>18</v>
      </c>
      <c r="D245" s="1" t="s">
        <v>28</v>
      </c>
      <c r="E245" s="1">
        <v>10</v>
      </c>
      <c r="F245" s="1">
        <v>6339</v>
      </c>
      <c r="G245" s="1">
        <v>12</v>
      </c>
      <c r="H245" s="2">
        <v>46200</v>
      </c>
      <c r="I245" s="2">
        <v>46205</v>
      </c>
      <c r="J245" s="1" t="s">
        <v>15</v>
      </c>
      <c r="K245" s="1">
        <v>1244</v>
      </c>
      <c r="L245" s="4">
        <f t="shared" ca="1" si="0"/>
        <v>46261</v>
      </c>
      <c r="M245" s="5">
        <f t="shared" ca="1" si="1"/>
        <v>46261.501276736111</v>
      </c>
      <c r="N245" s="1">
        <f t="shared" si="2"/>
        <v>5</v>
      </c>
      <c r="O245" s="1">
        <f t="shared" ca="1" si="3"/>
        <v>61</v>
      </c>
      <c r="P245" s="4">
        <f t="shared" si="4"/>
        <v>46113</v>
      </c>
    </row>
    <row r="246" spans="1:16" x14ac:dyDescent="0.3">
      <c r="A246" s="1" t="s">
        <v>55</v>
      </c>
      <c r="B246" s="1" t="s">
        <v>43</v>
      </c>
      <c r="C246" s="1" t="s">
        <v>34</v>
      </c>
      <c r="D246" s="1" t="s">
        <v>41</v>
      </c>
      <c r="E246" s="1">
        <v>19</v>
      </c>
      <c r="F246" s="1">
        <v>69029</v>
      </c>
      <c r="G246" s="1">
        <v>7</v>
      </c>
      <c r="H246" s="2">
        <v>46176</v>
      </c>
      <c r="I246" s="2">
        <v>46179</v>
      </c>
      <c r="J246" s="1" t="s">
        <v>29</v>
      </c>
      <c r="K246" s="1">
        <v>1245</v>
      </c>
      <c r="L246" s="4">
        <f t="shared" ca="1" si="0"/>
        <v>46261</v>
      </c>
      <c r="M246" s="5">
        <f t="shared" ca="1" si="1"/>
        <v>46261.501276736111</v>
      </c>
      <c r="N246" s="1">
        <f t="shared" si="2"/>
        <v>3</v>
      </c>
      <c r="O246" s="1">
        <f t="shared" ca="1" si="3"/>
        <v>85</v>
      </c>
      <c r="P246" s="4">
        <f t="shared" si="4"/>
        <v>46113</v>
      </c>
    </row>
    <row r="247" spans="1:16" x14ac:dyDescent="0.3">
      <c r="A247" s="1" t="s">
        <v>55</v>
      </c>
      <c r="B247" s="1" t="s">
        <v>22</v>
      </c>
      <c r="C247" s="1" t="s">
        <v>34</v>
      </c>
      <c r="D247" s="1" t="s">
        <v>35</v>
      </c>
      <c r="E247" s="1">
        <v>13</v>
      </c>
      <c r="F247" s="1">
        <v>1825</v>
      </c>
      <c r="G247" s="1">
        <v>2</v>
      </c>
      <c r="H247" s="2">
        <v>46039</v>
      </c>
      <c r="I247" s="2">
        <v>46045</v>
      </c>
      <c r="J247" s="1" t="s">
        <v>51</v>
      </c>
      <c r="K247" s="1">
        <v>1246</v>
      </c>
      <c r="L247" s="4">
        <f t="shared" ca="1" si="0"/>
        <v>46261</v>
      </c>
      <c r="M247" s="5">
        <f t="shared" ca="1" si="1"/>
        <v>46261.501276736111</v>
      </c>
      <c r="N247" s="1">
        <f t="shared" si="2"/>
        <v>6</v>
      </c>
      <c r="O247" s="1">
        <f t="shared" ca="1" si="3"/>
        <v>222</v>
      </c>
      <c r="P247" s="4">
        <f t="shared" si="4"/>
        <v>46113</v>
      </c>
    </row>
    <row r="248" spans="1:16" x14ac:dyDescent="0.3">
      <c r="A248" s="1" t="s">
        <v>26</v>
      </c>
      <c r="B248" s="1" t="s">
        <v>12</v>
      </c>
      <c r="C248" s="1" t="s">
        <v>13</v>
      </c>
      <c r="D248" s="1" t="s">
        <v>50</v>
      </c>
      <c r="E248" s="1">
        <v>10</v>
      </c>
      <c r="F248" s="1">
        <v>336</v>
      </c>
      <c r="G248" s="1">
        <v>7</v>
      </c>
      <c r="H248" s="2">
        <v>46173</v>
      </c>
      <c r="I248" s="2">
        <v>46175</v>
      </c>
      <c r="J248" s="1" t="s">
        <v>20</v>
      </c>
      <c r="K248" s="1">
        <v>1247</v>
      </c>
      <c r="L248" s="4">
        <f t="shared" ca="1" si="0"/>
        <v>46261</v>
      </c>
      <c r="M248" s="5">
        <f t="shared" ca="1" si="1"/>
        <v>46261.501276736111</v>
      </c>
      <c r="N248" s="1">
        <f t="shared" si="2"/>
        <v>2</v>
      </c>
      <c r="O248" s="1">
        <f t="shared" ca="1" si="3"/>
        <v>88</v>
      </c>
      <c r="P248" s="4">
        <f t="shared" si="4"/>
        <v>46113</v>
      </c>
    </row>
    <row r="249" spans="1:16" x14ac:dyDescent="0.3">
      <c r="A249" s="1" t="s">
        <v>27</v>
      </c>
      <c r="B249" s="1" t="s">
        <v>43</v>
      </c>
      <c r="C249" s="1" t="s">
        <v>13</v>
      </c>
      <c r="D249" s="1" t="s">
        <v>37</v>
      </c>
      <c r="E249" s="1">
        <v>5</v>
      </c>
      <c r="F249" s="1">
        <v>398</v>
      </c>
      <c r="G249" s="1">
        <v>7</v>
      </c>
      <c r="H249" s="2">
        <v>46161</v>
      </c>
      <c r="I249" s="2">
        <v>46171</v>
      </c>
      <c r="J249" s="1" t="s">
        <v>29</v>
      </c>
      <c r="K249" s="1">
        <v>1248</v>
      </c>
      <c r="L249" s="4">
        <f t="shared" ca="1" si="0"/>
        <v>46261</v>
      </c>
      <c r="M249" s="5">
        <f t="shared" ca="1" si="1"/>
        <v>46261.501276736111</v>
      </c>
      <c r="N249" s="1">
        <f t="shared" si="2"/>
        <v>10</v>
      </c>
      <c r="O249" s="1">
        <f t="shared" ca="1" si="3"/>
        <v>100</v>
      </c>
      <c r="P249" s="4">
        <f t="shared" si="4"/>
        <v>46113</v>
      </c>
    </row>
    <row r="250" spans="1:16" x14ac:dyDescent="0.3">
      <c r="A250" s="1" t="s">
        <v>16</v>
      </c>
      <c r="B250" s="1" t="s">
        <v>25</v>
      </c>
      <c r="C250" s="1" t="s">
        <v>34</v>
      </c>
      <c r="D250" s="1" t="s">
        <v>41</v>
      </c>
      <c r="E250" s="1">
        <v>18</v>
      </c>
      <c r="F250" s="1">
        <v>6360</v>
      </c>
      <c r="G250" s="1">
        <v>12</v>
      </c>
      <c r="H250" s="2">
        <v>46163</v>
      </c>
      <c r="I250" s="2">
        <v>46165</v>
      </c>
      <c r="J250" s="1" t="s">
        <v>20</v>
      </c>
      <c r="K250" s="1">
        <v>1249</v>
      </c>
      <c r="L250" s="4">
        <f t="shared" ca="1" si="0"/>
        <v>46261</v>
      </c>
      <c r="M250" s="5">
        <f t="shared" ca="1" si="1"/>
        <v>46261.501276736111</v>
      </c>
      <c r="N250" s="1">
        <f t="shared" si="2"/>
        <v>2</v>
      </c>
      <c r="O250" s="1">
        <f t="shared" ca="1" si="3"/>
        <v>98</v>
      </c>
      <c r="P250" s="4">
        <f t="shared" si="4"/>
        <v>46113</v>
      </c>
    </row>
    <row r="251" spans="1:16" x14ac:dyDescent="0.3">
      <c r="A251" s="1" t="s">
        <v>11</v>
      </c>
      <c r="B251" s="1" t="s">
        <v>17</v>
      </c>
      <c r="C251" s="1" t="s">
        <v>34</v>
      </c>
      <c r="D251" s="1" t="s">
        <v>45</v>
      </c>
      <c r="E251" s="1">
        <v>2</v>
      </c>
      <c r="F251" s="1">
        <v>65953</v>
      </c>
      <c r="G251" s="1">
        <v>7</v>
      </c>
      <c r="H251" s="2">
        <v>46051</v>
      </c>
      <c r="I251" s="2">
        <v>46053</v>
      </c>
      <c r="J251" s="1" t="s">
        <v>29</v>
      </c>
      <c r="K251" s="1">
        <v>1250</v>
      </c>
      <c r="L251" s="4">
        <f t="shared" ca="1" si="0"/>
        <v>46261</v>
      </c>
      <c r="M251" s="5">
        <f t="shared" ca="1" si="1"/>
        <v>46261.501276736111</v>
      </c>
      <c r="N251" s="1">
        <f t="shared" si="2"/>
        <v>2</v>
      </c>
      <c r="O251" s="1">
        <f t="shared" ca="1" si="3"/>
        <v>210</v>
      </c>
      <c r="P251" s="4">
        <f t="shared" si="4"/>
        <v>46113</v>
      </c>
    </row>
    <row r="252" spans="1:16" x14ac:dyDescent="0.3">
      <c r="A252" s="1" t="s">
        <v>55</v>
      </c>
      <c r="B252" s="1" t="s">
        <v>38</v>
      </c>
      <c r="C252" s="1" t="s">
        <v>34</v>
      </c>
      <c r="D252" s="1" t="s">
        <v>61</v>
      </c>
      <c r="E252" s="1">
        <v>19</v>
      </c>
      <c r="F252" s="1">
        <v>48548</v>
      </c>
      <c r="G252" s="1">
        <v>0</v>
      </c>
      <c r="H252" s="2">
        <v>46112</v>
      </c>
      <c r="I252" s="2">
        <v>46121</v>
      </c>
      <c r="J252" s="1" t="s">
        <v>51</v>
      </c>
      <c r="K252" s="1">
        <v>1251</v>
      </c>
      <c r="L252" s="4">
        <f t="shared" ca="1" si="0"/>
        <v>46261</v>
      </c>
      <c r="M252" s="5">
        <f t="shared" ca="1" si="1"/>
        <v>46261.501276736111</v>
      </c>
      <c r="N252" s="1">
        <f t="shared" si="2"/>
        <v>9</v>
      </c>
      <c r="O252" s="1">
        <f t="shared" ca="1" si="3"/>
        <v>149</v>
      </c>
      <c r="P252" s="4">
        <f t="shared" si="4"/>
        <v>46113</v>
      </c>
    </row>
    <row r="253" spans="1:16" x14ac:dyDescent="0.3">
      <c r="A253" s="1" t="s">
        <v>47</v>
      </c>
      <c r="B253" s="1" t="s">
        <v>25</v>
      </c>
      <c r="C253" s="1" t="s">
        <v>13</v>
      </c>
      <c r="D253" s="1" t="s">
        <v>36</v>
      </c>
      <c r="E253" s="1">
        <v>15</v>
      </c>
      <c r="F253" s="1">
        <v>257</v>
      </c>
      <c r="G253" s="1">
        <v>5</v>
      </c>
      <c r="H253" s="2">
        <v>46166</v>
      </c>
      <c r="I253" s="2">
        <v>46173</v>
      </c>
      <c r="J253" s="1" t="s">
        <v>20</v>
      </c>
      <c r="K253" s="1">
        <v>1252</v>
      </c>
      <c r="L253" s="4">
        <f t="shared" ca="1" si="0"/>
        <v>46261</v>
      </c>
      <c r="M253" s="5">
        <f t="shared" ca="1" si="1"/>
        <v>46261.501276736111</v>
      </c>
      <c r="N253" s="1">
        <f t="shared" si="2"/>
        <v>7</v>
      </c>
      <c r="O253" s="1">
        <f t="shared" ca="1" si="3"/>
        <v>95</v>
      </c>
      <c r="P253" s="4">
        <f t="shared" si="4"/>
        <v>46113</v>
      </c>
    </row>
    <row r="254" spans="1:16" x14ac:dyDescent="0.3">
      <c r="A254" s="1" t="s">
        <v>21</v>
      </c>
      <c r="B254" s="1" t="s">
        <v>31</v>
      </c>
      <c r="C254" s="1" t="s">
        <v>34</v>
      </c>
      <c r="D254" s="1" t="s">
        <v>45</v>
      </c>
      <c r="E254" s="1">
        <v>20</v>
      </c>
      <c r="F254" s="1">
        <v>47880</v>
      </c>
      <c r="G254" s="1">
        <v>7</v>
      </c>
      <c r="H254" s="2">
        <v>46074</v>
      </c>
      <c r="I254" s="2">
        <v>46075</v>
      </c>
      <c r="J254" s="1" t="s">
        <v>29</v>
      </c>
      <c r="K254" s="1">
        <v>1253</v>
      </c>
      <c r="L254" s="4">
        <f t="shared" ca="1" si="0"/>
        <v>46261</v>
      </c>
      <c r="M254" s="5">
        <f t="shared" ca="1" si="1"/>
        <v>46261.501276736111</v>
      </c>
      <c r="N254" s="1">
        <f t="shared" si="2"/>
        <v>1</v>
      </c>
      <c r="O254" s="1">
        <f t="shared" ca="1" si="3"/>
        <v>187</v>
      </c>
      <c r="P254" s="4">
        <f t="shared" si="4"/>
        <v>46113</v>
      </c>
    </row>
    <row r="255" spans="1:16" x14ac:dyDescent="0.3">
      <c r="A255" s="1" t="s">
        <v>52</v>
      </c>
      <c r="B255" s="1" t="s">
        <v>22</v>
      </c>
      <c r="C255" s="1" t="s">
        <v>13</v>
      </c>
      <c r="D255" s="1" t="s">
        <v>50</v>
      </c>
      <c r="E255" s="1">
        <v>18</v>
      </c>
      <c r="F255" s="1">
        <v>447</v>
      </c>
      <c r="G255" s="1">
        <v>15</v>
      </c>
      <c r="H255" s="2">
        <v>46141</v>
      </c>
      <c r="I255" s="2">
        <v>46149</v>
      </c>
      <c r="J255" s="1" t="s">
        <v>24</v>
      </c>
      <c r="K255" s="1">
        <v>1254</v>
      </c>
      <c r="L255" s="4">
        <f t="shared" ca="1" si="0"/>
        <v>46261</v>
      </c>
      <c r="M255" s="5">
        <f t="shared" ca="1" si="1"/>
        <v>46261.501276736111</v>
      </c>
      <c r="N255" s="1">
        <f t="shared" si="2"/>
        <v>8</v>
      </c>
      <c r="O255" s="1">
        <f t="shared" ca="1" si="3"/>
        <v>120</v>
      </c>
      <c r="P255" s="4">
        <f t="shared" si="4"/>
        <v>46113</v>
      </c>
    </row>
    <row r="256" spans="1:16" x14ac:dyDescent="0.3">
      <c r="A256" s="1" t="s">
        <v>32</v>
      </c>
      <c r="B256" s="1" t="s">
        <v>17</v>
      </c>
      <c r="C256" s="1" t="s">
        <v>18</v>
      </c>
      <c r="D256" s="1" t="s">
        <v>19</v>
      </c>
      <c r="E256" s="1">
        <v>1</v>
      </c>
      <c r="F256" s="1">
        <v>2240</v>
      </c>
      <c r="G256" s="1">
        <v>5</v>
      </c>
      <c r="H256" s="2">
        <v>46091</v>
      </c>
      <c r="I256" s="2">
        <v>46095</v>
      </c>
      <c r="J256" s="1" t="s">
        <v>20</v>
      </c>
      <c r="K256" s="1">
        <v>1255</v>
      </c>
      <c r="L256" s="4">
        <f t="shared" ca="1" si="0"/>
        <v>46261</v>
      </c>
      <c r="M256" s="5">
        <f t="shared" ca="1" si="1"/>
        <v>46261.501276736111</v>
      </c>
      <c r="N256" s="1">
        <f t="shared" si="2"/>
        <v>4</v>
      </c>
      <c r="O256" s="1">
        <f t="shared" ca="1" si="3"/>
        <v>170</v>
      </c>
      <c r="P256" s="4">
        <f t="shared" si="4"/>
        <v>46113</v>
      </c>
    </row>
    <row r="257" spans="1:16" x14ac:dyDescent="0.3">
      <c r="A257" s="1" t="s">
        <v>48</v>
      </c>
      <c r="B257" s="1" t="s">
        <v>31</v>
      </c>
      <c r="C257" s="1" t="s">
        <v>13</v>
      </c>
      <c r="D257" s="1" t="s">
        <v>50</v>
      </c>
      <c r="E257" s="1">
        <v>19</v>
      </c>
      <c r="F257" s="1">
        <v>406</v>
      </c>
      <c r="G257" s="1">
        <v>7</v>
      </c>
      <c r="H257" s="2">
        <v>46057</v>
      </c>
      <c r="I257" s="2">
        <v>46061</v>
      </c>
      <c r="J257" s="1" t="s">
        <v>15</v>
      </c>
      <c r="K257" s="1">
        <v>1256</v>
      </c>
      <c r="L257" s="4">
        <f t="shared" ref="L257:L401" ca="1" si="5">TODAY()</f>
        <v>46261</v>
      </c>
      <c r="M257" s="5">
        <f t="shared" ref="M257:M401" ca="1" si="6">NOW()</f>
        <v>46261.501276736111</v>
      </c>
      <c r="N257" s="1">
        <f t="shared" ref="N257:N401" si="7">DATEDIF(H257,I257,"D")</f>
        <v>4</v>
      </c>
      <c r="O257" s="1">
        <f t="shared" ref="O257:O401" ca="1" si="8">DATEDIF(H257,TODAY(),"D")</f>
        <v>204</v>
      </c>
      <c r="P257" s="4">
        <f t="shared" ref="P257:P401" si="9">DATE(2026,4,1)</f>
        <v>46113</v>
      </c>
    </row>
    <row r="258" spans="1:16" x14ac:dyDescent="0.3">
      <c r="A258" s="1" t="s">
        <v>54</v>
      </c>
      <c r="B258" s="1" t="s">
        <v>25</v>
      </c>
      <c r="C258" s="1" t="s">
        <v>34</v>
      </c>
      <c r="D258" s="1" t="s">
        <v>61</v>
      </c>
      <c r="E258" s="1">
        <v>7</v>
      </c>
      <c r="F258" s="1">
        <v>53243</v>
      </c>
      <c r="G258" s="1">
        <v>12</v>
      </c>
      <c r="H258" s="2">
        <v>46161</v>
      </c>
      <c r="I258" s="2">
        <v>46171</v>
      </c>
      <c r="J258" s="1" t="s">
        <v>15</v>
      </c>
      <c r="K258" s="1">
        <v>1257</v>
      </c>
      <c r="L258" s="4">
        <f t="shared" ca="1" si="5"/>
        <v>46261</v>
      </c>
      <c r="M258" s="5">
        <f t="shared" ca="1" si="6"/>
        <v>46261.501276736111</v>
      </c>
      <c r="N258" s="1">
        <f t="shared" si="7"/>
        <v>10</v>
      </c>
      <c r="O258" s="1">
        <f t="shared" ca="1" si="8"/>
        <v>100</v>
      </c>
      <c r="P258" s="4">
        <f t="shared" si="9"/>
        <v>46113</v>
      </c>
    </row>
    <row r="259" spans="1:16" x14ac:dyDescent="0.3">
      <c r="A259" s="1" t="s">
        <v>32</v>
      </c>
      <c r="B259" s="1" t="s">
        <v>31</v>
      </c>
      <c r="C259" s="1" t="s">
        <v>34</v>
      </c>
      <c r="D259" s="1" t="s">
        <v>60</v>
      </c>
      <c r="E259" s="1">
        <v>1</v>
      </c>
      <c r="F259" s="1">
        <v>10600</v>
      </c>
      <c r="G259" s="1">
        <v>5</v>
      </c>
      <c r="H259" s="2">
        <v>46137</v>
      </c>
      <c r="I259" s="2">
        <v>46138</v>
      </c>
      <c r="J259" s="1" t="s">
        <v>29</v>
      </c>
      <c r="K259" s="1">
        <v>1258</v>
      </c>
      <c r="L259" s="4">
        <f t="shared" ca="1" si="5"/>
        <v>46261</v>
      </c>
      <c r="M259" s="5">
        <f t="shared" ca="1" si="6"/>
        <v>46261.501276736111</v>
      </c>
      <c r="N259" s="1">
        <f t="shared" si="7"/>
        <v>1</v>
      </c>
      <c r="O259" s="1">
        <f t="shared" ca="1" si="8"/>
        <v>124</v>
      </c>
      <c r="P259" s="4">
        <f t="shared" si="9"/>
        <v>46113</v>
      </c>
    </row>
    <row r="260" spans="1:16" x14ac:dyDescent="0.3">
      <c r="A260" s="1" t="s">
        <v>42</v>
      </c>
      <c r="B260" s="1" t="s">
        <v>22</v>
      </c>
      <c r="C260" s="1" t="s">
        <v>34</v>
      </c>
      <c r="D260" s="1" t="s">
        <v>45</v>
      </c>
      <c r="E260" s="1">
        <v>10</v>
      </c>
      <c r="F260" s="1">
        <v>38771</v>
      </c>
      <c r="G260" s="1">
        <v>15</v>
      </c>
      <c r="H260" s="2">
        <v>46172</v>
      </c>
      <c r="I260" s="2">
        <v>46182</v>
      </c>
      <c r="J260" s="1" t="s">
        <v>15</v>
      </c>
      <c r="K260" s="1">
        <v>1259</v>
      </c>
      <c r="L260" s="4">
        <f t="shared" ca="1" si="5"/>
        <v>46261</v>
      </c>
      <c r="M260" s="5">
        <f t="shared" ca="1" si="6"/>
        <v>46261.501276736111</v>
      </c>
      <c r="N260" s="1">
        <f t="shared" si="7"/>
        <v>10</v>
      </c>
      <c r="O260" s="1">
        <f t="shared" ca="1" si="8"/>
        <v>89</v>
      </c>
      <c r="P260" s="4">
        <f t="shared" si="9"/>
        <v>46113</v>
      </c>
    </row>
    <row r="261" spans="1:16" x14ac:dyDescent="0.3">
      <c r="A261" s="1" t="s">
        <v>54</v>
      </c>
      <c r="B261" s="1" t="s">
        <v>38</v>
      </c>
      <c r="C261" s="1" t="s">
        <v>34</v>
      </c>
      <c r="D261" s="1" t="s">
        <v>41</v>
      </c>
      <c r="E261" s="1">
        <v>19</v>
      </c>
      <c r="F261" s="1">
        <v>54981</v>
      </c>
      <c r="G261" s="1">
        <v>10</v>
      </c>
      <c r="H261" s="2">
        <v>46040</v>
      </c>
      <c r="I261" s="2">
        <v>46045</v>
      </c>
      <c r="J261" s="1" t="s">
        <v>29</v>
      </c>
      <c r="K261" s="1">
        <v>1260</v>
      </c>
      <c r="L261" s="4">
        <f t="shared" ca="1" si="5"/>
        <v>46261</v>
      </c>
      <c r="M261" s="5">
        <f t="shared" ca="1" si="6"/>
        <v>46261.501276736111</v>
      </c>
      <c r="N261" s="1">
        <f t="shared" si="7"/>
        <v>5</v>
      </c>
      <c r="O261" s="1">
        <f t="shared" ca="1" si="8"/>
        <v>221</v>
      </c>
      <c r="P261" s="4">
        <f t="shared" si="9"/>
        <v>46113</v>
      </c>
    </row>
    <row r="262" spans="1:16" x14ac:dyDescent="0.3">
      <c r="A262" s="1" t="s">
        <v>40</v>
      </c>
      <c r="B262" s="1" t="s">
        <v>17</v>
      </c>
      <c r="C262" s="1" t="s">
        <v>13</v>
      </c>
      <c r="D262" s="1" t="s">
        <v>50</v>
      </c>
      <c r="E262" s="1">
        <v>20</v>
      </c>
      <c r="F262" s="1">
        <v>162</v>
      </c>
      <c r="G262" s="1">
        <v>7</v>
      </c>
      <c r="H262" s="2">
        <v>46119</v>
      </c>
      <c r="I262" s="2">
        <v>46120</v>
      </c>
      <c r="J262" s="1" t="s">
        <v>51</v>
      </c>
      <c r="K262" s="1">
        <v>1261</v>
      </c>
      <c r="L262" s="4">
        <f t="shared" ca="1" si="5"/>
        <v>46261</v>
      </c>
      <c r="M262" s="5">
        <f t="shared" ca="1" si="6"/>
        <v>46261.501276736111</v>
      </c>
      <c r="N262" s="1">
        <f t="shared" si="7"/>
        <v>1</v>
      </c>
      <c r="O262" s="1">
        <f t="shared" ca="1" si="8"/>
        <v>142</v>
      </c>
      <c r="P262" s="4">
        <f t="shared" si="9"/>
        <v>46113</v>
      </c>
    </row>
    <row r="263" spans="1:16" x14ac:dyDescent="0.3">
      <c r="A263" s="1" t="s">
        <v>16</v>
      </c>
      <c r="B263" s="1" t="s">
        <v>22</v>
      </c>
      <c r="C263" s="1" t="s">
        <v>18</v>
      </c>
      <c r="D263" s="1" t="s">
        <v>28</v>
      </c>
      <c r="E263" s="1">
        <v>9</v>
      </c>
      <c r="F263" s="1">
        <v>2231</v>
      </c>
      <c r="G263" s="1">
        <v>15</v>
      </c>
      <c r="H263" s="2">
        <v>46174</v>
      </c>
      <c r="I263" s="2">
        <v>46183</v>
      </c>
      <c r="J263" s="1" t="s">
        <v>15</v>
      </c>
      <c r="K263" s="1">
        <v>1262</v>
      </c>
      <c r="L263" s="4">
        <f t="shared" ca="1" si="5"/>
        <v>46261</v>
      </c>
      <c r="M263" s="5">
        <f t="shared" ca="1" si="6"/>
        <v>46261.501276736111</v>
      </c>
      <c r="N263" s="1">
        <f t="shared" si="7"/>
        <v>9</v>
      </c>
      <c r="O263" s="1">
        <f t="shared" ca="1" si="8"/>
        <v>87</v>
      </c>
      <c r="P263" s="4">
        <f t="shared" si="9"/>
        <v>46113</v>
      </c>
    </row>
    <row r="264" spans="1:16" x14ac:dyDescent="0.3">
      <c r="A264" s="1" t="s">
        <v>29</v>
      </c>
      <c r="B264" s="1" t="s">
        <v>38</v>
      </c>
      <c r="C264" s="1" t="s">
        <v>18</v>
      </c>
      <c r="D264" s="1" t="s">
        <v>28</v>
      </c>
      <c r="E264" s="1">
        <v>10</v>
      </c>
      <c r="F264" s="1">
        <v>1505</v>
      </c>
      <c r="G264" s="1">
        <v>0</v>
      </c>
      <c r="H264" s="2">
        <v>46130</v>
      </c>
      <c r="I264" s="2">
        <v>46138</v>
      </c>
      <c r="J264" s="1" t="s">
        <v>51</v>
      </c>
      <c r="K264" s="1">
        <v>1263</v>
      </c>
      <c r="L264" s="4">
        <f t="shared" ca="1" si="5"/>
        <v>46261</v>
      </c>
      <c r="M264" s="5">
        <f t="shared" ca="1" si="6"/>
        <v>46261.501276736111</v>
      </c>
      <c r="N264" s="1">
        <f t="shared" si="7"/>
        <v>8</v>
      </c>
      <c r="O264" s="1">
        <f t="shared" ca="1" si="8"/>
        <v>131</v>
      </c>
      <c r="P264" s="4">
        <f t="shared" si="9"/>
        <v>46113</v>
      </c>
    </row>
    <row r="265" spans="1:16" x14ac:dyDescent="0.3">
      <c r="A265" s="1" t="s">
        <v>11</v>
      </c>
      <c r="B265" s="1" t="s">
        <v>22</v>
      </c>
      <c r="C265" s="1" t="s">
        <v>18</v>
      </c>
      <c r="D265" s="1" t="s">
        <v>28</v>
      </c>
      <c r="E265" s="1">
        <v>15</v>
      </c>
      <c r="F265" s="1">
        <v>6365</v>
      </c>
      <c r="G265" s="1">
        <v>10</v>
      </c>
      <c r="H265" s="2">
        <v>46200</v>
      </c>
      <c r="I265" s="2">
        <v>46206</v>
      </c>
      <c r="J265" s="1" t="s">
        <v>20</v>
      </c>
      <c r="K265" s="1">
        <v>1264</v>
      </c>
      <c r="L265" s="4">
        <f t="shared" ca="1" si="5"/>
        <v>46261</v>
      </c>
      <c r="M265" s="5">
        <f t="shared" ca="1" si="6"/>
        <v>46261.501276736111</v>
      </c>
      <c r="N265" s="1">
        <f t="shared" si="7"/>
        <v>6</v>
      </c>
      <c r="O265" s="1">
        <f t="shared" ca="1" si="8"/>
        <v>61</v>
      </c>
      <c r="P265" s="4">
        <f t="shared" si="9"/>
        <v>46113</v>
      </c>
    </row>
    <row r="266" spans="1:16" x14ac:dyDescent="0.3">
      <c r="A266" s="1" t="s">
        <v>58</v>
      </c>
      <c r="B266" s="1" t="s">
        <v>22</v>
      </c>
      <c r="C266" s="1" t="s">
        <v>18</v>
      </c>
      <c r="D266" s="1" t="s">
        <v>19</v>
      </c>
      <c r="E266" s="1">
        <v>1</v>
      </c>
      <c r="F266" s="1">
        <v>1052</v>
      </c>
      <c r="G266" s="1">
        <v>7</v>
      </c>
      <c r="H266" s="2">
        <v>46117</v>
      </c>
      <c r="I266" s="2">
        <v>46127</v>
      </c>
      <c r="J266" s="1" t="s">
        <v>51</v>
      </c>
      <c r="K266" s="1">
        <v>1265</v>
      </c>
      <c r="L266" s="4">
        <f t="shared" ca="1" si="5"/>
        <v>46261</v>
      </c>
      <c r="M266" s="5">
        <f t="shared" ca="1" si="6"/>
        <v>46261.501276736111</v>
      </c>
      <c r="N266" s="1">
        <f t="shared" si="7"/>
        <v>10</v>
      </c>
      <c r="O266" s="1">
        <f t="shared" ca="1" si="8"/>
        <v>144</v>
      </c>
      <c r="P266" s="4">
        <f t="shared" si="9"/>
        <v>46113</v>
      </c>
    </row>
    <row r="267" spans="1:16" x14ac:dyDescent="0.3">
      <c r="A267" s="1" t="s">
        <v>29</v>
      </c>
      <c r="B267" s="1" t="s">
        <v>33</v>
      </c>
      <c r="C267" s="1" t="s">
        <v>13</v>
      </c>
      <c r="D267" s="1" t="s">
        <v>14</v>
      </c>
      <c r="E267" s="1">
        <v>17</v>
      </c>
      <c r="F267" s="1">
        <v>365</v>
      </c>
      <c r="G267" s="1">
        <v>2</v>
      </c>
      <c r="H267" s="2">
        <v>46096</v>
      </c>
      <c r="I267" s="2">
        <v>46104</v>
      </c>
      <c r="J267" s="1" t="s">
        <v>51</v>
      </c>
      <c r="K267" s="1">
        <v>1266</v>
      </c>
      <c r="L267" s="4">
        <f t="shared" ca="1" si="5"/>
        <v>46261</v>
      </c>
      <c r="M267" s="5">
        <f t="shared" ca="1" si="6"/>
        <v>46261.501276736111</v>
      </c>
      <c r="N267" s="1">
        <f t="shared" si="7"/>
        <v>8</v>
      </c>
      <c r="O267" s="1">
        <f t="shared" ca="1" si="8"/>
        <v>165</v>
      </c>
      <c r="P267" s="4">
        <f t="shared" si="9"/>
        <v>46113</v>
      </c>
    </row>
    <row r="268" spans="1:16" x14ac:dyDescent="0.3">
      <c r="A268" s="1" t="s">
        <v>27</v>
      </c>
      <c r="B268" s="1" t="s">
        <v>38</v>
      </c>
      <c r="C268" s="1" t="s">
        <v>13</v>
      </c>
      <c r="D268" s="1" t="s">
        <v>50</v>
      </c>
      <c r="E268" s="1">
        <v>1</v>
      </c>
      <c r="F268" s="1">
        <v>50</v>
      </c>
      <c r="G268" s="1">
        <v>0</v>
      </c>
      <c r="H268" s="2">
        <v>46129</v>
      </c>
      <c r="I268" s="2">
        <v>46138</v>
      </c>
      <c r="J268" s="1" t="s">
        <v>20</v>
      </c>
      <c r="K268" s="1">
        <v>1267</v>
      </c>
      <c r="L268" s="4">
        <f t="shared" ca="1" si="5"/>
        <v>46261</v>
      </c>
      <c r="M268" s="5">
        <f t="shared" ca="1" si="6"/>
        <v>46261.501276736111</v>
      </c>
      <c r="N268" s="1">
        <f t="shared" si="7"/>
        <v>9</v>
      </c>
      <c r="O268" s="1">
        <f t="shared" ca="1" si="8"/>
        <v>132</v>
      </c>
      <c r="P268" s="4">
        <f t="shared" si="9"/>
        <v>46113</v>
      </c>
    </row>
    <row r="269" spans="1:16" x14ac:dyDescent="0.3">
      <c r="A269" s="1" t="s">
        <v>42</v>
      </c>
      <c r="B269" s="1" t="s">
        <v>38</v>
      </c>
      <c r="C269" s="1" t="s">
        <v>34</v>
      </c>
      <c r="D269" s="1" t="s">
        <v>45</v>
      </c>
      <c r="E269" s="1">
        <v>10</v>
      </c>
      <c r="F269" s="1">
        <v>46291</v>
      </c>
      <c r="G269" s="1">
        <v>12</v>
      </c>
      <c r="H269" s="2">
        <v>46199</v>
      </c>
      <c r="I269" s="2">
        <v>46202</v>
      </c>
      <c r="J269" s="1" t="s">
        <v>20</v>
      </c>
      <c r="K269" s="1">
        <v>1268</v>
      </c>
      <c r="L269" s="4">
        <f t="shared" ca="1" si="5"/>
        <v>46261</v>
      </c>
      <c r="M269" s="5">
        <f t="shared" ca="1" si="6"/>
        <v>46261.501276736111</v>
      </c>
      <c r="N269" s="1">
        <f t="shared" si="7"/>
        <v>3</v>
      </c>
      <c r="O269" s="1">
        <f t="shared" ca="1" si="8"/>
        <v>62</v>
      </c>
      <c r="P269" s="4">
        <f t="shared" si="9"/>
        <v>46113</v>
      </c>
    </row>
    <row r="270" spans="1:16" x14ac:dyDescent="0.3">
      <c r="A270" s="1" t="s">
        <v>52</v>
      </c>
      <c r="B270" s="1" t="s">
        <v>43</v>
      </c>
      <c r="C270" s="1" t="s">
        <v>18</v>
      </c>
      <c r="D270" s="1" t="s">
        <v>19</v>
      </c>
      <c r="E270" s="1">
        <v>14</v>
      </c>
      <c r="F270" s="1">
        <v>5704</v>
      </c>
      <c r="G270" s="1">
        <v>2</v>
      </c>
      <c r="H270" s="2">
        <v>46129</v>
      </c>
      <c r="I270" s="2">
        <v>46131</v>
      </c>
      <c r="J270" s="1" t="s">
        <v>15</v>
      </c>
      <c r="K270" s="1">
        <v>1269</v>
      </c>
      <c r="L270" s="4">
        <f t="shared" ca="1" si="5"/>
        <v>46261</v>
      </c>
      <c r="M270" s="5">
        <f t="shared" ca="1" si="6"/>
        <v>46261.501276736111</v>
      </c>
      <c r="N270" s="1">
        <f t="shared" si="7"/>
        <v>2</v>
      </c>
      <c r="O270" s="1">
        <f t="shared" ca="1" si="8"/>
        <v>132</v>
      </c>
      <c r="P270" s="4">
        <f t="shared" si="9"/>
        <v>46113</v>
      </c>
    </row>
    <row r="271" spans="1:16" x14ac:dyDescent="0.3">
      <c r="A271" s="1" t="s">
        <v>49</v>
      </c>
      <c r="B271" s="1" t="s">
        <v>43</v>
      </c>
      <c r="C271" s="1" t="s">
        <v>34</v>
      </c>
      <c r="D271" s="1" t="s">
        <v>35</v>
      </c>
      <c r="E271" s="1">
        <v>16</v>
      </c>
      <c r="F271" s="1">
        <v>62941</v>
      </c>
      <c r="G271" s="1">
        <v>7</v>
      </c>
      <c r="H271" s="2">
        <v>46135</v>
      </c>
      <c r="I271" s="2">
        <v>46141</v>
      </c>
      <c r="J271" s="1" t="s">
        <v>51</v>
      </c>
      <c r="K271" s="1">
        <v>1270</v>
      </c>
      <c r="L271" s="4">
        <f t="shared" ca="1" si="5"/>
        <v>46261</v>
      </c>
      <c r="M271" s="5">
        <f t="shared" ca="1" si="6"/>
        <v>46261.501276736111</v>
      </c>
      <c r="N271" s="1">
        <f t="shared" si="7"/>
        <v>6</v>
      </c>
      <c r="O271" s="1">
        <f t="shared" ca="1" si="8"/>
        <v>126</v>
      </c>
      <c r="P271" s="4">
        <f t="shared" si="9"/>
        <v>46113</v>
      </c>
    </row>
    <row r="272" spans="1:16" x14ac:dyDescent="0.3">
      <c r="A272" s="1" t="s">
        <v>40</v>
      </c>
      <c r="B272" s="1" t="s">
        <v>33</v>
      </c>
      <c r="C272" s="1" t="s">
        <v>34</v>
      </c>
      <c r="D272" s="1" t="s">
        <v>60</v>
      </c>
      <c r="E272" s="1">
        <v>20</v>
      </c>
      <c r="F272" s="1">
        <v>36941</v>
      </c>
      <c r="G272" s="1">
        <v>15</v>
      </c>
      <c r="H272" s="2">
        <v>46083</v>
      </c>
      <c r="I272" s="2">
        <v>46085</v>
      </c>
      <c r="J272" s="1" t="s">
        <v>29</v>
      </c>
      <c r="K272" s="1">
        <v>1271</v>
      </c>
      <c r="L272" s="4">
        <f t="shared" ca="1" si="5"/>
        <v>46261</v>
      </c>
      <c r="M272" s="5">
        <f t="shared" ca="1" si="6"/>
        <v>46261.501276736111</v>
      </c>
      <c r="N272" s="1">
        <f t="shared" si="7"/>
        <v>2</v>
      </c>
      <c r="O272" s="1">
        <f t="shared" ca="1" si="8"/>
        <v>178</v>
      </c>
      <c r="P272" s="4">
        <f t="shared" si="9"/>
        <v>46113</v>
      </c>
    </row>
    <row r="273" spans="1:16" x14ac:dyDescent="0.3">
      <c r="A273" s="1" t="s">
        <v>52</v>
      </c>
      <c r="B273" s="1" t="s">
        <v>38</v>
      </c>
      <c r="C273" s="1" t="s">
        <v>34</v>
      </c>
      <c r="D273" s="1" t="s">
        <v>41</v>
      </c>
      <c r="E273" s="1">
        <v>13</v>
      </c>
      <c r="F273" s="1">
        <v>42179</v>
      </c>
      <c r="G273" s="1">
        <v>0</v>
      </c>
      <c r="H273" s="2">
        <v>46078</v>
      </c>
      <c r="I273" s="2">
        <v>46084</v>
      </c>
      <c r="J273" s="1" t="s">
        <v>20</v>
      </c>
      <c r="K273" s="1">
        <v>1272</v>
      </c>
      <c r="L273" s="4">
        <f t="shared" ca="1" si="5"/>
        <v>46261</v>
      </c>
      <c r="M273" s="5">
        <f t="shared" ca="1" si="6"/>
        <v>46261.501276736111</v>
      </c>
      <c r="N273" s="1">
        <f t="shared" si="7"/>
        <v>6</v>
      </c>
      <c r="O273" s="1">
        <f t="shared" ca="1" si="8"/>
        <v>183</v>
      </c>
      <c r="P273" s="4">
        <f t="shared" si="9"/>
        <v>46113</v>
      </c>
    </row>
    <row r="274" spans="1:16" x14ac:dyDescent="0.3">
      <c r="A274" s="1" t="s">
        <v>46</v>
      </c>
      <c r="B274" s="1" t="s">
        <v>25</v>
      </c>
      <c r="C274" s="1" t="s">
        <v>34</v>
      </c>
      <c r="D274" s="1" t="s">
        <v>39</v>
      </c>
      <c r="E274" s="1">
        <v>12</v>
      </c>
      <c r="F274" s="1">
        <v>20618</v>
      </c>
      <c r="G274" s="1">
        <v>12</v>
      </c>
      <c r="H274" s="2">
        <v>46172</v>
      </c>
      <c r="I274" s="2">
        <v>46174</v>
      </c>
      <c r="J274" s="1" t="s">
        <v>20</v>
      </c>
      <c r="K274" s="1">
        <v>1273</v>
      </c>
      <c r="L274" s="4">
        <f t="shared" ca="1" si="5"/>
        <v>46261</v>
      </c>
      <c r="M274" s="5">
        <f t="shared" ca="1" si="6"/>
        <v>46261.501276736111</v>
      </c>
      <c r="N274" s="1">
        <f t="shared" si="7"/>
        <v>2</v>
      </c>
      <c r="O274" s="1">
        <f t="shared" ca="1" si="8"/>
        <v>89</v>
      </c>
      <c r="P274" s="4">
        <f t="shared" si="9"/>
        <v>46113</v>
      </c>
    </row>
    <row r="275" spans="1:16" x14ac:dyDescent="0.3">
      <c r="A275" s="1" t="s">
        <v>26</v>
      </c>
      <c r="B275" s="1" t="s">
        <v>25</v>
      </c>
      <c r="C275" s="1" t="s">
        <v>34</v>
      </c>
      <c r="D275" s="1" t="s">
        <v>41</v>
      </c>
      <c r="E275" s="1">
        <v>13</v>
      </c>
      <c r="F275" s="1">
        <v>36652</v>
      </c>
      <c r="G275" s="1">
        <v>12</v>
      </c>
      <c r="H275" s="2">
        <v>46179</v>
      </c>
      <c r="I275" s="2">
        <v>46186</v>
      </c>
      <c r="J275" s="1" t="s">
        <v>20</v>
      </c>
      <c r="K275" s="1">
        <v>1274</v>
      </c>
      <c r="L275" s="4">
        <f t="shared" ca="1" si="5"/>
        <v>46261</v>
      </c>
      <c r="M275" s="5">
        <f t="shared" ca="1" si="6"/>
        <v>46261.501276736111</v>
      </c>
      <c r="N275" s="1">
        <f t="shared" si="7"/>
        <v>7</v>
      </c>
      <c r="O275" s="1">
        <f t="shared" ca="1" si="8"/>
        <v>82</v>
      </c>
      <c r="P275" s="4">
        <f t="shared" si="9"/>
        <v>46113</v>
      </c>
    </row>
    <row r="276" spans="1:16" x14ac:dyDescent="0.3">
      <c r="A276" s="1" t="s">
        <v>16</v>
      </c>
      <c r="B276" s="1" t="s">
        <v>31</v>
      </c>
      <c r="C276" s="1" t="s">
        <v>13</v>
      </c>
      <c r="D276" s="1" t="s">
        <v>50</v>
      </c>
      <c r="E276" s="1">
        <v>20</v>
      </c>
      <c r="F276" s="1">
        <v>451</v>
      </c>
      <c r="G276" s="1">
        <v>15</v>
      </c>
      <c r="H276" s="2">
        <v>46092</v>
      </c>
      <c r="I276" s="2">
        <v>46094</v>
      </c>
      <c r="J276" s="1" t="s">
        <v>20</v>
      </c>
      <c r="K276" s="1">
        <v>1275</v>
      </c>
      <c r="L276" s="4">
        <f t="shared" ca="1" si="5"/>
        <v>46261</v>
      </c>
      <c r="M276" s="5">
        <f t="shared" ca="1" si="6"/>
        <v>46261.501276736111</v>
      </c>
      <c r="N276" s="1">
        <f t="shared" si="7"/>
        <v>2</v>
      </c>
      <c r="O276" s="1">
        <f t="shared" ca="1" si="8"/>
        <v>169</v>
      </c>
      <c r="P276" s="4">
        <f t="shared" si="9"/>
        <v>46113</v>
      </c>
    </row>
    <row r="277" spans="1:16" x14ac:dyDescent="0.3">
      <c r="A277" s="1" t="s">
        <v>40</v>
      </c>
      <c r="B277" s="1" t="s">
        <v>12</v>
      </c>
      <c r="C277" s="1" t="s">
        <v>18</v>
      </c>
      <c r="D277" s="1" t="s">
        <v>19</v>
      </c>
      <c r="E277" s="1">
        <v>1</v>
      </c>
      <c r="F277" s="1">
        <v>13437</v>
      </c>
      <c r="G277" s="1">
        <v>15</v>
      </c>
      <c r="H277" s="2">
        <v>46097</v>
      </c>
      <c r="I277" s="2">
        <v>46099</v>
      </c>
      <c r="J277" s="1" t="s">
        <v>24</v>
      </c>
      <c r="K277" s="1">
        <v>1276</v>
      </c>
      <c r="L277" s="4">
        <f t="shared" ca="1" si="5"/>
        <v>46261</v>
      </c>
      <c r="M277" s="5">
        <f t="shared" ca="1" si="6"/>
        <v>46261.501276736111</v>
      </c>
      <c r="N277" s="1">
        <f t="shared" si="7"/>
        <v>2</v>
      </c>
      <c r="O277" s="1">
        <f t="shared" ca="1" si="8"/>
        <v>164</v>
      </c>
      <c r="P277" s="4">
        <f t="shared" si="9"/>
        <v>46113</v>
      </c>
    </row>
    <row r="278" spans="1:16" x14ac:dyDescent="0.3">
      <c r="A278" s="1" t="s">
        <v>59</v>
      </c>
      <c r="B278" s="1" t="s">
        <v>17</v>
      </c>
      <c r="C278" s="1" t="s">
        <v>13</v>
      </c>
      <c r="D278" s="1" t="s">
        <v>36</v>
      </c>
      <c r="E278" s="1">
        <v>14</v>
      </c>
      <c r="F278" s="1">
        <v>276</v>
      </c>
      <c r="G278" s="1">
        <v>0</v>
      </c>
      <c r="H278" s="2">
        <v>46086</v>
      </c>
      <c r="I278" s="2">
        <v>46089</v>
      </c>
      <c r="J278" s="1" t="s">
        <v>15</v>
      </c>
      <c r="K278" s="1">
        <v>1277</v>
      </c>
      <c r="L278" s="4">
        <f t="shared" ca="1" si="5"/>
        <v>46261</v>
      </c>
      <c r="M278" s="5">
        <f t="shared" ca="1" si="6"/>
        <v>46261.501276736111</v>
      </c>
      <c r="N278" s="1">
        <f t="shared" si="7"/>
        <v>3</v>
      </c>
      <c r="O278" s="1">
        <f t="shared" ca="1" si="8"/>
        <v>175</v>
      </c>
      <c r="P278" s="4">
        <f t="shared" si="9"/>
        <v>46113</v>
      </c>
    </row>
    <row r="279" spans="1:16" x14ac:dyDescent="0.3">
      <c r="A279" s="1" t="s">
        <v>47</v>
      </c>
      <c r="B279" s="1" t="s">
        <v>22</v>
      </c>
      <c r="C279" s="1" t="s">
        <v>34</v>
      </c>
      <c r="D279" s="1" t="s">
        <v>61</v>
      </c>
      <c r="E279" s="1">
        <v>4</v>
      </c>
      <c r="F279" s="1">
        <v>20639</v>
      </c>
      <c r="G279" s="1">
        <v>7</v>
      </c>
      <c r="H279" s="2">
        <v>46180</v>
      </c>
      <c r="I279" s="2">
        <v>46186</v>
      </c>
      <c r="J279" s="1" t="s">
        <v>20</v>
      </c>
      <c r="K279" s="1">
        <v>1278</v>
      </c>
      <c r="L279" s="4">
        <f t="shared" ca="1" si="5"/>
        <v>46261</v>
      </c>
      <c r="M279" s="5">
        <f t="shared" ca="1" si="6"/>
        <v>46261.501276736111</v>
      </c>
      <c r="N279" s="1">
        <f t="shared" si="7"/>
        <v>6</v>
      </c>
      <c r="O279" s="1">
        <f t="shared" ca="1" si="8"/>
        <v>81</v>
      </c>
      <c r="P279" s="4">
        <f t="shared" si="9"/>
        <v>46113</v>
      </c>
    </row>
    <row r="280" spans="1:16" x14ac:dyDescent="0.3">
      <c r="A280" s="1" t="s">
        <v>55</v>
      </c>
      <c r="B280" s="1" t="s">
        <v>33</v>
      </c>
      <c r="C280" s="1" t="s">
        <v>34</v>
      </c>
      <c r="D280" s="1" t="s">
        <v>45</v>
      </c>
      <c r="E280" s="1">
        <v>20</v>
      </c>
      <c r="F280" s="1">
        <v>49042</v>
      </c>
      <c r="G280" s="1">
        <v>2</v>
      </c>
      <c r="H280" s="2">
        <v>46124</v>
      </c>
      <c r="I280" s="2">
        <v>46126</v>
      </c>
      <c r="J280" s="1" t="s">
        <v>15</v>
      </c>
      <c r="K280" s="1">
        <v>1279</v>
      </c>
      <c r="L280" s="4">
        <f t="shared" ca="1" si="5"/>
        <v>46261</v>
      </c>
      <c r="M280" s="5">
        <f t="shared" ca="1" si="6"/>
        <v>46261.501276736111</v>
      </c>
      <c r="N280" s="1">
        <f t="shared" si="7"/>
        <v>2</v>
      </c>
      <c r="O280" s="1">
        <f t="shared" ca="1" si="8"/>
        <v>137</v>
      </c>
      <c r="P280" s="4">
        <f t="shared" si="9"/>
        <v>46113</v>
      </c>
    </row>
    <row r="281" spans="1:16" x14ac:dyDescent="0.3">
      <c r="A281" s="1" t="s">
        <v>59</v>
      </c>
      <c r="B281" s="1" t="s">
        <v>38</v>
      </c>
      <c r="C281" s="1" t="s">
        <v>13</v>
      </c>
      <c r="D281" s="1" t="s">
        <v>53</v>
      </c>
      <c r="E281" s="1">
        <v>9</v>
      </c>
      <c r="F281" s="1">
        <v>50</v>
      </c>
      <c r="G281" s="1">
        <v>7</v>
      </c>
      <c r="H281" s="2">
        <v>46085</v>
      </c>
      <c r="I281" s="2">
        <v>46095</v>
      </c>
      <c r="J281" s="1" t="s">
        <v>51</v>
      </c>
      <c r="K281" s="1">
        <v>1280</v>
      </c>
      <c r="L281" s="4">
        <f t="shared" ca="1" si="5"/>
        <v>46261</v>
      </c>
      <c r="M281" s="5">
        <f t="shared" ca="1" si="6"/>
        <v>46261.501276736111</v>
      </c>
      <c r="N281" s="1">
        <f t="shared" si="7"/>
        <v>10</v>
      </c>
      <c r="O281" s="1">
        <f t="shared" ca="1" si="8"/>
        <v>176</v>
      </c>
      <c r="P281" s="4">
        <f t="shared" si="9"/>
        <v>46113</v>
      </c>
    </row>
    <row r="282" spans="1:16" x14ac:dyDescent="0.3">
      <c r="A282" s="1" t="s">
        <v>55</v>
      </c>
      <c r="B282" s="1" t="s">
        <v>17</v>
      </c>
      <c r="C282" s="1" t="s">
        <v>13</v>
      </c>
      <c r="D282" s="1" t="s">
        <v>50</v>
      </c>
      <c r="E282" s="1">
        <v>6</v>
      </c>
      <c r="F282" s="1">
        <v>253</v>
      </c>
      <c r="G282" s="1">
        <v>0</v>
      </c>
      <c r="H282" s="2">
        <v>46055</v>
      </c>
      <c r="I282" s="2">
        <v>46063</v>
      </c>
      <c r="J282" s="1" t="s">
        <v>24</v>
      </c>
      <c r="K282" s="1">
        <v>1281</v>
      </c>
      <c r="L282" s="4">
        <f t="shared" ca="1" si="5"/>
        <v>46261</v>
      </c>
      <c r="M282" s="5">
        <f t="shared" ca="1" si="6"/>
        <v>46261.501276736111</v>
      </c>
      <c r="N282" s="1">
        <f t="shared" si="7"/>
        <v>8</v>
      </c>
      <c r="O282" s="1">
        <f t="shared" ca="1" si="8"/>
        <v>206</v>
      </c>
      <c r="P282" s="4">
        <f t="shared" si="9"/>
        <v>46113</v>
      </c>
    </row>
    <row r="283" spans="1:16" x14ac:dyDescent="0.3">
      <c r="A283" s="1" t="s">
        <v>57</v>
      </c>
      <c r="B283" s="1" t="s">
        <v>43</v>
      </c>
      <c r="C283" s="1" t="s">
        <v>18</v>
      </c>
      <c r="D283" s="1" t="s">
        <v>44</v>
      </c>
      <c r="E283" s="1">
        <v>12</v>
      </c>
      <c r="F283" s="1">
        <v>3178</v>
      </c>
      <c r="G283" s="1">
        <v>10</v>
      </c>
      <c r="H283" s="2">
        <v>46176</v>
      </c>
      <c r="I283" s="2">
        <v>46177</v>
      </c>
      <c r="J283" s="1" t="s">
        <v>29</v>
      </c>
      <c r="K283" s="1">
        <v>1282</v>
      </c>
      <c r="L283" s="4">
        <f t="shared" ca="1" si="5"/>
        <v>46261</v>
      </c>
      <c r="M283" s="5">
        <f t="shared" ca="1" si="6"/>
        <v>46261.501276736111</v>
      </c>
      <c r="N283" s="1">
        <f t="shared" si="7"/>
        <v>1</v>
      </c>
      <c r="O283" s="1">
        <f t="shared" ca="1" si="8"/>
        <v>85</v>
      </c>
      <c r="P283" s="4">
        <f t="shared" si="9"/>
        <v>46113</v>
      </c>
    </row>
    <row r="284" spans="1:16" x14ac:dyDescent="0.3">
      <c r="A284" s="1" t="s">
        <v>40</v>
      </c>
      <c r="B284" s="1" t="s">
        <v>12</v>
      </c>
      <c r="C284" s="1" t="s">
        <v>18</v>
      </c>
      <c r="D284" s="1" t="s">
        <v>23</v>
      </c>
      <c r="E284" s="1">
        <v>6</v>
      </c>
      <c r="F284" s="1">
        <v>1167</v>
      </c>
      <c r="G284" s="1">
        <v>2</v>
      </c>
      <c r="H284" s="2">
        <v>46100</v>
      </c>
      <c r="I284" s="2">
        <v>46106</v>
      </c>
      <c r="J284" s="1" t="s">
        <v>15</v>
      </c>
      <c r="K284" s="1">
        <v>1283</v>
      </c>
      <c r="L284" s="4">
        <f t="shared" ca="1" si="5"/>
        <v>46261</v>
      </c>
      <c r="M284" s="5">
        <f t="shared" ca="1" si="6"/>
        <v>46261.501276736111</v>
      </c>
      <c r="N284" s="1">
        <f t="shared" si="7"/>
        <v>6</v>
      </c>
      <c r="O284" s="1">
        <f t="shared" ca="1" si="8"/>
        <v>161</v>
      </c>
      <c r="P284" s="4">
        <f t="shared" si="9"/>
        <v>46113</v>
      </c>
    </row>
    <row r="285" spans="1:16" x14ac:dyDescent="0.3">
      <c r="A285" s="1" t="s">
        <v>40</v>
      </c>
      <c r="B285" s="1" t="s">
        <v>25</v>
      </c>
      <c r="C285" s="1" t="s">
        <v>13</v>
      </c>
      <c r="D285" s="1" t="s">
        <v>37</v>
      </c>
      <c r="E285" s="1">
        <v>16</v>
      </c>
      <c r="F285" s="1">
        <v>419</v>
      </c>
      <c r="G285" s="1">
        <v>2</v>
      </c>
      <c r="H285" s="2">
        <v>46082</v>
      </c>
      <c r="I285" s="2">
        <v>46090</v>
      </c>
      <c r="J285" s="1" t="s">
        <v>15</v>
      </c>
      <c r="K285" s="1">
        <v>1284</v>
      </c>
      <c r="L285" s="4">
        <f t="shared" ca="1" si="5"/>
        <v>46261</v>
      </c>
      <c r="M285" s="5">
        <f t="shared" ca="1" si="6"/>
        <v>46261.501276736111</v>
      </c>
      <c r="N285" s="1">
        <f t="shared" si="7"/>
        <v>8</v>
      </c>
      <c r="O285" s="1">
        <f t="shared" ca="1" si="8"/>
        <v>179</v>
      </c>
      <c r="P285" s="4">
        <f t="shared" si="9"/>
        <v>46113</v>
      </c>
    </row>
    <row r="286" spans="1:16" x14ac:dyDescent="0.3">
      <c r="A286" s="1" t="s">
        <v>32</v>
      </c>
      <c r="B286" s="1" t="s">
        <v>38</v>
      </c>
      <c r="C286" s="1" t="s">
        <v>13</v>
      </c>
      <c r="D286" s="1" t="s">
        <v>36</v>
      </c>
      <c r="E286" s="1">
        <v>7</v>
      </c>
      <c r="F286" s="1">
        <v>439</v>
      </c>
      <c r="G286" s="1">
        <v>15</v>
      </c>
      <c r="H286" s="2">
        <v>46055</v>
      </c>
      <c r="I286" s="2">
        <v>46058</v>
      </c>
      <c r="J286" s="1" t="s">
        <v>20</v>
      </c>
      <c r="K286" s="1">
        <v>1285</v>
      </c>
      <c r="L286" s="4">
        <f t="shared" ca="1" si="5"/>
        <v>46261</v>
      </c>
      <c r="M286" s="5">
        <f t="shared" ca="1" si="6"/>
        <v>46261.501276736111</v>
      </c>
      <c r="N286" s="1">
        <f t="shared" si="7"/>
        <v>3</v>
      </c>
      <c r="O286" s="1">
        <f t="shared" ca="1" si="8"/>
        <v>206</v>
      </c>
      <c r="P286" s="4">
        <f t="shared" si="9"/>
        <v>46113</v>
      </c>
    </row>
    <row r="287" spans="1:16" x14ac:dyDescent="0.3">
      <c r="A287" s="1" t="s">
        <v>46</v>
      </c>
      <c r="B287" s="1" t="s">
        <v>17</v>
      </c>
      <c r="C287" s="1" t="s">
        <v>18</v>
      </c>
      <c r="D287" s="1" t="s">
        <v>56</v>
      </c>
      <c r="E287" s="1">
        <v>9</v>
      </c>
      <c r="F287" s="1">
        <v>1340</v>
      </c>
      <c r="G287" s="1">
        <v>2</v>
      </c>
      <c r="H287" s="2">
        <v>46168</v>
      </c>
      <c r="I287" s="2">
        <v>46173</v>
      </c>
      <c r="J287" s="1" t="s">
        <v>15</v>
      </c>
      <c r="K287" s="1">
        <v>1286</v>
      </c>
      <c r="L287" s="4">
        <f t="shared" ca="1" si="5"/>
        <v>46261</v>
      </c>
      <c r="M287" s="5">
        <f t="shared" ca="1" si="6"/>
        <v>46261.501276736111</v>
      </c>
      <c r="N287" s="1">
        <f t="shared" si="7"/>
        <v>5</v>
      </c>
      <c r="O287" s="1">
        <f t="shared" ca="1" si="8"/>
        <v>93</v>
      </c>
      <c r="P287" s="4">
        <f t="shared" si="9"/>
        <v>46113</v>
      </c>
    </row>
    <row r="288" spans="1:16" x14ac:dyDescent="0.3">
      <c r="A288" s="1" t="s">
        <v>59</v>
      </c>
      <c r="B288" s="1" t="s">
        <v>31</v>
      </c>
      <c r="C288" s="1" t="s">
        <v>13</v>
      </c>
      <c r="D288" s="1" t="s">
        <v>14</v>
      </c>
      <c r="E288" s="1">
        <v>15</v>
      </c>
      <c r="F288" s="1">
        <v>251</v>
      </c>
      <c r="G288" s="1">
        <v>2</v>
      </c>
      <c r="H288" s="2">
        <v>46116</v>
      </c>
      <c r="I288" s="2">
        <v>46122</v>
      </c>
      <c r="J288" s="1" t="s">
        <v>51</v>
      </c>
      <c r="K288" s="1">
        <v>1287</v>
      </c>
      <c r="L288" s="4">
        <f t="shared" ca="1" si="5"/>
        <v>46261</v>
      </c>
      <c r="M288" s="5">
        <f t="shared" ca="1" si="6"/>
        <v>46261.501276736111</v>
      </c>
      <c r="N288" s="1">
        <f t="shared" si="7"/>
        <v>6</v>
      </c>
      <c r="O288" s="1">
        <f t="shared" ca="1" si="8"/>
        <v>145</v>
      </c>
      <c r="P288" s="4">
        <f t="shared" si="9"/>
        <v>46113</v>
      </c>
    </row>
    <row r="289" spans="1:16" x14ac:dyDescent="0.3">
      <c r="A289" s="1" t="s">
        <v>54</v>
      </c>
      <c r="B289" s="1" t="s">
        <v>22</v>
      </c>
      <c r="C289" s="1" t="s">
        <v>34</v>
      </c>
      <c r="D289" s="1" t="s">
        <v>60</v>
      </c>
      <c r="E289" s="1">
        <v>14</v>
      </c>
      <c r="F289" s="1">
        <v>35601</v>
      </c>
      <c r="G289" s="1">
        <v>10</v>
      </c>
      <c r="H289" s="2">
        <v>46179</v>
      </c>
      <c r="I289" s="2">
        <v>46187</v>
      </c>
      <c r="J289" s="1" t="s">
        <v>29</v>
      </c>
      <c r="K289" s="1">
        <v>1288</v>
      </c>
      <c r="L289" s="4">
        <f t="shared" ca="1" si="5"/>
        <v>46261</v>
      </c>
      <c r="M289" s="5">
        <f t="shared" ca="1" si="6"/>
        <v>46261.501276736111</v>
      </c>
      <c r="N289" s="1">
        <f t="shared" si="7"/>
        <v>8</v>
      </c>
      <c r="O289" s="1">
        <f t="shared" ca="1" si="8"/>
        <v>82</v>
      </c>
      <c r="P289" s="4">
        <f t="shared" si="9"/>
        <v>46113</v>
      </c>
    </row>
    <row r="290" spans="1:16" x14ac:dyDescent="0.3">
      <c r="A290" s="1" t="s">
        <v>26</v>
      </c>
      <c r="B290" s="1" t="s">
        <v>22</v>
      </c>
      <c r="C290" s="1" t="s">
        <v>34</v>
      </c>
      <c r="D290" s="1" t="s">
        <v>45</v>
      </c>
      <c r="E290" s="1">
        <v>19</v>
      </c>
      <c r="F290" s="1">
        <v>25336</v>
      </c>
      <c r="G290" s="1">
        <v>2</v>
      </c>
      <c r="H290" s="2">
        <v>46122</v>
      </c>
      <c r="I290" s="2">
        <v>46130</v>
      </c>
      <c r="J290" s="1" t="s">
        <v>24</v>
      </c>
      <c r="K290" s="1">
        <v>1289</v>
      </c>
      <c r="L290" s="4">
        <f t="shared" ca="1" si="5"/>
        <v>46261</v>
      </c>
      <c r="M290" s="5">
        <f t="shared" ca="1" si="6"/>
        <v>46261.501276736111</v>
      </c>
      <c r="N290" s="1">
        <f t="shared" si="7"/>
        <v>8</v>
      </c>
      <c r="O290" s="1">
        <f t="shared" ca="1" si="8"/>
        <v>139</v>
      </c>
      <c r="P290" s="4">
        <f t="shared" si="9"/>
        <v>46113</v>
      </c>
    </row>
    <row r="291" spans="1:16" x14ac:dyDescent="0.3">
      <c r="A291" s="1" t="s">
        <v>26</v>
      </c>
      <c r="B291" s="1" t="s">
        <v>22</v>
      </c>
      <c r="C291" s="1" t="s">
        <v>34</v>
      </c>
      <c r="D291" s="1" t="s">
        <v>35</v>
      </c>
      <c r="E291" s="1">
        <v>3</v>
      </c>
      <c r="F291" s="1">
        <v>69793</v>
      </c>
      <c r="G291" s="1">
        <v>15</v>
      </c>
      <c r="H291" s="2">
        <v>46110</v>
      </c>
      <c r="I291" s="2">
        <v>46111</v>
      </c>
      <c r="J291" s="1" t="s">
        <v>29</v>
      </c>
      <c r="K291" s="1">
        <v>1290</v>
      </c>
      <c r="L291" s="4">
        <f t="shared" ca="1" si="5"/>
        <v>46261</v>
      </c>
      <c r="M291" s="5">
        <f t="shared" ca="1" si="6"/>
        <v>46261.501276736111</v>
      </c>
      <c r="N291" s="1">
        <f t="shared" si="7"/>
        <v>1</v>
      </c>
      <c r="O291" s="1">
        <f t="shared" ca="1" si="8"/>
        <v>151</v>
      </c>
      <c r="P291" s="4">
        <f t="shared" si="9"/>
        <v>46113</v>
      </c>
    </row>
    <row r="292" spans="1:16" x14ac:dyDescent="0.3">
      <c r="A292" s="1" t="s">
        <v>21</v>
      </c>
      <c r="B292" s="1" t="s">
        <v>17</v>
      </c>
      <c r="C292" s="1" t="s">
        <v>13</v>
      </c>
      <c r="D292" s="1" t="s">
        <v>36</v>
      </c>
      <c r="E292" s="1">
        <v>17</v>
      </c>
      <c r="F292" s="1">
        <v>415</v>
      </c>
      <c r="G292" s="1">
        <v>5</v>
      </c>
      <c r="H292" s="2">
        <v>46137</v>
      </c>
      <c r="I292" s="2">
        <v>46141</v>
      </c>
      <c r="J292" s="1" t="s">
        <v>20</v>
      </c>
      <c r="K292" s="1">
        <v>1291</v>
      </c>
      <c r="L292" s="4">
        <f t="shared" ca="1" si="5"/>
        <v>46261</v>
      </c>
      <c r="M292" s="5">
        <f t="shared" ca="1" si="6"/>
        <v>46261.501276736111</v>
      </c>
      <c r="N292" s="1">
        <f t="shared" si="7"/>
        <v>4</v>
      </c>
      <c r="O292" s="1">
        <f t="shared" ca="1" si="8"/>
        <v>124</v>
      </c>
      <c r="P292" s="4">
        <f t="shared" si="9"/>
        <v>46113</v>
      </c>
    </row>
    <row r="293" spans="1:16" x14ac:dyDescent="0.3">
      <c r="A293" s="1" t="s">
        <v>54</v>
      </c>
      <c r="B293" s="1" t="s">
        <v>33</v>
      </c>
      <c r="C293" s="1" t="s">
        <v>34</v>
      </c>
      <c r="D293" s="1" t="s">
        <v>61</v>
      </c>
      <c r="E293" s="1">
        <v>11</v>
      </c>
      <c r="F293" s="1">
        <v>25158</v>
      </c>
      <c r="G293" s="1">
        <v>5</v>
      </c>
      <c r="H293" s="2">
        <v>46186</v>
      </c>
      <c r="I293" s="2">
        <v>46193</v>
      </c>
      <c r="J293" s="1" t="s">
        <v>20</v>
      </c>
      <c r="K293" s="1">
        <v>1292</v>
      </c>
      <c r="L293" s="4">
        <f t="shared" ca="1" si="5"/>
        <v>46261</v>
      </c>
      <c r="M293" s="5">
        <f t="shared" ca="1" si="6"/>
        <v>46261.501276736111</v>
      </c>
      <c r="N293" s="1">
        <f t="shared" si="7"/>
        <v>7</v>
      </c>
      <c r="O293" s="1">
        <f t="shared" ca="1" si="8"/>
        <v>75</v>
      </c>
      <c r="P293" s="4">
        <f t="shared" si="9"/>
        <v>46113</v>
      </c>
    </row>
    <row r="294" spans="1:16" x14ac:dyDescent="0.3">
      <c r="A294" s="1" t="s">
        <v>49</v>
      </c>
      <c r="B294" s="1" t="s">
        <v>43</v>
      </c>
      <c r="C294" s="1" t="s">
        <v>18</v>
      </c>
      <c r="D294" s="1" t="s">
        <v>23</v>
      </c>
      <c r="E294" s="1">
        <v>7</v>
      </c>
      <c r="F294" s="1">
        <v>11481</v>
      </c>
      <c r="G294" s="1">
        <v>15</v>
      </c>
      <c r="H294" s="2">
        <v>46045</v>
      </c>
      <c r="I294" s="2">
        <v>46050</v>
      </c>
      <c r="J294" s="1" t="s">
        <v>20</v>
      </c>
      <c r="K294" s="1">
        <v>1293</v>
      </c>
      <c r="L294" s="4">
        <f t="shared" ca="1" si="5"/>
        <v>46261</v>
      </c>
      <c r="M294" s="5">
        <f t="shared" ca="1" si="6"/>
        <v>46261.501276736111</v>
      </c>
      <c r="N294" s="1">
        <f t="shared" si="7"/>
        <v>5</v>
      </c>
      <c r="O294" s="1">
        <f t="shared" ca="1" si="8"/>
        <v>216</v>
      </c>
      <c r="P294" s="4">
        <f t="shared" si="9"/>
        <v>46113</v>
      </c>
    </row>
    <row r="295" spans="1:16" x14ac:dyDescent="0.3">
      <c r="A295" s="1" t="s">
        <v>21</v>
      </c>
      <c r="B295" s="1" t="s">
        <v>12</v>
      </c>
      <c r="C295" s="1" t="s">
        <v>18</v>
      </c>
      <c r="D295" s="1" t="s">
        <v>19</v>
      </c>
      <c r="E295" s="1">
        <v>8</v>
      </c>
      <c r="F295" s="1">
        <v>14448</v>
      </c>
      <c r="G295" s="1">
        <v>10</v>
      </c>
      <c r="H295" s="2">
        <v>46181</v>
      </c>
      <c r="I295" s="2">
        <v>46189</v>
      </c>
      <c r="J295" s="1" t="s">
        <v>15</v>
      </c>
      <c r="K295" s="1">
        <v>1294</v>
      </c>
      <c r="L295" s="4">
        <f t="shared" ca="1" si="5"/>
        <v>46261</v>
      </c>
      <c r="M295" s="5">
        <f t="shared" ca="1" si="6"/>
        <v>46261.501276736111</v>
      </c>
      <c r="N295" s="1">
        <f t="shared" si="7"/>
        <v>8</v>
      </c>
      <c r="O295" s="1">
        <f t="shared" ca="1" si="8"/>
        <v>80</v>
      </c>
      <c r="P295" s="4">
        <f t="shared" si="9"/>
        <v>46113</v>
      </c>
    </row>
    <row r="296" spans="1:16" x14ac:dyDescent="0.3">
      <c r="A296" s="1" t="s">
        <v>52</v>
      </c>
      <c r="B296" s="1" t="s">
        <v>38</v>
      </c>
      <c r="C296" s="1" t="s">
        <v>18</v>
      </c>
      <c r="D296" s="1" t="s">
        <v>28</v>
      </c>
      <c r="E296" s="1">
        <v>16</v>
      </c>
      <c r="F296" s="1">
        <v>11935</v>
      </c>
      <c r="G296" s="1">
        <v>12</v>
      </c>
      <c r="H296" s="2">
        <v>46157</v>
      </c>
      <c r="I296" s="2">
        <v>46162</v>
      </c>
      <c r="J296" s="1" t="s">
        <v>15</v>
      </c>
      <c r="K296" s="1">
        <v>1295</v>
      </c>
      <c r="L296" s="4">
        <f t="shared" ca="1" si="5"/>
        <v>46261</v>
      </c>
      <c r="M296" s="5">
        <f t="shared" ca="1" si="6"/>
        <v>46261.501276736111</v>
      </c>
      <c r="N296" s="1">
        <f t="shared" si="7"/>
        <v>5</v>
      </c>
      <c r="O296" s="1">
        <f t="shared" ca="1" si="8"/>
        <v>104</v>
      </c>
      <c r="P296" s="4">
        <f t="shared" si="9"/>
        <v>46113</v>
      </c>
    </row>
    <row r="297" spans="1:16" x14ac:dyDescent="0.3">
      <c r="A297" s="1" t="s">
        <v>26</v>
      </c>
      <c r="B297" s="1" t="s">
        <v>38</v>
      </c>
      <c r="C297" s="1" t="s">
        <v>13</v>
      </c>
      <c r="D297" s="1" t="s">
        <v>50</v>
      </c>
      <c r="E297" s="1">
        <v>6</v>
      </c>
      <c r="F297" s="1">
        <v>201</v>
      </c>
      <c r="G297" s="1">
        <v>0</v>
      </c>
      <c r="H297" s="2">
        <v>46063</v>
      </c>
      <c r="I297" s="2">
        <v>46072</v>
      </c>
      <c r="J297" s="1" t="s">
        <v>51</v>
      </c>
      <c r="K297" s="1">
        <v>1296</v>
      </c>
      <c r="L297" s="4">
        <f t="shared" ca="1" si="5"/>
        <v>46261</v>
      </c>
      <c r="M297" s="5">
        <f t="shared" ca="1" si="6"/>
        <v>46261.501276736111</v>
      </c>
      <c r="N297" s="1">
        <f t="shared" si="7"/>
        <v>9</v>
      </c>
      <c r="O297" s="1">
        <f t="shared" ca="1" si="8"/>
        <v>198</v>
      </c>
      <c r="P297" s="4">
        <f t="shared" si="9"/>
        <v>46113</v>
      </c>
    </row>
    <row r="298" spans="1:16" x14ac:dyDescent="0.3">
      <c r="A298" s="1" t="s">
        <v>54</v>
      </c>
      <c r="B298" s="1" t="s">
        <v>25</v>
      </c>
      <c r="C298" s="1" t="s">
        <v>34</v>
      </c>
      <c r="D298" s="1" t="s">
        <v>35</v>
      </c>
      <c r="E298" s="1">
        <v>14</v>
      </c>
      <c r="F298" s="1">
        <v>24524</v>
      </c>
      <c r="G298" s="1">
        <v>10</v>
      </c>
      <c r="H298" s="2">
        <v>46178</v>
      </c>
      <c r="I298" s="2">
        <v>46187</v>
      </c>
      <c r="J298" s="1" t="s">
        <v>29</v>
      </c>
      <c r="K298" s="1">
        <v>1297</v>
      </c>
      <c r="L298" s="4">
        <f t="shared" ca="1" si="5"/>
        <v>46261</v>
      </c>
      <c r="M298" s="5">
        <f t="shared" ca="1" si="6"/>
        <v>46261.501276736111</v>
      </c>
      <c r="N298" s="1">
        <f t="shared" si="7"/>
        <v>9</v>
      </c>
      <c r="O298" s="1">
        <f t="shared" ca="1" si="8"/>
        <v>83</v>
      </c>
      <c r="P298" s="4">
        <f t="shared" si="9"/>
        <v>46113</v>
      </c>
    </row>
    <row r="299" spans="1:16" x14ac:dyDescent="0.3">
      <c r="A299" s="1" t="s">
        <v>21</v>
      </c>
      <c r="B299" s="1" t="s">
        <v>12</v>
      </c>
      <c r="C299" s="1" t="s">
        <v>34</v>
      </c>
      <c r="D299" s="1" t="s">
        <v>61</v>
      </c>
      <c r="E299" s="1">
        <v>19</v>
      </c>
      <c r="F299" s="1">
        <v>20745</v>
      </c>
      <c r="G299" s="1">
        <v>2</v>
      </c>
      <c r="H299" s="2">
        <v>46083</v>
      </c>
      <c r="I299" s="2">
        <v>46093</v>
      </c>
      <c r="J299" s="1" t="s">
        <v>24</v>
      </c>
      <c r="K299" s="1">
        <v>1298</v>
      </c>
      <c r="L299" s="4">
        <f t="shared" ca="1" si="5"/>
        <v>46261</v>
      </c>
      <c r="M299" s="5">
        <f t="shared" ca="1" si="6"/>
        <v>46261.501276736111</v>
      </c>
      <c r="N299" s="1">
        <f t="shared" si="7"/>
        <v>10</v>
      </c>
      <c r="O299" s="1">
        <f t="shared" ca="1" si="8"/>
        <v>178</v>
      </c>
      <c r="P299" s="4">
        <f t="shared" si="9"/>
        <v>46113</v>
      </c>
    </row>
    <row r="300" spans="1:16" x14ac:dyDescent="0.3">
      <c r="A300" s="1" t="s">
        <v>26</v>
      </c>
      <c r="B300" s="1" t="s">
        <v>17</v>
      </c>
      <c r="C300" s="1" t="s">
        <v>18</v>
      </c>
      <c r="D300" s="1" t="s">
        <v>56</v>
      </c>
      <c r="E300" s="1">
        <v>8</v>
      </c>
      <c r="F300" s="1">
        <v>8783</v>
      </c>
      <c r="G300" s="1">
        <v>2</v>
      </c>
      <c r="H300" s="2">
        <v>46123</v>
      </c>
      <c r="I300" s="2">
        <v>46132</v>
      </c>
      <c r="J300" s="1" t="s">
        <v>15</v>
      </c>
      <c r="K300" s="1">
        <v>1299</v>
      </c>
      <c r="L300" s="4">
        <f t="shared" ca="1" si="5"/>
        <v>46261</v>
      </c>
      <c r="M300" s="5">
        <f t="shared" ca="1" si="6"/>
        <v>46261.501276736111</v>
      </c>
      <c r="N300" s="1">
        <f t="shared" si="7"/>
        <v>9</v>
      </c>
      <c r="O300" s="1">
        <f t="shared" ca="1" si="8"/>
        <v>138</v>
      </c>
      <c r="P300" s="4">
        <f t="shared" si="9"/>
        <v>46113</v>
      </c>
    </row>
    <row r="301" spans="1:16" x14ac:dyDescent="0.3">
      <c r="A301" s="1" t="s">
        <v>47</v>
      </c>
      <c r="B301" s="1" t="s">
        <v>33</v>
      </c>
      <c r="C301" s="1" t="s">
        <v>34</v>
      </c>
      <c r="D301" s="1" t="s">
        <v>45</v>
      </c>
      <c r="E301" s="1">
        <v>20</v>
      </c>
      <c r="F301" s="1">
        <v>1392</v>
      </c>
      <c r="G301" s="1">
        <v>2</v>
      </c>
      <c r="H301" s="2">
        <v>46110</v>
      </c>
      <c r="I301" s="2">
        <v>46117</v>
      </c>
      <c r="J301" s="1" t="s">
        <v>24</v>
      </c>
      <c r="K301" s="1">
        <v>1300</v>
      </c>
      <c r="L301" s="4">
        <f t="shared" ca="1" si="5"/>
        <v>46261</v>
      </c>
      <c r="M301" s="5">
        <f t="shared" ca="1" si="6"/>
        <v>46261.501276736111</v>
      </c>
      <c r="N301" s="1">
        <f t="shared" si="7"/>
        <v>7</v>
      </c>
      <c r="O301" s="1">
        <f t="shared" ca="1" si="8"/>
        <v>151</v>
      </c>
      <c r="P301" s="4">
        <f t="shared" si="9"/>
        <v>46113</v>
      </c>
    </row>
    <row r="302" spans="1:16" x14ac:dyDescent="0.3">
      <c r="A302" s="1" t="s">
        <v>54</v>
      </c>
      <c r="B302" s="1" t="s">
        <v>17</v>
      </c>
      <c r="C302" s="1" t="s">
        <v>18</v>
      </c>
      <c r="D302" s="1" t="s">
        <v>28</v>
      </c>
      <c r="E302" s="1">
        <v>3</v>
      </c>
      <c r="F302" s="1">
        <v>7020</v>
      </c>
      <c r="G302" s="1">
        <v>10</v>
      </c>
      <c r="H302" s="2">
        <v>46028</v>
      </c>
      <c r="I302" s="2">
        <v>46038</v>
      </c>
      <c r="J302" s="1" t="s">
        <v>24</v>
      </c>
      <c r="K302" s="1">
        <v>1301</v>
      </c>
      <c r="L302" s="4">
        <f t="shared" ca="1" si="5"/>
        <v>46261</v>
      </c>
      <c r="M302" s="5">
        <f t="shared" ca="1" si="6"/>
        <v>46261.501276736111</v>
      </c>
      <c r="N302" s="1">
        <f t="shared" si="7"/>
        <v>10</v>
      </c>
      <c r="O302" s="1">
        <f t="shared" ca="1" si="8"/>
        <v>233</v>
      </c>
      <c r="P302" s="4">
        <f t="shared" si="9"/>
        <v>46113</v>
      </c>
    </row>
    <row r="303" spans="1:16" x14ac:dyDescent="0.3">
      <c r="A303" s="1" t="s">
        <v>57</v>
      </c>
      <c r="B303" s="1" t="s">
        <v>12</v>
      </c>
      <c r="C303" s="1" t="s">
        <v>34</v>
      </c>
      <c r="D303" s="1" t="s">
        <v>35</v>
      </c>
      <c r="E303" s="1">
        <v>9</v>
      </c>
      <c r="F303" s="1">
        <v>8500</v>
      </c>
      <c r="G303" s="1">
        <v>15</v>
      </c>
      <c r="H303" s="2">
        <v>46163</v>
      </c>
      <c r="I303" s="2">
        <v>46172</v>
      </c>
      <c r="J303" s="1" t="s">
        <v>24</v>
      </c>
      <c r="K303" s="1">
        <v>1302</v>
      </c>
      <c r="L303" s="4">
        <f t="shared" ca="1" si="5"/>
        <v>46261</v>
      </c>
      <c r="M303" s="5">
        <f t="shared" ca="1" si="6"/>
        <v>46261.501276736111</v>
      </c>
      <c r="N303" s="1">
        <f t="shared" si="7"/>
        <v>9</v>
      </c>
      <c r="O303" s="1">
        <f t="shared" ca="1" si="8"/>
        <v>98</v>
      </c>
      <c r="P303" s="4">
        <f t="shared" si="9"/>
        <v>46113</v>
      </c>
    </row>
    <row r="304" spans="1:16" x14ac:dyDescent="0.3">
      <c r="A304" s="1" t="s">
        <v>57</v>
      </c>
      <c r="B304" s="1" t="s">
        <v>38</v>
      </c>
      <c r="C304" s="1" t="s">
        <v>34</v>
      </c>
      <c r="D304" s="1" t="s">
        <v>35</v>
      </c>
      <c r="E304" s="1">
        <v>13</v>
      </c>
      <c r="F304" s="1">
        <v>5170</v>
      </c>
      <c r="G304" s="1">
        <v>2</v>
      </c>
      <c r="H304" s="2">
        <v>46124</v>
      </c>
      <c r="I304" s="2">
        <v>46127</v>
      </c>
      <c r="J304" s="1" t="s">
        <v>15</v>
      </c>
      <c r="K304" s="1">
        <v>1303</v>
      </c>
      <c r="L304" s="4">
        <f t="shared" ca="1" si="5"/>
        <v>46261</v>
      </c>
      <c r="M304" s="5">
        <f t="shared" ca="1" si="6"/>
        <v>46261.501276736111</v>
      </c>
      <c r="N304" s="1">
        <f t="shared" si="7"/>
        <v>3</v>
      </c>
      <c r="O304" s="1">
        <f t="shared" ca="1" si="8"/>
        <v>137</v>
      </c>
      <c r="P304" s="4">
        <f t="shared" si="9"/>
        <v>46113</v>
      </c>
    </row>
    <row r="305" spans="1:16" x14ac:dyDescent="0.3">
      <c r="A305" s="1" t="s">
        <v>59</v>
      </c>
      <c r="B305" s="1" t="s">
        <v>25</v>
      </c>
      <c r="C305" s="1" t="s">
        <v>13</v>
      </c>
      <c r="D305" s="1" t="s">
        <v>36</v>
      </c>
      <c r="E305" s="1">
        <v>20</v>
      </c>
      <c r="F305" s="1">
        <v>368</v>
      </c>
      <c r="G305" s="1">
        <v>7</v>
      </c>
      <c r="H305" s="2">
        <v>46042</v>
      </c>
      <c r="I305" s="2">
        <v>46051</v>
      </c>
      <c r="J305" s="1" t="s">
        <v>51</v>
      </c>
      <c r="K305" s="1">
        <v>1304</v>
      </c>
      <c r="L305" s="4">
        <f t="shared" ca="1" si="5"/>
        <v>46261</v>
      </c>
      <c r="M305" s="5">
        <f t="shared" ca="1" si="6"/>
        <v>46261.501276736111</v>
      </c>
      <c r="N305" s="1">
        <f t="shared" si="7"/>
        <v>9</v>
      </c>
      <c r="O305" s="1">
        <f t="shared" ca="1" si="8"/>
        <v>219</v>
      </c>
      <c r="P305" s="4">
        <f t="shared" si="9"/>
        <v>46113</v>
      </c>
    </row>
    <row r="306" spans="1:16" x14ac:dyDescent="0.3">
      <c r="A306" s="1" t="s">
        <v>58</v>
      </c>
      <c r="B306" s="1" t="s">
        <v>31</v>
      </c>
      <c r="C306" s="1" t="s">
        <v>34</v>
      </c>
      <c r="D306" s="1" t="s">
        <v>60</v>
      </c>
      <c r="E306" s="1">
        <v>20</v>
      </c>
      <c r="F306" s="1">
        <v>31406</v>
      </c>
      <c r="G306" s="1">
        <v>15</v>
      </c>
      <c r="H306" s="2">
        <v>46146</v>
      </c>
      <c r="I306" s="2">
        <v>46154</v>
      </c>
      <c r="J306" s="1" t="s">
        <v>51</v>
      </c>
      <c r="K306" s="1">
        <v>1305</v>
      </c>
      <c r="L306" s="4">
        <f t="shared" ca="1" si="5"/>
        <v>46261</v>
      </c>
      <c r="M306" s="5">
        <f t="shared" ca="1" si="6"/>
        <v>46261.501276736111</v>
      </c>
      <c r="N306" s="1">
        <f t="shared" si="7"/>
        <v>8</v>
      </c>
      <c r="O306" s="1">
        <f t="shared" ca="1" si="8"/>
        <v>115</v>
      </c>
      <c r="P306" s="4">
        <f t="shared" si="9"/>
        <v>46113</v>
      </c>
    </row>
    <row r="307" spans="1:16" x14ac:dyDescent="0.3">
      <c r="A307" s="1" t="s">
        <v>54</v>
      </c>
      <c r="B307" s="1" t="s">
        <v>43</v>
      </c>
      <c r="C307" s="1" t="s">
        <v>13</v>
      </c>
      <c r="D307" s="1" t="s">
        <v>36</v>
      </c>
      <c r="E307" s="1">
        <v>1</v>
      </c>
      <c r="F307" s="1">
        <v>332</v>
      </c>
      <c r="G307" s="1">
        <v>0</v>
      </c>
      <c r="H307" s="2">
        <v>46191</v>
      </c>
      <c r="I307" s="2">
        <v>46194</v>
      </c>
      <c r="J307" s="1" t="s">
        <v>20</v>
      </c>
      <c r="K307" s="1">
        <v>1306</v>
      </c>
      <c r="L307" s="4">
        <f t="shared" ca="1" si="5"/>
        <v>46261</v>
      </c>
      <c r="M307" s="5">
        <f t="shared" ca="1" si="6"/>
        <v>46261.501276736111</v>
      </c>
      <c r="N307" s="1">
        <f t="shared" si="7"/>
        <v>3</v>
      </c>
      <c r="O307" s="1">
        <f t="shared" ca="1" si="8"/>
        <v>70</v>
      </c>
      <c r="P307" s="4">
        <f t="shared" si="9"/>
        <v>46113</v>
      </c>
    </row>
    <row r="308" spans="1:16" x14ac:dyDescent="0.3">
      <c r="A308" s="1" t="s">
        <v>57</v>
      </c>
      <c r="B308" s="1" t="s">
        <v>43</v>
      </c>
      <c r="C308" s="1" t="s">
        <v>34</v>
      </c>
      <c r="D308" s="1" t="s">
        <v>35</v>
      </c>
      <c r="E308" s="1">
        <v>18</v>
      </c>
      <c r="F308" s="1">
        <v>7541</v>
      </c>
      <c r="G308" s="1">
        <v>12</v>
      </c>
      <c r="H308" s="2">
        <v>46048</v>
      </c>
      <c r="I308" s="2">
        <v>46051</v>
      </c>
      <c r="J308" s="1" t="s">
        <v>51</v>
      </c>
      <c r="K308" s="1">
        <v>1307</v>
      </c>
      <c r="L308" s="4">
        <f t="shared" ca="1" si="5"/>
        <v>46261</v>
      </c>
      <c r="M308" s="5">
        <f t="shared" ca="1" si="6"/>
        <v>46261.501276736111</v>
      </c>
      <c r="N308" s="1">
        <f t="shared" si="7"/>
        <v>3</v>
      </c>
      <c r="O308" s="1">
        <f t="shared" ca="1" si="8"/>
        <v>213</v>
      </c>
      <c r="P308" s="4">
        <f t="shared" si="9"/>
        <v>46113</v>
      </c>
    </row>
    <row r="309" spans="1:16" x14ac:dyDescent="0.3">
      <c r="A309" s="1" t="s">
        <v>30</v>
      </c>
      <c r="B309" s="1" t="s">
        <v>22</v>
      </c>
      <c r="C309" s="1" t="s">
        <v>34</v>
      </c>
      <c r="D309" s="1" t="s">
        <v>41</v>
      </c>
      <c r="E309" s="1">
        <v>12</v>
      </c>
      <c r="F309" s="1">
        <v>66075</v>
      </c>
      <c r="G309" s="1">
        <v>5</v>
      </c>
      <c r="H309" s="2">
        <v>46129</v>
      </c>
      <c r="I309" s="2">
        <v>46135</v>
      </c>
      <c r="J309" s="1" t="s">
        <v>20</v>
      </c>
      <c r="K309" s="1">
        <v>1308</v>
      </c>
      <c r="L309" s="4">
        <f t="shared" ca="1" si="5"/>
        <v>46261</v>
      </c>
      <c r="M309" s="5">
        <f t="shared" ca="1" si="6"/>
        <v>46261.501276736111</v>
      </c>
      <c r="N309" s="1">
        <f t="shared" si="7"/>
        <v>6</v>
      </c>
      <c r="O309" s="1">
        <f t="shared" ca="1" si="8"/>
        <v>132</v>
      </c>
      <c r="P309" s="4">
        <f t="shared" si="9"/>
        <v>46113</v>
      </c>
    </row>
    <row r="310" spans="1:16" x14ac:dyDescent="0.3">
      <c r="A310" s="1" t="s">
        <v>29</v>
      </c>
      <c r="B310" s="1" t="s">
        <v>31</v>
      </c>
      <c r="C310" s="1" t="s">
        <v>13</v>
      </c>
      <c r="D310" s="1" t="s">
        <v>50</v>
      </c>
      <c r="E310" s="1">
        <v>2</v>
      </c>
      <c r="F310" s="1">
        <v>35</v>
      </c>
      <c r="G310" s="1">
        <v>5</v>
      </c>
      <c r="H310" s="2">
        <v>46197</v>
      </c>
      <c r="I310" s="2">
        <v>46198</v>
      </c>
      <c r="J310" s="1" t="s">
        <v>24</v>
      </c>
      <c r="K310" s="1">
        <v>1309</v>
      </c>
      <c r="L310" s="4">
        <f t="shared" ca="1" si="5"/>
        <v>46261</v>
      </c>
      <c r="M310" s="5">
        <f t="shared" ca="1" si="6"/>
        <v>46261.501276736111</v>
      </c>
      <c r="N310" s="1">
        <f t="shared" si="7"/>
        <v>1</v>
      </c>
      <c r="O310" s="1">
        <f t="shared" ca="1" si="8"/>
        <v>64</v>
      </c>
      <c r="P310" s="4">
        <f t="shared" si="9"/>
        <v>46113</v>
      </c>
    </row>
    <row r="311" spans="1:16" x14ac:dyDescent="0.3">
      <c r="A311" s="1" t="s">
        <v>49</v>
      </c>
      <c r="B311" s="1" t="s">
        <v>17</v>
      </c>
      <c r="C311" s="1" t="s">
        <v>18</v>
      </c>
      <c r="D311" s="1" t="s">
        <v>56</v>
      </c>
      <c r="E311" s="1">
        <v>19</v>
      </c>
      <c r="F311" s="1">
        <v>12691</v>
      </c>
      <c r="G311" s="1">
        <v>0</v>
      </c>
      <c r="H311" s="2">
        <v>46181</v>
      </c>
      <c r="I311" s="2">
        <v>46189</v>
      </c>
      <c r="J311" s="1" t="s">
        <v>29</v>
      </c>
      <c r="K311" s="1">
        <v>1310</v>
      </c>
      <c r="L311" s="4">
        <f t="shared" ca="1" si="5"/>
        <v>46261</v>
      </c>
      <c r="M311" s="5">
        <f t="shared" ca="1" si="6"/>
        <v>46261.501276736111</v>
      </c>
      <c r="N311" s="1">
        <f t="shared" si="7"/>
        <v>8</v>
      </c>
      <c r="O311" s="1">
        <f t="shared" ca="1" si="8"/>
        <v>80</v>
      </c>
      <c r="P311" s="4">
        <f t="shared" si="9"/>
        <v>46113</v>
      </c>
    </row>
    <row r="312" spans="1:16" x14ac:dyDescent="0.3">
      <c r="A312" s="1" t="s">
        <v>55</v>
      </c>
      <c r="B312" s="1" t="s">
        <v>12</v>
      </c>
      <c r="C312" s="1" t="s">
        <v>13</v>
      </c>
      <c r="D312" s="1" t="s">
        <v>14</v>
      </c>
      <c r="E312" s="1">
        <v>2</v>
      </c>
      <c r="F312" s="1">
        <v>209</v>
      </c>
      <c r="G312" s="1">
        <v>0</v>
      </c>
      <c r="H312" s="2">
        <v>46173</v>
      </c>
      <c r="I312" s="2">
        <v>46176</v>
      </c>
      <c r="J312" s="1" t="s">
        <v>20</v>
      </c>
      <c r="K312" s="1">
        <v>1311</v>
      </c>
      <c r="L312" s="4">
        <f t="shared" ca="1" si="5"/>
        <v>46261</v>
      </c>
      <c r="M312" s="5">
        <f t="shared" ca="1" si="6"/>
        <v>46261.501276736111</v>
      </c>
      <c r="N312" s="1">
        <f t="shared" si="7"/>
        <v>3</v>
      </c>
      <c r="O312" s="1">
        <f t="shared" ca="1" si="8"/>
        <v>88</v>
      </c>
      <c r="P312" s="4">
        <f t="shared" si="9"/>
        <v>46113</v>
      </c>
    </row>
    <row r="313" spans="1:16" x14ac:dyDescent="0.3">
      <c r="A313" s="1" t="s">
        <v>57</v>
      </c>
      <c r="B313" s="1" t="s">
        <v>22</v>
      </c>
      <c r="C313" s="1" t="s">
        <v>18</v>
      </c>
      <c r="D313" s="1" t="s">
        <v>56</v>
      </c>
      <c r="E313" s="1">
        <v>20</v>
      </c>
      <c r="F313" s="1">
        <v>3274</v>
      </c>
      <c r="G313" s="1">
        <v>2</v>
      </c>
      <c r="H313" s="2">
        <v>46148</v>
      </c>
      <c r="I313" s="2">
        <v>46156</v>
      </c>
      <c r="J313" s="1" t="s">
        <v>24</v>
      </c>
      <c r="K313" s="1">
        <v>1312</v>
      </c>
      <c r="L313" s="4">
        <f t="shared" ca="1" si="5"/>
        <v>46261</v>
      </c>
      <c r="M313" s="5">
        <f t="shared" ca="1" si="6"/>
        <v>46261.501276736111</v>
      </c>
      <c r="N313" s="1">
        <f t="shared" si="7"/>
        <v>8</v>
      </c>
      <c r="O313" s="1">
        <f t="shared" ca="1" si="8"/>
        <v>113</v>
      </c>
      <c r="P313" s="4">
        <f t="shared" si="9"/>
        <v>46113</v>
      </c>
    </row>
    <row r="314" spans="1:16" x14ac:dyDescent="0.3">
      <c r="A314" s="1" t="s">
        <v>59</v>
      </c>
      <c r="B314" s="1" t="s">
        <v>22</v>
      </c>
      <c r="C314" s="1" t="s">
        <v>18</v>
      </c>
      <c r="D314" s="1" t="s">
        <v>56</v>
      </c>
      <c r="E314" s="1">
        <v>6</v>
      </c>
      <c r="F314" s="1">
        <v>10864</v>
      </c>
      <c r="G314" s="1">
        <v>10</v>
      </c>
      <c r="H314" s="2">
        <v>46041</v>
      </c>
      <c r="I314" s="2">
        <v>46049</v>
      </c>
      <c r="J314" s="1" t="s">
        <v>15</v>
      </c>
      <c r="K314" s="1">
        <v>1313</v>
      </c>
      <c r="L314" s="4">
        <f t="shared" ca="1" si="5"/>
        <v>46261</v>
      </c>
      <c r="M314" s="5">
        <f t="shared" ca="1" si="6"/>
        <v>46261.501276736111</v>
      </c>
      <c r="N314" s="1">
        <f t="shared" si="7"/>
        <v>8</v>
      </c>
      <c r="O314" s="1">
        <f t="shared" ca="1" si="8"/>
        <v>220</v>
      </c>
      <c r="P314" s="4">
        <f t="shared" si="9"/>
        <v>46113</v>
      </c>
    </row>
    <row r="315" spans="1:16" x14ac:dyDescent="0.3">
      <c r="A315" s="1" t="s">
        <v>52</v>
      </c>
      <c r="B315" s="1" t="s">
        <v>33</v>
      </c>
      <c r="C315" s="1" t="s">
        <v>18</v>
      </c>
      <c r="D315" s="1" t="s">
        <v>19</v>
      </c>
      <c r="E315" s="1">
        <v>10</v>
      </c>
      <c r="F315" s="1">
        <v>6328</v>
      </c>
      <c r="G315" s="1">
        <v>2</v>
      </c>
      <c r="H315" s="2">
        <v>46196</v>
      </c>
      <c r="I315" s="2">
        <v>46197</v>
      </c>
      <c r="J315" s="1" t="s">
        <v>29</v>
      </c>
      <c r="K315" s="1">
        <v>1314</v>
      </c>
      <c r="L315" s="4">
        <f t="shared" ca="1" si="5"/>
        <v>46261</v>
      </c>
      <c r="M315" s="5">
        <f t="shared" ca="1" si="6"/>
        <v>46261.501276736111</v>
      </c>
      <c r="N315" s="1">
        <f t="shared" si="7"/>
        <v>1</v>
      </c>
      <c r="O315" s="1">
        <f t="shared" ca="1" si="8"/>
        <v>65</v>
      </c>
      <c r="P315" s="4">
        <f t="shared" si="9"/>
        <v>46113</v>
      </c>
    </row>
    <row r="316" spans="1:16" x14ac:dyDescent="0.3">
      <c r="A316" s="1" t="s">
        <v>49</v>
      </c>
      <c r="B316" s="1" t="s">
        <v>31</v>
      </c>
      <c r="C316" s="1" t="s">
        <v>34</v>
      </c>
      <c r="D316" s="1" t="s">
        <v>41</v>
      </c>
      <c r="E316" s="1">
        <v>14</v>
      </c>
      <c r="F316" s="1">
        <v>57670</v>
      </c>
      <c r="G316" s="1">
        <v>2</v>
      </c>
      <c r="H316" s="2">
        <v>46186</v>
      </c>
      <c r="I316" s="2">
        <v>46196</v>
      </c>
      <c r="J316" s="1" t="s">
        <v>15</v>
      </c>
      <c r="K316" s="1">
        <v>1315</v>
      </c>
      <c r="L316" s="4">
        <f t="shared" ca="1" si="5"/>
        <v>46261</v>
      </c>
      <c r="M316" s="5">
        <f t="shared" ca="1" si="6"/>
        <v>46261.501276736111</v>
      </c>
      <c r="N316" s="1">
        <f t="shared" si="7"/>
        <v>10</v>
      </c>
      <c r="O316" s="1">
        <f t="shared" ca="1" si="8"/>
        <v>75</v>
      </c>
      <c r="P316" s="4">
        <f t="shared" si="9"/>
        <v>46113</v>
      </c>
    </row>
    <row r="317" spans="1:16" x14ac:dyDescent="0.3">
      <c r="A317" s="1" t="s">
        <v>46</v>
      </c>
      <c r="B317" s="1" t="s">
        <v>12</v>
      </c>
      <c r="C317" s="1" t="s">
        <v>18</v>
      </c>
      <c r="D317" s="1" t="s">
        <v>28</v>
      </c>
      <c r="E317" s="1">
        <v>7</v>
      </c>
      <c r="F317" s="1">
        <v>9838</v>
      </c>
      <c r="G317" s="1">
        <v>7</v>
      </c>
      <c r="H317" s="2">
        <v>46078</v>
      </c>
      <c r="I317" s="2">
        <v>46085</v>
      </c>
      <c r="J317" s="1" t="s">
        <v>20</v>
      </c>
      <c r="K317" s="1">
        <v>1316</v>
      </c>
      <c r="L317" s="4">
        <f t="shared" ca="1" si="5"/>
        <v>46261</v>
      </c>
      <c r="M317" s="5">
        <f t="shared" ca="1" si="6"/>
        <v>46261.501276736111</v>
      </c>
      <c r="N317" s="1">
        <f t="shared" si="7"/>
        <v>7</v>
      </c>
      <c r="O317" s="1">
        <f t="shared" ca="1" si="8"/>
        <v>183</v>
      </c>
      <c r="P317" s="4">
        <f t="shared" si="9"/>
        <v>46113</v>
      </c>
    </row>
    <row r="318" spans="1:16" x14ac:dyDescent="0.3">
      <c r="A318" s="1" t="s">
        <v>59</v>
      </c>
      <c r="B318" s="1" t="s">
        <v>33</v>
      </c>
      <c r="C318" s="1" t="s">
        <v>34</v>
      </c>
      <c r="D318" s="1" t="s">
        <v>41</v>
      </c>
      <c r="E318" s="1">
        <v>7</v>
      </c>
      <c r="F318" s="1">
        <v>67339</v>
      </c>
      <c r="G318" s="1">
        <v>5</v>
      </c>
      <c r="H318" s="2">
        <v>46159</v>
      </c>
      <c r="I318" s="2">
        <v>46169</v>
      </c>
      <c r="J318" s="1" t="s">
        <v>51</v>
      </c>
      <c r="K318" s="1">
        <v>1317</v>
      </c>
      <c r="L318" s="4">
        <f t="shared" ca="1" si="5"/>
        <v>46261</v>
      </c>
      <c r="M318" s="5">
        <f t="shared" ca="1" si="6"/>
        <v>46261.501276736111</v>
      </c>
      <c r="N318" s="1">
        <f t="shared" si="7"/>
        <v>10</v>
      </c>
      <c r="O318" s="1">
        <f t="shared" ca="1" si="8"/>
        <v>102</v>
      </c>
      <c r="P318" s="4">
        <f t="shared" si="9"/>
        <v>46113</v>
      </c>
    </row>
    <row r="319" spans="1:16" x14ac:dyDescent="0.3">
      <c r="A319" s="1" t="s">
        <v>11</v>
      </c>
      <c r="B319" s="1" t="s">
        <v>43</v>
      </c>
      <c r="C319" s="1" t="s">
        <v>13</v>
      </c>
      <c r="D319" s="1" t="s">
        <v>50</v>
      </c>
      <c r="E319" s="1">
        <v>4</v>
      </c>
      <c r="F319" s="1">
        <v>38</v>
      </c>
      <c r="G319" s="1">
        <v>12</v>
      </c>
      <c r="H319" s="2">
        <v>46169</v>
      </c>
      <c r="I319" s="2">
        <v>46175</v>
      </c>
      <c r="J319" s="1" t="s">
        <v>29</v>
      </c>
      <c r="K319" s="1">
        <v>1318</v>
      </c>
      <c r="L319" s="4">
        <f t="shared" ca="1" si="5"/>
        <v>46261</v>
      </c>
      <c r="M319" s="5">
        <f t="shared" ca="1" si="6"/>
        <v>46261.501276736111</v>
      </c>
      <c r="N319" s="1">
        <f t="shared" si="7"/>
        <v>6</v>
      </c>
      <c r="O319" s="1">
        <f t="shared" ca="1" si="8"/>
        <v>92</v>
      </c>
      <c r="P319" s="4">
        <f t="shared" si="9"/>
        <v>46113</v>
      </c>
    </row>
    <row r="320" spans="1:16" x14ac:dyDescent="0.3">
      <c r="A320" s="1" t="s">
        <v>21</v>
      </c>
      <c r="B320" s="1" t="s">
        <v>17</v>
      </c>
      <c r="C320" s="1" t="s">
        <v>34</v>
      </c>
      <c r="D320" s="1" t="s">
        <v>61</v>
      </c>
      <c r="E320" s="1">
        <v>17</v>
      </c>
      <c r="F320" s="1">
        <v>58407</v>
      </c>
      <c r="G320" s="1">
        <v>7</v>
      </c>
      <c r="H320" s="2">
        <v>46094</v>
      </c>
      <c r="I320" s="2">
        <v>46102</v>
      </c>
      <c r="J320" s="1" t="s">
        <v>15</v>
      </c>
      <c r="K320" s="1">
        <v>1319</v>
      </c>
      <c r="L320" s="4">
        <f t="shared" ca="1" si="5"/>
        <v>46261</v>
      </c>
      <c r="M320" s="5">
        <f t="shared" ca="1" si="6"/>
        <v>46261.501276736111</v>
      </c>
      <c r="N320" s="1">
        <f t="shared" si="7"/>
        <v>8</v>
      </c>
      <c r="O320" s="1">
        <f t="shared" ca="1" si="8"/>
        <v>167</v>
      </c>
      <c r="P320" s="4">
        <f t="shared" si="9"/>
        <v>46113</v>
      </c>
    </row>
    <row r="321" spans="1:16" x14ac:dyDescent="0.3">
      <c r="A321" s="1" t="s">
        <v>47</v>
      </c>
      <c r="B321" s="1" t="s">
        <v>38</v>
      </c>
      <c r="C321" s="1" t="s">
        <v>13</v>
      </c>
      <c r="D321" s="1" t="s">
        <v>36</v>
      </c>
      <c r="E321" s="1">
        <v>20</v>
      </c>
      <c r="F321" s="1">
        <v>55</v>
      </c>
      <c r="G321" s="1">
        <v>7</v>
      </c>
      <c r="H321" s="2">
        <v>46183</v>
      </c>
      <c r="I321" s="2">
        <v>46186</v>
      </c>
      <c r="J321" s="1" t="s">
        <v>20</v>
      </c>
      <c r="K321" s="1">
        <v>1320</v>
      </c>
      <c r="L321" s="4">
        <f t="shared" ca="1" si="5"/>
        <v>46261</v>
      </c>
      <c r="M321" s="5">
        <f t="shared" ca="1" si="6"/>
        <v>46261.501276736111</v>
      </c>
      <c r="N321" s="1">
        <f t="shared" si="7"/>
        <v>3</v>
      </c>
      <c r="O321" s="1">
        <f t="shared" ca="1" si="8"/>
        <v>78</v>
      </c>
      <c r="P321" s="4">
        <f t="shared" si="9"/>
        <v>46113</v>
      </c>
    </row>
    <row r="322" spans="1:16" x14ac:dyDescent="0.3">
      <c r="A322" s="1" t="s">
        <v>32</v>
      </c>
      <c r="B322" s="1" t="s">
        <v>22</v>
      </c>
      <c r="C322" s="1" t="s">
        <v>18</v>
      </c>
      <c r="D322" s="1" t="s">
        <v>19</v>
      </c>
      <c r="E322" s="1">
        <v>8</v>
      </c>
      <c r="F322" s="1">
        <v>5619</v>
      </c>
      <c r="G322" s="1">
        <v>7</v>
      </c>
      <c r="H322" s="2">
        <v>46107</v>
      </c>
      <c r="I322" s="2">
        <v>46109</v>
      </c>
      <c r="J322" s="1" t="s">
        <v>51</v>
      </c>
      <c r="K322" s="1">
        <v>1321</v>
      </c>
      <c r="L322" s="4">
        <f t="shared" ca="1" si="5"/>
        <v>46261</v>
      </c>
      <c r="M322" s="5">
        <f t="shared" ca="1" si="6"/>
        <v>46261.501276736111</v>
      </c>
      <c r="N322" s="1">
        <f t="shared" si="7"/>
        <v>2</v>
      </c>
      <c r="O322" s="1">
        <f t="shared" ca="1" si="8"/>
        <v>154</v>
      </c>
      <c r="P322" s="4">
        <f t="shared" si="9"/>
        <v>46113</v>
      </c>
    </row>
    <row r="323" spans="1:16" x14ac:dyDescent="0.3">
      <c r="A323" s="1" t="s">
        <v>27</v>
      </c>
      <c r="B323" s="1" t="s">
        <v>12</v>
      </c>
      <c r="C323" s="1" t="s">
        <v>18</v>
      </c>
      <c r="D323" s="1" t="s">
        <v>23</v>
      </c>
      <c r="E323" s="1">
        <v>14</v>
      </c>
      <c r="F323" s="1">
        <v>9081</v>
      </c>
      <c r="G323" s="1">
        <v>15</v>
      </c>
      <c r="H323" s="2">
        <v>46141</v>
      </c>
      <c r="I323" s="2">
        <v>46146</v>
      </c>
      <c r="J323" s="1" t="s">
        <v>15</v>
      </c>
      <c r="K323" s="1">
        <v>1322</v>
      </c>
      <c r="L323" s="4">
        <f t="shared" ca="1" si="5"/>
        <v>46261</v>
      </c>
      <c r="M323" s="5">
        <f t="shared" ca="1" si="6"/>
        <v>46261.501276736111</v>
      </c>
      <c r="N323" s="1">
        <f t="shared" si="7"/>
        <v>5</v>
      </c>
      <c r="O323" s="1">
        <f t="shared" ca="1" si="8"/>
        <v>120</v>
      </c>
      <c r="P323" s="4">
        <f t="shared" si="9"/>
        <v>46113</v>
      </c>
    </row>
    <row r="324" spans="1:16" x14ac:dyDescent="0.3">
      <c r="A324" s="1" t="s">
        <v>57</v>
      </c>
      <c r="B324" s="1" t="s">
        <v>38</v>
      </c>
      <c r="C324" s="1" t="s">
        <v>34</v>
      </c>
      <c r="D324" s="1" t="s">
        <v>61</v>
      </c>
      <c r="E324" s="1">
        <v>2</v>
      </c>
      <c r="F324" s="1">
        <v>32074</v>
      </c>
      <c r="G324" s="1">
        <v>10</v>
      </c>
      <c r="H324" s="2">
        <v>46073</v>
      </c>
      <c r="I324" s="2">
        <v>46078</v>
      </c>
      <c r="J324" s="1" t="s">
        <v>15</v>
      </c>
      <c r="K324" s="1">
        <v>1323</v>
      </c>
      <c r="L324" s="4">
        <f t="shared" ca="1" si="5"/>
        <v>46261</v>
      </c>
      <c r="M324" s="5">
        <f t="shared" ca="1" si="6"/>
        <v>46261.501276736111</v>
      </c>
      <c r="N324" s="1">
        <f t="shared" si="7"/>
        <v>5</v>
      </c>
      <c r="O324" s="1">
        <f t="shared" ca="1" si="8"/>
        <v>188</v>
      </c>
      <c r="P324" s="4">
        <f t="shared" si="9"/>
        <v>46113</v>
      </c>
    </row>
    <row r="325" spans="1:16" x14ac:dyDescent="0.3">
      <c r="A325" s="1" t="s">
        <v>32</v>
      </c>
      <c r="B325" s="1" t="s">
        <v>22</v>
      </c>
      <c r="C325" s="1" t="s">
        <v>18</v>
      </c>
      <c r="D325" s="1" t="s">
        <v>19</v>
      </c>
      <c r="E325" s="1">
        <v>1</v>
      </c>
      <c r="F325" s="1">
        <v>4286</v>
      </c>
      <c r="G325" s="1">
        <v>15</v>
      </c>
      <c r="H325" s="2">
        <v>46053</v>
      </c>
      <c r="I325" s="2">
        <v>46056</v>
      </c>
      <c r="J325" s="1" t="s">
        <v>20</v>
      </c>
      <c r="K325" s="1">
        <v>1324</v>
      </c>
      <c r="L325" s="4">
        <f t="shared" ca="1" si="5"/>
        <v>46261</v>
      </c>
      <c r="M325" s="5">
        <f t="shared" ca="1" si="6"/>
        <v>46261.501276736111</v>
      </c>
      <c r="N325" s="1">
        <f t="shared" si="7"/>
        <v>3</v>
      </c>
      <c r="O325" s="1">
        <f t="shared" ca="1" si="8"/>
        <v>208</v>
      </c>
      <c r="P325" s="4">
        <f t="shared" si="9"/>
        <v>46113</v>
      </c>
    </row>
    <row r="326" spans="1:16" x14ac:dyDescent="0.3">
      <c r="A326" s="1" t="s">
        <v>48</v>
      </c>
      <c r="B326" s="1" t="s">
        <v>43</v>
      </c>
      <c r="C326" s="1" t="s">
        <v>34</v>
      </c>
      <c r="D326" s="1" t="s">
        <v>39</v>
      </c>
      <c r="E326" s="1">
        <v>9</v>
      </c>
      <c r="F326" s="1">
        <v>58442</v>
      </c>
      <c r="G326" s="1">
        <v>12</v>
      </c>
      <c r="H326" s="2">
        <v>46076</v>
      </c>
      <c r="I326" s="2">
        <v>46085</v>
      </c>
      <c r="J326" s="1" t="s">
        <v>20</v>
      </c>
      <c r="K326" s="1">
        <v>1325</v>
      </c>
      <c r="L326" s="4">
        <f t="shared" ca="1" si="5"/>
        <v>46261</v>
      </c>
      <c r="M326" s="5">
        <f t="shared" ca="1" si="6"/>
        <v>46261.501276736111</v>
      </c>
      <c r="N326" s="1">
        <f t="shared" si="7"/>
        <v>9</v>
      </c>
      <c r="O326" s="1">
        <f t="shared" ca="1" si="8"/>
        <v>185</v>
      </c>
      <c r="P326" s="4">
        <f t="shared" si="9"/>
        <v>46113</v>
      </c>
    </row>
    <row r="327" spans="1:16" x14ac:dyDescent="0.3">
      <c r="A327" s="1" t="s">
        <v>26</v>
      </c>
      <c r="B327" s="1" t="s">
        <v>17</v>
      </c>
      <c r="C327" s="1" t="s">
        <v>18</v>
      </c>
      <c r="D327" s="1" t="s">
        <v>44</v>
      </c>
      <c r="E327" s="1">
        <v>18</v>
      </c>
      <c r="F327" s="1">
        <v>1830</v>
      </c>
      <c r="G327" s="1">
        <v>10</v>
      </c>
      <c r="H327" s="2">
        <v>46165</v>
      </c>
      <c r="I327" s="2">
        <v>46172</v>
      </c>
      <c r="J327" s="1" t="s">
        <v>15</v>
      </c>
      <c r="K327" s="1">
        <v>1326</v>
      </c>
      <c r="L327" s="4">
        <f t="shared" ca="1" si="5"/>
        <v>46261</v>
      </c>
      <c r="M327" s="5">
        <f t="shared" ca="1" si="6"/>
        <v>46261.501276736111</v>
      </c>
      <c r="N327" s="1">
        <f t="shared" si="7"/>
        <v>7</v>
      </c>
      <c r="O327" s="1">
        <f t="shared" ca="1" si="8"/>
        <v>96</v>
      </c>
      <c r="P327" s="4">
        <f t="shared" si="9"/>
        <v>46113</v>
      </c>
    </row>
    <row r="328" spans="1:16" x14ac:dyDescent="0.3">
      <c r="A328" s="1" t="s">
        <v>48</v>
      </c>
      <c r="B328" s="1" t="s">
        <v>12</v>
      </c>
      <c r="C328" s="1" t="s">
        <v>13</v>
      </c>
      <c r="D328" s="1" t="s">
        <v>53</v>
      </c>
      <c r="E328" s="1">
        <v>15</v>
      </c>
      <c r="F328" s="1">
        <v>449</v>
      </c>
      <c r="G328" s="1">
        <v>5</v>
      </c>
      <c r="H328" s="2">
        <v>46152</v>
      </c>
      <c r="I328" s="2">
        <v>46153</v>
      </c>
      <c r="J328" s="1" t="s">
        <v>15</v>
      </c>
      <c r="K328" s="1">
        <v>1327</v>
      </c>
      <c r="L328" s="4">
        <f t="shared" ca="1" si="5"/>
        <v>46261</v>
      </c>
      <c r="M328" s="5">
        <f t="shared" ca="1" si="6"/>
        <v>46261.501276736111</v>
      </c>
      <c r="N328" s="1">
        <f t="shared" si="7"/>
        <v>1</v>
      </c>
      <c r="O328" s="1">
        <f t="shared" ca="1" si="8"/>
        <v>109</v>
      </c>
      <c r="P328" s="4">
        <f t="shared" si="9"/>
        <v>46113</v>
      </c>
    </row>
    <row r="329" spans="1:16" x14ac:dyDescent="0.3">
      <c r="A329" s="1" t="s">
        <v>16</v>
      </c>
      <c r="B329" s="1" t="s">
        <v>38</v>
      </c>
      <c r="C329" s="1" t="s">
        <v>13</v>
      </c>
      <c r="D329" s="1" t="s">
        <v>36</v>
      </c>
      <c r="E329" s="1">
        <v>4</v>
      </c>
      <c r="F329" s="1">
        <v>132</v>
      </c>
      <c r="G329" s="1">
        <v>0</v>
      </c>
      <c r="H329" s="2">
        <v>46109</v>
      </c>
      <c r="I329" s="2">
        <v>46114</v>
      </c>
      <c r="J329" s="1" t="s">
        <v>29</v>
      </c>
      <c r="K329" s="1">
        <v>1328</v>
      </c>
      <c r="L329" s="4">
        <f t="shared" ca="1" si="5"/>
        <v>46261</v>
      </c>
      <c r="M329" s="5">
        <f t="shared" ca="1" si="6"/>
        <v>46261.501276736111</v>
      </c>
      <c r="N329" s="1">
        <f t="shared" si="7"/>
        <v>5</v>
      </c>
      <c r="O329" s="1">
        <f t="shared" ca="1" si="8"/>
        <v>152</v>
      </c>
      <c r="P329" s="4">
        <f t="shared" si="9"/>
        <v>46113</v>
      </c>
    </row>
    <row r="330" spans="1:16" x14ac:dyDescent="0.3">
      <c r="A330" s="1" t="s">
        <v>30</v>
      </c>
      <c r="B330" s="1" t="s">
        <v>43</v>
      </c>
      <c r="C330" s="1" t="s">
        <v>13</v>
      </c>
      <c r="D330" s="1" t="s">
        <v>53</v>
      </c>
      <c r="E330" s="1">
        <v>18</v>
      </c>
      <c r="F330" s="1">
        <v>227</v>
      </c>
      <c r="G330" s="1">
        <v>5</v>
      </c>
      <c r="H330" s="2">
        <v>46126</v>
      </c>
      <c r="I330" s="2">
        <v>46136</v>
      </c>
      <c r="J330" s="1" t="s">
        <v>29</v>
      </c>
      <c r="K330" s="1">
        <v>1329</v>
      </c>
      <c r="L330" s="4">
        <f t="shared" ca="1" si="5"/>
        <v>46261</v>
      </c>
      <c r="M330" s="5">
        <f t="shared" ca="1" si="6"/>
        <v>46261.501276736111</v>
      </c>
      <c r="N330" s="1">
        <f t="shared" si="7"/>
        <v>10</v>
      </c>
      <c r="O330" s="1">
        <f t="shared" ca="1" si="8"/>
        <v>135</v>
      </c>
      <c r="P330" s="4">
        <f t="shared" si="9"/>
        <v>46113</v>
      </c>
    </row>
    <row r="331" spans="1:16" x14ac:dyDescent="0.3">
      <c r="A331" s="1" t="s">
        <v>49</v>
      </c>
      <c r="B331" s="1" t="s">
        <v>17</v>
      </c>
      <c r="C331" s="1" t="s">
        <v>18</v>
      </c>
      <c r="D331" s="1" t="s">
        <v>19</v>
      </c>
      <c r="E331" s="1">
        <v>13</v>
      </c>
      <c r="F331" s="1">
        <v>12071</v>
      </c>
      <c r="G331" s="1">
        <v>0</v>
      </c>
      <c r="H331" s="2">
        <v>46032</v>
      </c>
      <c r="I331" s="2">
        <v>46036</v>
      </c>
      <c r="J331" s="1" t="s">
        <v>51</v>
      </c>
      <c r="K331" s="1">
        <v>1330</v>
      </c>
      <c r="L331" s="4">
        <f t="shared" ca="1" si="5"/>
        <v>46261</v>
      </c>
      <c r="M331" s="5">
        <f t="shared" ca="1" si="6"/>
        <v>46261.501276736111</v>
      </c>
      <c r="N331" s="1">
        <f t="shared" si="7"/>
        <v>4</v>
      </c>
      <c r="O331" s="1">
        <f t="shared" ca="1" si="8"/>
        <v>229</v>
      </c>
      <c r="P331" s="4">
        <f t="shared" si="9"/>
        <v>46113</v>
      </c>
    </row>
    <row r="332" spans="1:16" x14ac:dyDescent="0.3">
      <c r="A332" s="1" t="s">
        <v>21</v>
      </c>
      <c r="B332" s="1" t="s">
        <v>25</v>
      </c>
      <c r="C332" s="1" t="s">
        <v>34</v>
      </c>
      <c r="D332" s="1" t="s">
        <v>61</v>
      </c>
      <c r="E332" s="1">
        <v>2</v>
      </c>
      <c r="F332" s="1">
        <v>43557</v>
      </c>
      <c r="G332" s="1">
        <v>2</v>
      </c>
      <c r="H332" s="2">
        <v>46190</v>
      </c>
      <c r="I332" s="2">
        <v>46200</v>
      </c>
      <c r="J332" s="1" t="s">
        <v>15</v>
      </c>
      <c r="K332" s="1">
        <v>1331</v>
      </c>
      <c r="L332" s="4">
        <f t="shared" ca="1" si="5"/>
        <v>46261</v>
      </c>
      <c r="M332" s="5">
        <f t="shared" ca="1" si="6"/>
        <v>46261.501276736111</v>
      </c>
      <c r="N332" s="1">
        <f t="shared" si="7"/>
        <v>10</v>
      </c>
      <c r="O332" s="1">
        <f t="shared" ca="1" si="8"/>
        <v>71</v>
      </c>
      <c r="P332" s="4">
        <f t="shared" si="9"/>
        <v>46113</v>
      </c>
    </row>
    <row r="333" spans="1:16" x14ac:dyDescent="0.3">
      <c r="A333" s="1" t="s">
        <v>29</v>
      </c>
      <c r="B333" s="1" t="s">
        <v>43</v>
      </c>
      <c r="C333" s="1" t="s">
        <v>13</v>
      </c>
      <c r="D333" s="1" t="s">
        <v>50</v>
      </c>
      <c r="E333" s="1">
        <v>7</v>
      </c>
      <c r="F333" s="1">
        <v>439</v>
      </c>
      <c r="G333" s="1">
        <v>2</v>
      </c>
      <c r="H333" s="2">
        <v>46154</v>
      </c>
      <c r="I333" s="2">
        <v>46157</v>
      </c>
      <c r="J333" s="1" t="s">
        <v>15</v>
      </c>
      <c r="K333" s="1">
        <v>1332</v>
      </c>
      <c r="L333" s="4">
        <f t="shared" ca="1" si="5"/>
        <v>46261</v>
      </c>
      <c r="M333" s="5">
        <f t="shared" ca="1" si="6"/>
        <v>46261.501276736111</v>
      </c>
      <c r="N333" s="1">
        <f t="shared" si="7"/>
        <v>3</v>
      </c>
      <c r="O333" s="1">
        <f t="shared" ca="1" si="8"/>
        <v>107</v>
      </c>
      <c r="P333" s="4">
        <f t="shared" si="9"/>
        <v>46113</v>
      </c>
    </row>
    <row r="334" spans="1:16" x14ac:dyDescent="0.3">
      <c r="A334" s="1" t="s">
        <v>29</v>
      </c>
      <c r="B334" s="1" t="s">
        <v>38</v>
      </c>
      <c r="C334" s="1" t="s">
        <v>13</v>
      </c>
      <c r="D334" s="1" t="s">
        <v>53</v>
      </c>
      <c r="E334" s="1">
        <v>20</v>
      </c>
      <c r="F334" s="1">
        <v>416</v>
      </c>
      <c r="G334" s="1">
        <v>12</v>
      </c>
      <c r="H334" s="2">
        <v>46145</v>
      </c>
      <c r="I334" s="2">
        <v>46146</v>
      </c>
      <c r="J334" s="1" t="s">
        <v>51</v>
      </c>
      <c r="K334" s="1">
        <v>1333</v>
      </c>
      <c r="L334" s="4">
        <f t="shared" ca="1" si="5"/>
        <v>46261</v>
      </c>
      <c r="M334" s="5">
        <f t="shared" ca="1" si="6"/>
        <v>46261.501276736111</v>
      </c>
      <c r="N334" s="1">
        <f t="shared" si="7"/>
        <v>1</v>
      </c>
      <c r="O334" s="1">
        <f t="shared" ca="1" si="8"/>
        <v>116</v>
      </c>
      <c r="P334" s="4">
        <f t="shared" si="9"/>
        <v>46113</v>
      </c>
    </row>
    <row r="335" spans="1:16" x14ac:dyDescent="0.3">
      <c r="A335" s="1" t="s">
        <v>40</v>
      </c>
      <c r="B335" s="1" t="s">
        <v>12</v>
      </c>
      <c r="C335" s="1" t="s">
        <v>34</v>
      </c>
      <c r="D335" s="1" t="s">
        <v>41</v>
      </c>
      <c r="E335" s="1">
        <v>15</v>
      </c>
      <c r="F335" s="1">
        <v>39853</v>
      </c>
      <c r="G335" s="1">
        <v>7</v>
      </c>
      <c r="H335" s="2">
        <v>46038</v>
      </c>
      <c r="I335" s="2">
        <v>46047</v>
      </c>
      <c r="J335" s="1" t="s">
        <v>51</v>
      </c>
      <c r="K335" s="1">
        <v>1334</v>
      </c>
      <c r="L335" s="4">
        <f t="shared" ca="1" si="5"/>
        <v>46261</v>
      </c>
      <c r="M335" s="5">
        <f t="shared" ca="1" si="6"/>
        <v>46261.501276736111</v>
      </c>
      <c r="N335" s="1">
        <f t="shared" si="7"/>
        <v>9</v>
      </c>
      <c r="O335" s="1">
        <f t="shared" ca="1" si="8"/>
        <v>223</v>
      </c>
      <c r="P335" s="4">
        <f t="shared" si="9"/>
        <v>46113</v>
      </c>
    </row>
    <row r="336" spans="1:16" x14ac:dyDescent="0.3">
      <c r="A336" s="1" t="s">
        <v>47</v>
      </c>
      <c r="B336" s="1" t="s">
        <v>17</v>
      </c>
      <c r="C336" s="1" t="s">
        <v>18</v>
      </c>
      <c r="D336" s="1" t="s">
        <v>19</v>
      </c>
      <c r="E336" s="1">
        <v>9</v>
      </c>
      <c r="F336" s="1">
        <v>1495</v>
      </c>
      <c r="G336" s="1">
        <v>12</v>
      </c>
      <c r="H336" s="2">
        <v>46168</v>
      </c>
      <c r="I336" s="2">
        <v>46173</v>
      </c>
      <c r="J336" s="1" t="s">
        <v>15</v>
      </c>
      <c r="K336" s="1">
        <v>1335</v>
      </c>
      <c r="L336" s="4">
        <f t="shared" ca="1" si="5"/>
        <v>46261</v>
      </c>
      <c r="M336" s="5">
        <f t="shared" ca="1" si="6"/>
        <v>46261.501276736111</v>
      </c>
      <c r="N336" s="1">
        <f t="shared" si="7"/>
        <v>5</v>
      </c>
      <c r="O336" s="1">
        <f t="shared" ca="1" si="8"/>
        <v>93</v>
      </c>
      <c r="P336" s="4">
        <f t="shared" si="9"/>
        <v>46113</v>
      </c>
    </row>
    <row r="337" spans="1:16" x14ac:dyDescent="0.3">
      <c r="A337" s="1" t="s">
        <v>16</v>
      </c>
      <c r="B337" s="1" t="s">
        <v>25</v>
      </c>
      <c r="C337" s="1" t="s">
        <v>18</v>
      </c>
      <c r="D337" s="1" t="s">
        <v>56</v>
      </c>
      <c r="E337" s="1">
        <v>10</v>
      </c>
      <c r="F337" s="1">
        <v>5624</v>
      </c>
      <c r="G337" s="1">
        <v>0</v>
      </c>
      <c r="H337" s="2">
        <v>46086</v>
      </c>
      <c r="I337" s="2">
        <v>46092</v>
      </c>
      <c r="J337" s="1" t="s">
        <v>29</v>
      </c>
      <c r="K337" s="1">
        <v>1336</v>
      </c>
      <c r="L337" s="4">
        <f t="shared" ca="1" si="5"/>
        <v>46261</v>
      </c>
      <c r="M337" s="5">
        <f t="shared" ca="1" si="6"/>
        <v>46261.501276736111</v>
      </c>
      <c r="N337" s="1">
        <f t="shared" si="7"/>
        <v>6</v>
      </c>
      <c r="O337" s="1">
        <f t="shared" ca="1" si="8"/>
        <v>175</v>
      </c>
      <c r="P337" s="4">
        <f t="shared" si="9"/>
        <v>46113</v>
      </c>
    </row>
    <row r="338" spans="1:16" x14ac:dyDescent="0.3">
      <c r="A338" s="1" t="s">
        <v>16</v>
      </c>
      <c r="B338" s="1" t="s">
        <v>12</v>
      </c>
      <c r="C338" s="1" t="s">
        <v>13</v>
      </c>
      <c r="D338" s="1" t="s">
        <v>53</v>
      </c>
      <c r="E338" s="1">
        <v>14</v>
      </c>
      <c r="F338" s="1">
        <v>373</v>
      </c>
      <c r="G338" s="1">
        <v>10</v>
      </c>
      <c r="H338" s="2">
        <v>46074</v>
      </c>
      <c r="I338" s="2">
        <v>46080</v>
      </c>
      <c r="J338" s="1" t="s">
        <v>29</v>
      </c>
      <c r="K338" s="1">
        <v>1337</v>
      </c>
      <c r="L338" s="4">
        <f t="shared" ca="1" si="5"/>
        <v>46261</v>
      </c>
      <c r="M338" s="5">
        <f t="shared" ca="1" si="6"/>
        <v>46261.501276736111</v>
      </c>
      <c r="N338" s="1">
        <f t="shared" si="7"/>
        <v>6</v>
      </c>
      <c r="O338" s="1">
        <f t="shared" ca="1" si="8"/>
        <v>187</v>
      </c>
      <c r="P338" s="4">
        <f t="shared" si="9"/>
        <v>46113</v>
      </c>
    </row>
    <row r="339" spans="1:16" x14ac:dyDescent="0.3">
      <c r="A339" s="1" t="s">
        <v>59</v>
      </c>
      <c r="B339" s="1" t="s">
        <v>25</v>
      </c>
      <c r="C339" s="1" t="s">
        <v>34</v>
      </c>
      <c r="D339" s="1" t="s">
        <v>60</v>
      </c>
      <c r="E339" s="1">
        <v>10</v>
      </c>
      <c r="F339" s="1">
        <v>16719</v>
      </c>
      <c r="G339" s="1">
        <v>5</v>
      </c>
      <c r="H339" s="2">
        <v>46177</v>
      </c>
      <c r="I339" s="2">
        <v>46179</v>
      </c>
      <c r="J339" s="1" t="s">
        <v>15</v>
      </c>
      <c r="K339" s="1">
        <v>1338</v>
      </c>
      <c r="L339" s="4">
        <f t="shared" ca="1" si="5"/>
        <v>46261</v>
      </c>
      <c r="M339" s="5">
        <f t="shared" ca="1" si="6"/>
        <v>46261.501276736111</v>
      </c>
      <c r="N339" s="1">
        <f t="shared" si="7"/>
        <v>2</v>
      </c>
      <c r="O339" s="1">
        <f t="shared" ca="1" si="8"/>
        <v>84</v>
      </c>
      <c r="P339" s="4">
        <f t="shared" si="9"/>
        <v>46113</v>
      </c>
    </row>
    <row r="340" spans="1:16" x14ac:dyDescent="0.3">
      <c r="A340" s="1" t="s">
        <v>32</v>
      </c>
      <c r="B340" s="1" t="s">
        <v>25</v>
      </c>
      <c r="C340" s="1" t="s">
        <v>13</v>
      </c>
      <c r="D340" s="1" t="s">
        <v>14</v>
      </c>
      <c r="E340" s="1">
        <v>6</v>
      </c>
      <c r="F340" s="1">
        <v>302</v>
      </c>
      <c r="G340" s="1">
        <v>5</v>
      </c>
      <c r="H340" s="2">
        <v>46142</v>
      </c>
      <c r="I340" s="2">
        <v>46148</v>
      </c>
      <c r="J340" s="1" t="s">
        <v>20</v>
      </c>
      <c r="K340" s="1">
        <v>1339</v>
      </c>
      <c r="L340" s="4">
        <f t="shared" ca="1" si="5"/>
        <v>46261</v>
      </c>
      <c r="M340" s="5">
        <f t="shared" ca="1" si="6"/>
        <v>46261.501276736111</v>
      </c>
      <c r="N340" s="1">
        <f t="shared" si="7"/>
        <v>6</v>
      </c>
      <c r="O340" s="1">
        <f t="shared" ca="1" si="8"/>
        <v>119</v>
      </c>
      <c r="P340" s="4">
        <f t="shared" si="9"/>
        <v>46113</v>
      </c>
    </row>
    <row r="341" spans="1:16" x14ac:dyDescent="0.3">
      <c r="A341" s="1" t="s">
        <v>48</v>
      </c>
      <c r="B341" s="1" t="s">
        <v>17</v>
      </c>
      <c r="C341" s="1" t="s">
        <v>18</v>
      </c>
      <c r="D341" s="1" t="s">
        <v>19</v>
      </c>
      <c r="E341" s="1">
        <v>12</v>
      </c>
      <c r="F341" s="1">
        <v>3857</v>
      </c>
      <c r="G341" s="1">
        <v>12</v>
      </c>
      <c r="H341" s="2">
        <v>46196</v>
      </c>
      <c r="I341" s="2">
        <v>46198</v>
      </c>
      <c r="J341" s="1" t="s">
        <v>51</v>
      </c>
      <c r="K341" s="1">
        <v>1340</v>
      </c>
      <c r="L341" s="4">
        <f t="shared" ca="1" si="5"/>
        <v>46261</v>
      </c>
      <c r="M341" s="5">
        <f t="shared" ca="1" si="6"/>
        <v>46261.501276736111</v>
      </c>
      <c r="N341" s="1">
        <f t="shared" si="7"/>
        <v>2</v>
      </c>
      <c r="O341" s="1">
        <f t="shared" ca="1" si="8"/>
        <v>65</v>
      </c>
      <c r="P341" s="4">
        <f t="shared" si="9"/>
        <v>46113</v>
      </c>
    </row>
    <row r="342" spans="1:16" x14ac:dyDescent="0.3">
      <c r="A342" s="1" t="s">
        <v>57</v>
      </c>
      <c r="B342" s="1" t="s">
        <v>38</v>
      </c>
      <c r="C342" s="1" t="s">
        <v>18</v>
      </c>
      <c r="D342" s="1" t="s">
        <v>19</v>
      </c>
      <c r="E342" s="1">
        <v>19</v>
      </c>
      <c r="F342" s="1">
        <v>6488</v>
      </c>
      <c r="G342" s="1">
        <v>15</v>
      </c>
      <c r="H342" s="2">
        <v>46026</v>
      </c>
      <c r="I342" s="2">
        <v>46030</v>
      </c>
      <c r="J342" s="1" t="s">
        <v>20</v>
      </c>
      <c r="K342" s="1">
        <v>1341</v>
      </c>
      <c r="L342" s="4">
        <f t="shared" ca="1" si="5"/>
        <v>46261</v>
      </c>
      <c r="M342" s="5">
        <f t="shared" ca="1" si="6"/>
        <v>46261.501276736111</v>
      </c>
      <c r="N342" s="1">
        <f t="shared" si="7"/>
        <v>4</v>
      </c>
      <c r="O342" s="1">
        <f t="shared" ca="1" si="8"/>
        <v>235</v>
      </c>
      <c r="P342" s="4">
        <f t="shared" si="9"/>
        <v>46113</v>
      </c>
    </row>
    <row r="343" spans="1:16" x14ac:dyDescent="0.3">
      <c r="A343" s="1" t="s">
        <v>59</v>
      </c>
      <c r="B343" s="1" t="s">
        <v>31</v>
      </c>
      <c r="C343" s="1" t="s">
        <v>34</v>
      </c>
      <c r="D343" s="1" t="s">
        <v>35</v>
      </c>
      <c r="E343" s="1">
        <v>13</v>
      </c>
      <c r="F343" s="1">
        <v>47881</v>
      </c>
      <c r="G343" s="1">
        <v>15</v>
      </c>
      <c r="H343" s="2">
        <v>46132</v>
      </c>
      <c r="I343" s="2">
        <v>46139</v>
      </c>
      <c r="J343" s="1" t="s">
        <v>29</v>
      </c>
      <c r="K343" s="1">
        <v>1342</v>
      </c>
      <c r="L343" s="4">
        <f t="shared" ca="1" si="5"/>
        <v>46261</v>
      </c>
      <c r="M343" s="5">
        <f t="shared" ca="1" si="6"/>
        <v>46261.501276736111</v>
      </c>
      <c r="N343" s="1">
        <f t="shared" si="7"/>
        <v>7</v>
      </c>
      <c r="O343" s="1">
        <f t="shared" ca="1" si="8"/>
        <v>129</v>
      </c>
      <c r="P343" s="4">
        <f t="shared" si="9"/>
        <v>46113</v>
      </c>
    </row>
    <row r="344" spans="1:16" x14ac:dyDescent="0.3">
      <c r="A344" s="1" t="s">
        <v>59</v>
      </c>
      <c r="B344" s="1" t="s">
        <v>31</v>
      </c>
      <c r="C344" s="1" t="s">
        <v>34</v>
      </c>
      <c r="D344" s="1" t="s">
        <v>39</v>
      </c>
      <c r="E344" s="1">
        <v>14</v>
      </c>
      <c r="F344" s="1">
        <v>32719</v>
      </c>
      <c r="G344" s="1">
        <v>15</v>
      </c>
      <c r="H344" s="2">
        <v>46174</v>
      </c>
      <c r="I344" s="2">
        <v>46179</v>
      </c>
      <c r="J344" s="1" t="s">
        <v>15</v>
      </c>
      <c r="K344" s="1">
        <v>1343</v>
      </c>
      <c r="L344" s="4">
        <f t="shared" ca="1" si="5"/>
        <v>46261</v>
      </c>
      <c r="M344" s="5">
        <f t="shared" ca="1" si="6"/>
        <v>46261.501276736111</v>
      </c>
      <c r="N344" s="1">
        <f t="shared" si="7"/>
        <v>5</v>
      </c>
      <c r="O344" s="1">
        <f t="shared" ca="1" si="8"/>
        <v>87</v>
      </c>
      <c r="P344" s="4">
        <f t="shared" si="9"/>
        <v>46113</v>
      </c>
    </row>
    <row r="345" spans="1:16" x14ac:dyDescent="0.3">
      <c r="A345" s="1" t="s">
        <v>30</v>
      </c>
      <c r="B345" s="1" t="s">
        <v>17</v>
      </c>
      <c r="C345" s="1" t="s">
        <v>13</v>
      </c>
      <c r="D345" s="1" t="s">
        <v>53</v>
      </c>
      <c r="E345" s="1">
        <v>18</v>
      </c>
      <c r="F345" s="1">
        <v>240</v>
      </c>
      <c r="G345" s="1">
        <v>10</v>
      </c>
      <c r="H345" s="2">
        <v>46155</v>
      </c>
      <c r="I345" s="2">
        <v>46156</v>
      </c>
      <c r="J345" s="1" t="s">
        <v>24</v>
      </c>
      <c r="K345" s="1">
        <v>1344</v>
      </c>
      <c r="L345" s="4">
        <f t="shared" ca="1" si="5"/>
        <v>46261</v>
      </c>
      <c r="M345" s="5">
        <f t="shared" ca="1" si="6"/>
        <v>46261.501276736111</v>
      </c>
      <c r="N345" s="1">
        <f t="shared" si="7"/>
        <v>1</v>
      </c>
      <c r="O345" s="1">
        <f t="shared" ca="1" si="8"/>
        <v>106</v>
      </c>
      <c r="P345" s="4">
        <f t="shared" si="9"/>
        <v>46113</v>
      </c>
    </row>
    <row r="346" spans="1:16" x14ac:dyDescent="0.3">
      <c r="A346" s="1" t="s">
        <v>32</v>
      </c>
      <c r="B346" s="1" t="s">
        <v>12</v>
      </c>
      <c r="C346" s="1" t="s">
        <v>34</v>
      </c>
      <c r="D346" s="1" t="s">
        <v>45</v>
      </c>
      <c r="E346" s="1">
        <v>12</v>
      </c>
      <c r="F346" s="1">
        <v>50544</v>
      </c>
      <c r="G346" s="1">
        <v>10</v>
      </c>
      <c r="H346" s="2">
        <v>46095</v>
      </c>
      <c r="I346" s="2">
        <v>46097</v>
      </c>
      <c r="J346" s="1" t="s">
        <v>29</v>
      </c>
      <c r="K346" s="1">
        <v>1345</v>
      </c>
      <c r="L346" s="4">
        <f t="shared" ca="1" si="5"/>
        <v>46261</v>
      </c>
      <c r="M346" s="5">
        <f t="shared" ca="1" si="6"/>
        <v>46261.501276736111</v>
      </c>
      <c r="N346" s="1">
        <f t="shared" si="7"/>
        <v>2</v>
      </c>
      <c r="O346" s="1">
        <f t="shared" ca="1" si="8"/>
        <v>166</v>
      </c>
      <c r="P346" s="4">
        <f t="shared" si="9"/>
        <v>46113</v>
      </c>
    </row>
    <row r="347" spans="1:16" x14ac:dyDescent="0.3">
      <c r="A347" s="1" t="s">
        <v>32</v>
      </c>
      <c r="B347" s="1" t="s">
        <v>22</v>
      </c>
      <c r="C347" s="1" t="s">
        <v>18</v>
      </c>
      <c r="D347" s="1" t="s">
        <v>19</v>
      </c>
      <c r="E347" s="1">
        <v>16</v>
      </c>
      <c r="F347" s="1">
        <v>6910</v>
      </c>
      <c r="G347" s="1">
        <v>15</v>
      </c>
      <c r="H347" s="2">
        <v>46140</v>
      </c>
      <c r="I347" s="2">
        <v>46142</v>
      </c>
      <c r="J347" s="1" t="s">
        <v>29</v>
      </c>
      <c r="K347" s="1">
        <v>1346</v>
      </c>
      <c r="L347" s="4">
        <f t="shared" ca="1" si="5"/>
        <v>46261</v>
      </c>
      <c r="M347" s="5">
        <f t="shared" ca="1" si="6"/>
        <v>46261.501276736111</v>
      </c>
      <c r="N347" s="1">
        <f t="shared" si="7"/>
        <v>2</v>
      </c>
      <c r="O347" s="1">
        <f t="shared" ca="1" si="8"/>
        <v>121</v>
      </c>
      <c r="P347" s="4">
        <f t="shared" si="9"/>
        <v>46113</v>
      </c>
    </row>
    <row r="348" spans="1:16" x14ac:dyDescent="0.3">
      <c r="A348" s="1" t="s">
        <v>29</v>
      </c>
      <c r="B348" s="1" t="s">
        <v>22</v>
      </c>
      <c r="C348" s="1" t="s">
        <v>34</v>
      </c>
      <c r="D348" s="1" t="s">
        <v>35</v>
      </c>
      <c r="E348" s="1">
        <v>16</v>
      </c>
      <c r="F348" s="1">
        <v>6034</v>
      </c>
      <c r="G348" s="1">
        <v>15</v>
      </c>
      <c r="H348" s="2">
        <v>46037</v>
      </c>
      <c r="I348" s="2">
        <v>46044</v>
      </c>
      <c r="J348" s="1" t="s">
        <v>24</v>
      </c>
      <c r="K348" s="1">
        <v>1347</v>
      </c>
      <c r="L348" s="4">
        <f t="shared" ca="1" si="5"/>
        <v>46261</v>
      </c>
      <c r="M348" s="5">
        <f t="shared" ca="1" si="6"/>
        <v>46261.501276736111</v>
      </c>
      <c r="N348" s="1">
        <f t="shared" si="7"/>
        <v>7</v>
      </c>
      <c r="O348" s="1">
        <f t="shared" ca="1" si="8"/>
        <v>224</v>
      </c>
      <c r="P348" s="4">
        <f t="shared" si="9"/>
        <v>46113</v>
      </c>
    </row>
    <row r="349" spans="1:16" x14ac:dyDescent="0.3">
      <c r="A349" s="1" t="s">
        <v>11</v>
      </c>
      <c r="B349" s="1" t="s">
        <v>33</v>
      </c>
      <c r="C349" s="1" t="s">
        <v>13</v>
      </c>
      <c r="D349" s="1" t="s">
        <v>50</v>
      </c>
      <c r="E349" s="1">
        <v>12</v>
      </c>
      <c r="F349" s="1">
        <v>244</v>
      </c>
      <c r="G349" s="1">
        <v>7</v>
      </c>
      <c r="H349" s="2">
        <v>46048</v>
      </c>
      <c r="I349" s="2">
        <v>46053</v>
      </c>
      <c r="J349" s="1" t="s">
        <v>15</v>
      </c>
      <c r="K349" s="1">
        <v>1348</v>
      </c>
      <c r="L349" s="4">
        <f t="shared" ca="1" si="5"/>
        <v>46261</v>
      </c>
      <c r="M349" s="5">
        <f t="shared" ca="1" si="6"/>
        <v>46261.501276736111</v>
      </c>
      <c r="N349" s="1">
        <f t="shared" si="7"/>
        <v>5</v>
      </c>
      <c r="O349" s="1">
        <f t="shared" ca="1" si="8"/>
        <v>213</v>
      </c>
      <c r="P349" s="4">
        <f t="shared" si="9"/>
        <v>46113</v>
      </c>
    </row>
    <row r="350" spans="1:16" x14ac:dyDescent="0.3">
      <c r="A350" s="1" t="s">
        <v>40</v>
      </c>
      <c r="B350" s="1" t="s">
        <v>33</v>
      </c>
      <c r="C350" s="1" t="s">
        <v>34</v>
      </c>
      <c r="D350" s="1" t="s">
        <v>35</v>
      </c>
      <c r="E350" s="1">
        <v>20</v>
      </c>
      <c r="F350" s="1">
        <v>62721</v>
      </c>
      <c r="G350" s="1">
        <v>7</v>
      </c>
      <c r="H350" s="2">
        <v>46079</v>
      </c>
      <c r="I350" s="2">
        <v>46083</v>
      </c>
      <c r="J350" s="1" t="s">
        <v>20</v>
      </c>
      <c r="K350" s="1">
        <v>1349</v>
      </c>
      <c r="L350" s="4">
        <f t="shared" ca="1" si="5"/>
        <v>46261</v>
      </c>
      <c r="M350" s="5">
        <f t="shared" ca="1" si="6"/>
        <v>46261.501276736111</v>
      </c>
      <c r="N350" s="1">
        <f t="shared" si="7"/>
        <v>4</v>
      </c>
      <c r="O350" s="1">
        <f t="shared" ca="1" si="8"/>
        <v>182</v>
      </c>
      <c r="P350" s="4">
        <f t="shared" si="9"/>
        <v>46113</v>
      </c>
    </row>
    <row r="351" spans="1:16" x14ac:dyDescent="0.3">
      <c r="A351" s="1" t="s">
        <v>26</v>
      </c>
      <c r="B351" s="1" t="s">
        <v>43</v>
      </c>
      <c r="C351" s="1" t="s">
        <v>18</v>
      </c>
      <c r="D351" s="1" t="s">
        <v>28</v>
      </c>
      <c r="E351" s="1">
        <v>16</v>
      </c>
      <c r="F351" s="1">
        <v>11790</v>
      </c>
      <c r="G351" s="1">
        <v>12</v>
      </c>
      <c r="H351" s="2">
        <v>46185</v>
      </c>
      <c r="I351" s="2">
        <v>46190</v>
      </c>
      <c r="J351" s="1" t="s">
        <v>29</v>
      </c>
      <c r="K351" s="1">
        <v>1350</v>
      </c>
      <c r="L351" s="4">
        <f t="shared" ca="1" si="5"/>
        <v>46261</v>
      </c>
      <c r="M351" s="5">
        <f t="shared" ca="1" si="6"/>
        <v>46261.501276736111</v>
      </c>
      <c r="N351" s="1">
        <f t="shared" si="7"/>
        <v>5</v>
      </c>
      <c r="O351" s="1">
        <f t="shared" ca="1" si="8"/>
        <v>76</v>
      </c>
      <c r="P351" s="4">
        <f t="shared" si="9"/>
        <v>46113</v>
      </c>
    </row>
    <row r="352" spans="1:16" x14ac:dyDescent="0.3">
      <c r="A352" s="1" t="s">
        <v>42</v>
      </c>
      <c r="B352" s="1" t="s">
        <v>33</v>
      </c>
      <c r="C352" s="1" t="s">
        <v>34</v>
      </c>
      <c r="D352" s="1" t="s">
        <v>45</v>
      </c>
      <c r="E352" s="1">
        <v>12</v>
      </c>
      <c r="F352" s="1">
        <v>1272</v>
      </c>
      <c r="G352" s="1">
        <v>0</v>
      </c>
      <c r="H352" s="2">
        <v>46026</v>
      </c>
      <c r="I352" s="2">
        <v>46029</v>
      </c>
      <c r="J352" s="1" t="s">
        <v>15</v>
      </c>
      <c r="K352" s="1">
        <v>1351</v>
      </c>
      <c r="L352" s="4">
        <f t="shared" ca="1" si="5"/>
        <v>46261</v>
      </c>
      <c r="M352" s="5">
        <f t="shared" ca="1" si="6"/>
        <v>46261.501276736111</v>
      </c>
      <c r="N352" s="1">
        <f t="shared" si="7"/>
        <v>3</v>
      </c>
      <c r="O352" s="1">
        <f t="shared" ca="1" si="8"/>
        <v>235</v>
      </c>
      <c r="P352" s="4">
        <f t="shared" si="9"/>
        <v>46113</v>
      </c>
    </row>
    <row r="353" spans="1:16" x14ac:dyDescent="0.3">
      <c r="A353" s="1" t="s">
        <v>54</v>
      </c>
      <c r="B353" s="1" t="s">
        <v>22</v>
      </c>
      <c r="C353" s="1" t="s">
        <v>13</v>
      </c>
      <c r="D353" s="1" t="s">
        <v>14</v>
      </c>
      <c r="E353" s="1">
        <v>12</v>
      </c>
      <c r="F353" s="1">
        <v>203</v>
      </c>
      <c r="G353" s="1">
        <v>5</v>
      </c>
      <c r="H353" s="2">
        <v>46024</v>
      </c>
      <c r="I353" s="2">
        <v>46033</v>
      </c>
      <c r="J353" s="1" t="s">
        <v>15</v>
      </c>
      <c r="K353" s="1">
        <v>1352</v>
      </c>
      <c r="L353" s="4">
        <f t="shared" ca="1" si="5"/>
        <v>46261</v>
      </c>
      <c r="M353" s="5">
        <f t="shared" ca="1" si="6"/>
        <v>46261.501276736111</v>
      </c>
      <c r="N353" s="1">
        <f t="shared" si="7"/>
        <v>9</v>
      </c>
      <c r="O353" s="1">
        <f t="shared" ca="1" si="8"/>
        <v>237</v>
      </c>
      <c r="P353" s="4">
        <f t="shared" si="9"/>
        <v>46113</v>
      </c>
    </row>
    <row r="354" spans="1:16" x14ac:dyDescent="0.3">
      <c r="A354" s="1" t="s">
        <v>47</v>
      </c>
      <c r="B354" s="1" t="s">
        <v>43</v>
      </c>
      <c r="C354" s="1" t="s">
        <v>13</v>
      </c>
      <c r="D354" s="1" t="s">
        <v>14</v>
      </c>
      <c r="E354" s="1">
        <v>6</v>
      </c>
      <c r="F354" s="1">
        <v>495</v>
      </c>
      <c r="G354" s="1">
        <v>2</v>
      </c>
      <c r="H354" s="2">
        <v>46194</v>
      </c>
      <c r="I354" s="2">
        <v>46200</v>
      </c>
      <c r="J354" s="1" t="s">
        <v>24</v>
      </c>
      <c r="K354" s="1">
        <v>1353</v>
      </c>
      <c r="L354" s="4">
        <f t="shared" ca="1" si="5"/>
        <v>46261</v>
      </c>
      <c r="M354" s="5">
        <f t="shared" ca="1" si="6"/>
        <v>46261.501276736111</v>
      </c>
      <c r="N354" s="1">
        <f t="shared" si="7"/>
        <v>6</v>
      </c>
      <c r="O354" s="1">
        <f t="shared" ca="1" si="8"/>
        <v>67</v>
      </c>
      <c r="P354" s="4">
        <f t="shared" si="9"/>
        <v>46113</v>
      </c>
    </row>
    <row r="355" spans="1:16" x14ac:dyDescent="0.3">
      <c r="A355" s="1" t="s">
        <v>47</v>
      </c>
      <c r="B355" s="1" t="s">
        <v>43</v>
      </c>
      <c r="C355" s="1" t="s">
        <v>34</v>
      </c>
      <c r="D355" s="1" t="s">
        <v>35</v>
      </c>
      <c r="E355" s="1">
        <v>15</v>
      </c>
      <c r="F355" s="1">
        <v>14927</v>
      </c>
      <c r="G355" s="1">
        <v>15</v>
      </c>
      <c r="H355" s="2">
        <v>46118</v>
      </c>
      <c r="I355" s="2">
        <v>46120</v>
      </c>
      <c r="J355" s="1" t="s">
        <v>51</v>
      </c>
      <c r="K355" s="1">
        <v>1354</v>
      </c>
      <c r="L355" s="4">
        <f t="shared" ca="1" si="5"/>
        <v>46261</v>
      </c>
      <c r="M355" s="5">
        <f t="shared" ca="1" si="6"/>
        <v>46261.501276736111</v>
      </c>
      <c r="N355" s="1">
        <f t="shared" si="7"/>
        <v>2</v>
      </c>
      <c r="O355" s="1">
        <f t="shared" ca="1" si="8"/>
        <v>143</v>
      </c>
      <c r="P355" s="4">
        <f t="shared" si="9"/>
        <v>46113</v>
      </c>
    </row>
    <row r="356" spans="1:16" x14ac:dyDescent="0.3">
      <c r="A356" s="1" t="s">
        <v>27</v>
      </c>
      <c r="B356" s="1" t="s">
        <v>12</v>
      </c>
      <c r="C356" s="1" t="s">
        <v>34</v>
      </c>
      <c r="D356" s="1" t="s">
        <v>60</v>
      </c>
      <c r="E356" s="1">
        <v>18</v>
      </c>
      <c r="F356" s="1">
        <v>35997</v>
      </c>
      <c r="G356" s="1">
        <v>2</v>
      </c>
      <c r="H356" s="2">
        <v>46024</v>
      </c>
      <c r="I356" s="2">
        <v>46031</v>
      </c>
      <c r="J356" s="1" t="s">
        <v>51</v>
      </c>
      <c r="K356" s="1">
        <v>1355</v>
      </c>
      <c r="L356" s="4">
        <f t="shared" ca="1" si="5"/>
        <v>46261</v>
      </c>
      <c r="M356" s="5">
        <f t="shared" ca="1" si="6"/>
        <v>46261.501276736111</v>
      </c>
      <c r="N356" s="1">
        <f t="shared" si="7"/>
        <v>7</v>
      </c>
      <c r="O356" s="1">
        <f t="shared" ca="1" si="8"/>
        <v>237</v>
      </c>
      <c r="P356" s="4">
        <f t="shared" si="9"/>
        <v>46113</v>
      </c>
    </row>
    <row r="357" spans="1:16" x14ac:dyDescent="0.3">
      <c r="A357" s="1" t="s">
        <v>26</v>
      </c>
      <c r="B357" s="1" t="s">
        <v>38</v>
      </c>
      <c r="C357" s="1" t="s">
        <v>34</v>
      </c>
      <c r="D357" s="1" t="s">
        <v>60</v>
      </c>
      <c r="E357" s="1">
        <v>16</v>
      </c>
      <c r="F357" s="1">
        <v>53457</v>
      </c>
      <c r="G357" s="1">
        <v>10</v>
      </c>
      <c r="H357" s="2">
        <v>46201</v>
      </c>
      <c r="I357" s="2">
        <v>46204</v>
      </c>
      <c r="J357" s="1" t="s">
        <v>15</v>
      </c>
      <c r="K357" s="1">
        <v>1356</v>
      </c>
      <c r="L357" s="4">
        <f t="shared" ca="1" si="5"/>
        <v>46261</v>
      </c>
      <c r="M357" s="5">
        <f t="shared" ca="1" si="6"/>
        <v>46261.501276736111</v>
      </c>
      <c r="N357" s="1">
        <f t="shared" si="7"/>
        <v>3</v>
      </c>
      <c r="O357" s="1">
        <f t="shared" ca="1" si="8"/>
        <v>60</v>
      </c>
      <c r="P357" s="4">
        <f t="shared" si="9"/>
        <v>46113</v>
      </c>
    </row>
    <row r="358" spans="1:16" x14ac:dyDescent="0.3">
      <c r="A358" s="1" t="s">
        <v>59</v>
      </c>
      <c r="B358" s="1" t="s">
        <v>25</v>
      </c>
      <c r="C358" s="1" t="s">
        <v>13</v>
      </c>
      <c r="D358" s="1" t="s">
        <v>37</v>
      </c>
      <c r="E358" s="1">
        <v>6</v>
      </c>
      <c r="F358" s="1">
        <v>365</v>
      </c>
      <c r="G358" s="1">
        <v>7</v>
      </c>
      <c r="H358" s="2">
        <v>46133</v>
      </c>
      <c r="I358" s="2">
        <v>46140</v>
      </c>
      <c r="J358" s="1" t="s">
        <v>51</v>
      </c>
      <c r="K358" s="1">
        <v>1357</v>
      </c>
      <c r="L358" s="4">
        <f t="shared" ca="1" si="5"/>
        <v>46261</v>
      </c>
      <c r="M358" s="5">
        <f t="shared" ca="1" si="6"/>
        <v>46261.501276736111</v>
      </c>
      <c r="N358" s="1">
        <f t="shared" si="7"/>
        <v>7</v>
      </c>
      <c r="O358" s="1">
        <f t="shared" ca="1" si="8"/>
        <v>128</v>
      </c>
      <c r="P358" s="4">
        <f t="shared" si="9"/>
        <v>46113</v>
      </c>
    </row>
    <row r="359" spans="1:16" x14ac:dyDescent="0.3">
      <c r="A359" s="1" t="s">
        <v>40</v>
      </c>
      <c r="B359" s="1" t="s">
        <v>38</v>
      </c>
      <c r="C359" s="1" t="s">
        <v>18</v>
      </c>
      <c r="D359" s="1" t="s">
        <v>19</v>
      </c>
      <c r="E359" s="1">
        <v>7</v>
      </c>
      <c r="F359" s="1">
        <v>6618</v>
      </c>
      <c r="G359" s="1">
        <v>0</v>
      </c>
      <c r="H359" s="2">
        <v>46127</v>
      </c>
      <c r="I359" s="2">
        <v>46129</v>
      </c>
      <c r="J359" s="1" t="s">
        <v>20</v>
      </c>
      <c r="K359" s="1">
        <v>1358</v>
      </c>
      <c r="L359" s="4">
        <f t="shared" ca="1" si="5"/>
        <v>46261</v>
      </c>
      <c r="M359" s="5">
        <f t="shared" ca="1" si="6"/>
        <v>46261.501276736111</v>
      </c>
      <c r="N359" s="1">
        <f t="shared" si="7"/>
        <v>2</v>
      </c>
      <c r="O359" s="1">
        <f t="shared" ca="1" si="8"/>
        <v>134</v>
      </c>
      <c r="P359" s="4">
        <f t="shared" si="9"/>
        <v>46113</v>
      </c>
    </row>
    <row r="360" spans="1:16" x14ac:dyDescent="0.3">
      <c r="A360" s="1" t="s">
        <v>54</v>
      </c>
      <c r="B360" s="1" t="s">
        <v>12</v>
      </c>
      <c r="C360" s="1" t="s">
        <v>34</v>
      </c>
      <c r="D360" s="1" t="s">
        <v>61</v>
      </c>
      <c r="E360" s="1">
        <v>9</v>
      </c>
      <c r="F360" s="1">
        <v>38179</v>
      </c>
      <c r="G360" s="1">
        <v>0</v>
      </c>
      <c r="H360" s="2">
        <v>46096</v>
      </c>
      <c r="I360" s="2">
        <v>46099</v>
      </c>
      <c r="J360" s="1" t="s">
        <v>15</v>
      </c>
      <c r="K360" s="1">
        <v>1359</v>
      </c>
      <c r="L360" s="4">
        <f t="shared" ca="1" si="5"/>
        <v>46261</v>
      </c>
      <c r="M360" s="5">
        <f t="shared" ca="1" si="6"/>
        <v>46261.501276736111</v>
      </c>
      <c r="N360" s="1">
        <f t="shared" si="7"/>
        <v>3</v>
      </c>
      <c r="O360" s="1">
        <f t="shared" ca="1" si="8"/>
        <v>165</v>
      </c>
      <c r="P360" s="4">
        <f t="shared" si="9"/>
        <v>46113</v>
      </c>
    </row>
    <row r="361" spans="1:16" x14ac:dyDescent="0.3">
      <c r="A361" s="1" t="s">
        <v>11</v>
      </c>
      <c r="B361" s="1" t="s">
        <v>43</v>
      </c>
      <c r="C361" s="1" t="s">
        <v>18</v>
      </c>
      <c r="D361" s="1" t="s">
        <v>23</v>
      </c>
      <c r="E361" s="1">
        <v>19</v>
      </c>
      <c r="F361" s="1">
        <v>6681</v>
      </c>
      <c r="G361" s="1">
        <v>2</v>
      </c>
      <c r="H361" s="2">
        <v>46146</v>
      </c>
      <c r="I361" s="2">
        <v>46150</v>
      </c>
      <c r="J361" s="1" t="s">
        <v>15</v>
      </c>
      <c r="K361" s="1">
        <v>1360</v>
      </c>
      <c r="L361" s="4">
        <f t="shared" ca="1" si="5"/>
        <v>46261</v>
      </c>
      <c r="M361" s="5">
        <f t="shared" ca="1" si="6"/>
        <v>46261.501276736111</v>
      </c>
      <c r="N361" s="1">
        <f t="shared" si="7"/>
        <v>4</v>
      </c>
      <c r="O361" s="1">
        <f t="shared" ca="1" si="8"/>
        <v>115</v>
      </c>
      <c r="P361" s="4">
        <f t="shared" si="9"/>
        <v>46113</v>
      </c>
    </row>
    <row r="362" spans="1:16" x14ac:dyDescent="0.3">
      <c r="A362" s="1" t="s">
        <v>42</v>
      </c>
      <c r="B362" s="1" t="s">
        <v>17</v>
      </c>
      <c r="C362" s="1" t="s">
        <v>18</v>
      </c>
      <c r="D362" s="1" t="s">
        <v>23</v>
      </c>
      <c r="E362" s="1">
        <v>2</v>
      </c>
      <c r="F362" s="1">
        <v>1822</v>
      </c>
      <c r="G362" s="1">
        <v>5</v>
      </c>
      <c r="H362" s="2">
        <v>46141</v>
      </c>
      <c r="I362" s="2">
        <v>46145</v>
      </c>
      <c r="J362" s="1" t="s">
        <v>20</v>
      </c>
      <c r="K362" s="1">
        <v>1361</v>
      </c>
      <c r="L362" s="4">
        <f t="shared" ca="1" si="5"/>
        <v>46261</v>
      </c>
      <c r="M362" s="5">
        <f t="shared" ca="1" si="6"/>
        <v>46261.501276736111</v>
      </c>
      <c r="N362" s="1">
        <f t="shared" si="7"/>
        <v>4</v>
      </c>
      <c r="O362" s="1">
        <f t="shared" ca="1" si="8"/>
        <v>120</v>
      </c>
      <c r="P362" s="4">
        <f t="shared" si="9"/>
        <v>46113</v>
      </c>
    </row>
    <row r="363" spans="1:16" x14ac:dyDescent="0.3">
      <c r="A363" s="1" t="s">
        <v>16</v>
      </c>
      <c r="B363" s="1" t="s">
        <v>12</v>
      </c>
      <c r="C363" s="1" t="s">
        <v>18</v>
      </c>
      <c r="D363" s="1" t="s">
        <v>28</v>
      </c>
      <c r="E363" s="1">
        <v>1</v>
      </c>
      <c r="F363" s="1">
        <v>10474</v>
      </c>
      <c r="G363" s="1">
        <v>0</v>
      </c>
      <c r="H363" s="2">
        <v>46094</v>
      </c>
      <c r="I363" s="2">
        <v>46096</v>
      </c>
      <c r="J363" s="1" t="s">
        <v>29</v>
      </c>
      <c r="K363" s="1">
        <v>1362</v>
      </c>
      <c r="L363" s="4">
        <f t="shared" ca="1" si="5"/>
        <v>46261</v>
      </c>
      <c r="M363" s="5">
        <f t="shared" ca="1" si="6"/>
        <v>46261.501276736111</v>
      </c>
      <c r="N363" s="1">
        <f t="shared" si="7"/>
        <v>2</v>
      </c>
      <c r="O363" s="1">
        <f t="shared" ca="1" si="8"/>
        <v>167</v>
      </c>
      <c r="P363" s="4">
        <f t="shared" si="9"/>
        <v>46113</v>
      </c>
    </row>
    <row r="364" spans="1:16" x14ac:dyDescent="0.3">
      <c r="A364" s="1" t="s">
        <v>27</v>
      </c>
      <c r="B364" s="1" t="s">
        <v>25</v>
      </c>
      <c r="C364" s="1" t="s">
        <v>34</v>
      </c>
      <c r="D364" s="1" t="s">
        <v>35</v>
      </c>
      <c r="E364" s="1">
        <v>7</v>
      </c>
      <c r="F364" s="1">
        <v>45381</v>
      </c>
      <c r="G364" s="1">
        <v>0</v>
      </c>
      <c r="H364" s="2">
        <v>46122</v>
      </c>
      <c r="I364" s="2">
        <v>46128</v>
      </c>
      <c r="J364" s="1" t="s">
        <v>15</v>
      </c>
      <c r="K364" s="1">
        <v>1363</v>
      </c>
      <c r="L364" s="4">
        <f t="shared" ca="1" si="5"/>
        <v>46261</v>
      </c>
      <c r="M364" s="5">
        <f t="shared" ca="1" si="6"/>
        <v>46261.501276736111</v>
      </c>
      <c r="N364" s="1">
        <f t="shared" si="7"/>
        <v>6</v>
      </c>
      <c r="O364" s="1">
        <f t="shared" ca="1" si="8"/>
        <v>139</v>
      </c>
      <c r="P364" s="4">
        <f t="shared" si="9"/>
        <v>46113</v>
      </c>
    </row>
    <row r="365" spans="1:16" x14ac:dyDescent="0.3">
      <c r="A365" s="1" t="s">
        <v>30</v>
      </c>
      <c r="B365" s="1" t="s">
        <v>22</v>
      </c>
      <c r="C365" s="1" t="s">
        <v>18</v>
      </c>
      <c r="D365" s="1" t="s">
        <v>56</v>
      </c>
      <c r="E365" s="1">
        <v>16</v>
      </c>
      <c r="F365" s="1">
        <v>1744</v>
      </c>
      <c r="G365" s="1">
        <v>15</v>
      </c>
      <c r="H365" s="2">
        <v>46031</v>
      </c>
      <c r="I365" s="2">
        <v>46033</v>
      </c>
      <c r="J365" s="1" t="s">
        <v>51</v>
      </c>
      <c r="K365" s="1">
        <v>1364</v>
      </c>
      <c r="L365" s="4">
        <f t="shared" ca="1" si="5"/>
        <v>46261</v>
      </c>
      <c r="M365" s="5">
        <f t="shared" ca="1" si="6"/>
        <v>46261.501276736111</v>
      </c>
      <c r="N365" s="1">
        <f t="shared" si="7"/>
        <v>2</v>
      </c>
      <c r="O365" s="1">
        <f t="shared" ca="1" si="8"/>
        <v>230</v>
      </c>
      <c r="P365" s="4">
        <f t="shared" si="9"/>
        <v>46113</v>
      </c>
    </row>
    <row r="366" spans="1:16" x14ac:dyDescent="0.3">
      <c r="A366" s="1" t="s">
        <v>46</v>
      </c>
      <c r="B366" s="1" t="s">
        <v>33</v>
      </c>
      <c r="C366" s="1" t="s">
        <v>13</v>
      </c>
      <c r="D366" s="1" t="s">
        <v>50</v>
      </c>
      <c r="E366" s="1">
        <v>17</v>
      </c>
      <c r="F366" s="1">
        <v>119</v>
      </c>
      <c r="G366" s="1">
        <v>7</v>
      </c>
      <c r="H366" s="2">
        <v>46070</v>
      </c>
      <c r="I366" s="2">
        <v>46072</v>
      </c>
      <c r="J366" s="1" t="s">
        <v>20</v>
      </c>
      <c r="K366" s="1">
        <v>1365</v>
      </c>
      <c r="L366" s="4">
        <f t="shared" ca="1" si="5"/>
        <v>46261</v>
      </c>
      <c r="M366" s="5">
        <f t="shared" ca="1" si="6"/>
        <v>46261.501276736111</v>
      </c>
      <c r="N366" s="1">
        <f t="shared" si="7"/>
        <v>2</v>
      </c>
      <c r="O366" s="1">
        <f t="shared" ca="1" si="8"/>
        <v>191</v>
      </c>
      <c r="P366" s="4">
        <f t="shared" si="9"/>
        <v>46113</v>
      </c>
    </row>
    <row r="367" spans="1:16" x14ac:dyDescent="0.3">
      <c r="A367" s="1" t="s">
        <v>26</v>
      </c>
      <c r="B367" s="1" t="s">
        <v>17</v>
      </c>
      <c r="C367" s="1" t="s">
        <v>34</v>
      </c>
      <c r="D367" s="1" t="s">
        <v>61</v>
      </c>
      <c r="E367" s="1">
        <v>20</v>
      </c>
      <c r="F367" s="1">
        <v>44312</v>
      </c>
      <c r="G367" s="1">
        <v>10</v>
      </c>
      <c r="H367" s="2">
        <v>46047</v>
      </c>
      <c r="I367" s="2">
        <v>46054</v>
      </c>
      <c r="J367" s="1" t="s">
        <v>29</v>
      </c>
      <c r="K367" s="1">
        <v>1366</v>
      </c>
      <c r="L367" s="4">
        <f t="shared" ca="1" si="5"/>
        <v>46261</v>
      </c>
      <c r="M367" s="5">
        <f t="shared" ca="1" si="6"/>
        <v>46261.501276736111</v>
      </c>
      <c r="N367" s="1">
        <f t="shared" si="7"/>
        <v>7</v>
      </c>
      <c r="O367" s="1">
        <f t="shared" ca="1" si="8"/>
        <v>214</v>
      </c>
      <c r="P367" s="4">
        <f t="shared" si="9"/>
        <v>46113</v>
      </c>
    </row>
    <row r="368" spans="1:16" x14ac:dyDescent="0.3">
      <c r="A368" s="1" t="s">
        <v>54</v>
      </c>
      <c r="B368" s="1" t="s">
        <v>25</v>
      </c>
      <c r="C368" s="1" t="s">
        <v>13</v>
      </c>
      <c r="D368" s="1" t="s">
        <v>53</v>
      </c>
      <c r="E368" s="1">
        <v>1</v>
      </c>
      <c r="F368" s="1">
        <v>371</v>
      </c>
      <c r="G368" s="1">
        <v>5</v>
      </c>
      <c r="H368" s="2">
        <v>46158</v>
      </c>
      <c r="I368" s="2">
        <v>46168</v>
      </c>
      <c r="J368" s="1" t="s">
        <v>29</v>
      </c>
      <c r="K368" s="1">
        <v>1367</v>
      </c>
      <c r="L368" s="4">
        <f t="shared" ca="1" si="5"/>
        <v>46261</v>
      </c>
      <c r="M368" s="5">
        <f t="shared" ca="1" si="6"/>
        <v>46261.501276736111</v>
      </c>
      <c r="N368" s="1">
        <f t="shared" si="7"/>
        <v>10</v>
      </c>
      <c r="O368" s="1">
        <f t="shared" ca="1" si="8"/>
        <v>103</v>
      </c>
      <c r="P368" s="4">
        <f t="shared" si="9"/>
        <v>46113</v>
      </c>
    </row>
    <row r="369" spans="1:16" x14ac:dyDescent="0.3">
      <c r="A369" s="1" t="s">
        <v>55</v>
      </c>
      <c r="B369" s="1" t="s">
        <v>38</v>
      </c>
      <c r="C369" s="1" t="s">
        <v>13</v>
      </c>
      <c r="D369" s="1" t="s">
        <v>36</v>
      </c>
      <c r="E369" s="1">
        <v>9</v>
      </c>
      <c r="F369" s="1">
        <v>115</v>
      </c>
      <c r="G369" s="1">
        <v>0</v>
      </c>
      <c r="H369" s="2">
        <v>46036</v>
      </c>
      <c r="I369" s="2">
        <v>46045</v>
      </c>
      <c r="J369" s="1" t="s">
        <v>24</v>
      </c>
      <c r="K369" s="1">
        <v>1368</v>
      </c>
      <c r="L369" s="4">
        <f t="shared" ca="1" si="5"/>
        <v>46261</v>
      </c>
      <c r="M369" s="5">
        <f t="shared" ca="1" si="6"/>
        <v>46261.501276736111</v>
      </c>
      <c r="N369" s="1">
        <f t="shared" si="7"/>
        <v>9</v>
      </c>
      <c r="O369" s="1">
        <f t="shared" ca="1" si="8"/>
        <v>225</v>
      </c>
      <c r="P369" s="4">
        <f t="shared" si="9"/>
        <v>46113</v>
      </c>
    </row>
    <row r="370" spans="1:16" x14ac:dyDescent="0.3">
      <c r="A370" s="1" t="s">
        <v>57</v>
      </c>
      <c r="B370" s="1" t="s">
        <v>25</v>
      </c>
      <c r="C370" s="1" t="s">
        <v>18</v>
      </c>
      <c r="D370" s="1" t="s">
        <v>19</v>
      </c>
      <c r="E370" s="1">
        <v>19</v>
      </c>
      <c r="F370" s="1">
        <v>5840</v>
      </c>
      <c r="G370" s="1">
        <v>5</v>
      </c>
      <c r="H370" s="2">
        <v>46062</v>
      </c>
      <c r="I370" s="2">
        <v>46067</v>
      </c>
      <c r="J370" s="1" t="s">
        <v>15</v>
      </c>
      <c r="K370" s="1">
        <v>1369</v>
      </c>
      <c r="L370" s="4">
        <f t="shared" ca="1" si="5"/>
        <v>46261</v>
      </c>
      <c r="M370" s="5">
        <f t="shared" ca="1" si="6"/>
        <v>46261.501276736111</v>
      </c>
      <c r="N370" s="1">
        <f t="shared" si="7"/>
        <v>5</v>
      </c>
      <c r="O370" s="1">
        <f t="shared" ca="1" si="8"/>
        <v>199</v>
      </c>
      <c r="P370" s="4">
        <f t="shared" si="9"/>
        <v>46113</v>
      </c>
    </row>
    <row r="371" spans="1:16" x14ac:dyDescent="0.3">
      <c r="A371" s="1" t="s">
        <v>59</v>
      </c>
      <c r="B371" s="1" t="s">
        <v>38</v>
      </c>
      <c r="C371" s="1" t="s">
        <v>13</v>
      </c>
      <c r="D371" s="1" t="s">
        <v>53</v>
      </c>
      <c r="E371" s="1">
        <v>13</v>
      </c>
      <c r="F371" s="1">
        <v>337</v>
      </c>
      <c r="G371" s="1">
        <v>7</v>
      </c>
      <c r="H371" s="2">
        <v>46184</v>
      </c>
      <c r="I371" s="2">
        <v>46188</v>
      </c>
      <c r="J371" s="1" t="s">
        <v>15</v>
      </c>
      <c r="K371" s="1">
        <v>1370</v>
      </c>
      <c r="L371" s="4">
        <f t="shared" ca="1" si="5"/>
        <v>46261</v>
      </c>
      <c r="M371" s="5">
        <f t="shared" ca="1" si="6"/>
        <v>46261.501276736111</v>
      </c>
      <c r="N371" s="1">
        <f t="shared" si="7"/>
        <v>4</v>
      </c>
      <c r="O371" s="1">
        <f t="shared" ca="1" si="8"/>
        <v>77</v>
      </c>
      <c r="P371" s="4">
        <f t="shared" si="9"/>
        <v>46113</v>
      </c>
    </row>
    <row r="372" spans="1:16" x14ac:dyDescent="0.3">
      <c r="A372" s="1" t="s">
        <v>48</v>
      </c>
      <c r="B372" s="1" t="s">
        <v>38</v>
      </c>
      <c r="C372" s="1" t="s">
        <v>18</v>
      </c>
      <c r="D372" s="1" t="s">
        <v>19</v>
      </c>
      <c r="E372" s="1">
        <v>19</v>
      </c>
      <c r="F372" s="1">
        <v>1087</v>
      </c>
      <c r="G372" s="1">
        <v>15</v>
      </c>
      <c r="H372" s="2">
        <v>46072</v>
      </c>
      <c r="I372" s="2">
        <v>46082</v>
      </c>
      <c r="J372" s="1" t="s">
        <v>20</v>
      </c>
      <c r="K372" s="1">
        <v>1371</v>
      </c>
      <c r="L372" s="4">
        <f t="shared" ca="1" si="5"/>
        <v>46261</v>
      </c>
      <c r="M372" s="5">
        <f t="shared" ca="1" si="6"/>
        <v>46261.501276736111</v>
      </c>
      <c r="N372" s="1">
        <f t="shared" si="7"/>
        <v>10</v>
      </c>
      <c r="O372" s="1">
        <f t="shared" ca="1" si="8"/>
        <v>189</v>
      </c>
      <c r="P372" s="4">
        <f t="shared" si="9"/>
        <v>46113</v>
      </c>
    </row>
    <row r="373" spans="1:16" x14ac:dyDescent="0.3">
      <c r="A373" s="1" t="s">
        <v>48</v>
      </c>
      <c r="B373" s="1" t="s">
        <v>17</v>
      </c>
      <c r="C373" s="1" t="s">
        <v>34</v>
      </c>
      <c r="D373" s="1" t="s">
        <v>39</v>
      </c>
      <c r="E373" s="1">
        <v>9</v>
      </c>
      <c r="F373" s="1">
        <v>9551</v>
      </c>
      <c r="G373" s="1">
        <v>10</v>
      </c>
      <c r="H373" s="2">
        <v>46161</v>
      </c>
      <c r="I373" s="2">
        <v>46168</v>
      </c>
      <c r="J373" s="1" t="s">
        <v>15</v>
      </c>
      <c r="K373" s="1">
        <v>1372</v>
      </c>
      <c r="L373" s="4">
        <f t="shared" ca="1" si="5"/>
        <v>46261</v>
      </c>
      <c r="M373" s="5">
        <f t="shared" ca="1" si="6"/>
        <v>46261.501276736111</v>
      </c>
      <c r="N373" s="1">
        <f t="shared" si="7"/>
        <v>7</v>
      </c>
      <c r="O373" s="1">
        <f t="shared" ca="1" si="8"/>
        <v>100</v>
      </c>
      <c r="P373" s="4">
        <f t="shared" si="9"/>
        <v>46113</v>
      </c>
    </row>
    <row r="374" spans="1:16" x14ac:dyDescent="0.3">
      <c r="A374" s="1" t="s">
        <v>54</v>
      </c>
      <c r="B374" s="1" t="s">
        <v>25</v>
      </c>
      <c r="C374" s="1" t="s">
        <v>34</v>
      </c>
      <c r="D374" s="1" t="s">
        <v>60</v>
      </c>
      <c r="E374" s="1">
        <v>11</v>
      </c>
      <c r="F374" s="1">
        <v>47930</v>
      </c>
      <c r="G374" s="1">
        <v>12</v>
      </c>
      <c r="H374" s="2">
        <v>46191</v>
      </c>
      <c r="I374" s="2">
        <v>46201</v>
      </c>
      <c r="J374" s="1" t="s">
        <v>20</v>
      </c>
      <c r="K374" s="1">
        <v>1373</v>
      </c>
      <c r="L374" s="4">
        <f t="shared" ca="1" si="5"/>
        <v>46261</v>
      </c>
      <c r="M374" s="5">
        <f t="shared" ca="1" si="6"/>
        <v>46261.501276736111</v>
      </c>
      <c r="N374" s="1">
        <f t="shared" si="7"/>
        <v>10</v>
      </c>
      <c r="O374" s="1">
        <f t="shared" ca="1" si="8"/>
        <v>70</v>
      </c>
      <c r="P374" s="4">
        <f t="shared" si="9"/>
        <v>46113</v>
      </c>
    </row>
    <row r="375" spans="1:16" x14ac:dyDescent="0.3">
      <c r="A375" s="1" t="s">
        <v>57</v>
      </c>
      <c r="B375" s="1" t="s">
        <v>33</v>
      </c>
      <c r="C375" s="1" t="s">
        <v>34</v>
      </c>
      <c r="D375" s="1" t="s">
        <v>35</v>
      </c>
      <c r="E375" s="1">
        <v>12</v>
      </c>
      <c r="F375" s="1">
        <v>66052</v>
      </c>
      <c r="G375" s="1">
        <v>2</v>
      </c>
      <c r="H375" s="2">
        <v>46063</v>
      </c>
      <c r="I375" s="2">
        <v>46066</v>
      </c>
      <c r="J375" s="1" t="s">
        <v>51</v>
      </c>
      <c r="K375" s="1">
        <v>1374</v>
      </c>
      <c r="L375" s="4">
        <f t="shared" ca="1" si="5"/>
        <v>46261</v>
      </c>
      <c r="M375" s="5">
        <f t="shared" ca="1" si="6"/>
        <v>46261.501276736111</v>
      </c>
      <c r="N375" s="1">
        <f t="shared" si="7"/>
        <v>3</v>
      </c>
      <c r="O375" s="1">
        <f t="shared" ca="1" si="8"/>
        <v>198</v>
      </c>
      <c r="P375" s="4">
        <f t="shared" si="9"/>
        <v>46113</v>
      </c>
    </row>
    <row r="376" spans="1:16" x14ac:dyDescent="0.3">
      <c r="A376" s="1" t="s">
        <v>46</v>
      </c>
      <c r="B376" s="1" t="s">
        <v>43</v>
      </c>
      <c r="C376" s="1" t="s">
        <v>34</v>
      </c>
      <c r="D376" s="1" t="s">
        <v>45</v>
      </c>
      <c r="E376" s="1">
        <v>20</v>
      </c>
      <c r="F376" s="1">
        <v>56766</v>
      </c>
      <c r="G376" s="1">
        <v>0</v>
      </c>
      <c r="H376" s="2">
        <v>46052</v>
      </c>
      <c r="I376" s="2">
        <v>46061</v>
      </c>
      <c r="J376" s="1" t="s">
        <v>24</v>
      </c>
      <c r="K376" s="1">
        <v>1375</v>
      </c>
      <c r="L376" s="4">
        <f t="shared" ca="1" si="5"/>
        <v>46261</v>
      </c>
      <c r="M376" s="5">
        <f t="shared" ca="1" si="6"/>
        <v>46261.501276736111</v>
      </c>
      <c r="N376" s="1">
        <f t="shared" si="7"/>
        <v>9</v>
      </c>
      <c r="O376" s="1">
        <f t="shared" ca="1" si="8"/>
        <v>209</v>
      </c>
      <c r="P376" s="4">
        <f t="shared" si="9"/>
        <v>46113</v>
      </c>
    </row>
    <row r="377" spans="1:16" x14ac:dyDescent="0.3">
      <c r="A377" s="1" t="s">
        <v>52</v>
      </c>
      <c r="B377" s="1" t="s">
        <v>31</v>
      </c>
      <c r="C377" s="1" t="s">
        <v>13</v>
      </c>
      <c r="D377" s="1" t="s">
        <v>50</v>
      </c>
      <c r="E377" s="1">
        <v>20</v>
      </c>
      <c r="F377" s="1">
        <v>429</v>
      </c>
      <c r="G377" s="1">
        <v>5</v>
      </c>
      <c r="H377" s="2">
        <v>46178</v>
      </c>
      <c r="I377" s="2">
        <v>46184</v>
      </c>
      <c r="J377" s="1" t="s">
        <v>20</v>
      </c>
      <c r="K377" s="1">
        <v>1376</v>
      </c>
      <c r="L377" s="4">
        <f t="shared" ca="1" si="5"/>
        <v>46261</v>
      </c>
      <c r="M377" s="5">
        <f t="shared" ca="1" si="6"/>
        <v>46261.501276736111</v>
      </c>
      <c r="N377" s="1">
        <f t="shared" si="7"/>
        <v>6</v>
      </c>
      <c r="O377" s="1">
        <f t="shared" ca="1" si="8"/>
        <v>83</v>
      </c>
      <c r="P377" s="4">
        <f t="shared" si="9"/>
        <v>46113</v>
      </c>
    </row>
    <row r="378" spans="1:16" x14ac:dyDescent="0.3">
      <c r="A378" s="1" t="s">
        <v>32</v>
      </c>
      <c r="B378" s="1" t="s">
        <v>38</v>
      </c>
      <c r="C378" s="1" t="s">
        <v>18</v>
      </c>
      <c r="D378" s="1" t="s">
        <v>19</v>
      </c>
      <c r="E378" s="1">
        <v>3</v>
      </c>
      <c r="F378" s="1">
        <v>5480</v>
      </c>
      <c r="G378" s="1">
        <v>12</v>
      </c>
      <c r="H378" s="2">
        <v>46105</v>
      </c>
      <c r="I378" s="2">
        <v>46111</v>
      </c>
      <c r="J378" s="1" t="s">
        <v>24</v>
      </c>
      <c r="K378" s="1">
        <v>1377</v>
      </c>
      <c r="L378" s="4">
        <f t="shared" ca="1" si="5"/>
        <v>46261</v>
      </c>
      <c r="M378" s="5">
        <f t="shared" ca="1" si="6"/>
        <v>46261.501276736111</v>
      </c>
      <c r="N378" s="1">
        <f t="shared" si="7"/>
        <v>6</v>
      </c>
      <c r="O378" s="1">
        <f t="shared" ca="1" si="8"/>
        <v>156</v>
      </c>
      <c r="P378" s="4">
        <f t="shared" si="9"/>
        <v>46113</v>
      </c>
    </row>
    <row r="379" spans="1:16" x14ac:dyDescent="0.3">
      <c r="A379" s="1" t="s">
        <v>55</v>
      </c>
      <c r="B379" s="1" t="s">
        <v>22</v>
      </c>
      <c r="C379" s="1" t="s">
        <v>34</v>
      </c>
      <c r="D379" s="1" t="s">
        <v>45</v>
      </c>
      <c r="E379" s="1">
        <v>15</v>
      </c>
      <c r="F379" s="1">
        <v>22693</v>
      </c>
      <c r="G379" s="1">
        <v>12</v>
      </c>
      <c r="H379" s="2">
        <v>46074</v>
      </c>
      <c r="I379" s="2">
        <v>46080</v>
      </c>
      <c r="J379" s="1" t="s">
        <v>51</v>
      </c>
      <c r="K379" s="1">
        <v>1378</v>
      </c>
      <c r="L379" s="4">
        <f t="shared" ca="1" si="5"/>
        <v>46261</v>
      </c>
      <c r="M379" s="5">
        <f t="shared" ca="1" si="6"/>
        <v>46261.501276736111</v>
      </c>
      <c r="N379" s="1">
        <f t="shared" si="7"/>
        <v>6</v>
      </c>
      <c r="O379" s="1">
        <f t="shared" ca="1" si="8"/>
        <v>187</v>
      </c>
      <c r="P379" s="4">
        <f t="shared" si="9"/>
        <v>46113</v>
      </c>
    </row>
    <row r="380" spans="1:16" x14ac:dyDescent="0.3">
      <c r="A380" s="1" t="s">
        <v>47</v>
      </c>
      <c r="B380" s="1" t="s">
        <v>17</v>
      </c>
      <c r="C380" s="1" t="s">
        <v>13</v>
      </c>
      <c r="D380" s="1" t="s">
        <v>14</v>
      </c>
      <c r="E380" s="1">
        <v>11</v>
      </c>
      <c r="F380" s="1">
        <v>136</v>
      </c>
      <c r="G380" s="1">
        <v>15</v>
      </c>
      <c r="H380" s="2">
        <v>46106</v>
      </c>
      <c r="I380" s="2">
        <v>46107</v>
      </c>
      <c r="J380" s="1" t="s">
        <v>20</v>
      </c>
      <c r="K380" s="1">
        <v>1379</v>
      </c>
      <c r="L380" s="4">
        <f t="shared" ca="1" si="5"/>
        <v>46261</v>
      </c>
      <c r="M380" s="5">
        <f t="shared" ca="1" si="6"/>
        <v>46261.501276736111</v>
      </c>
      <c r="N380" s="1">
        <f t="shared" si="7"/>
        <v>1</v>
      </c>
      <c r="O380" s="1">
        <f t="shared" ca="1" si="8"/>
        <v>155</v>
      </c>
      <c r="P380" s="4">
        <f t="shared" si="9"/>
        <v>46113</v>
      </c>
    </row>
    <row r="381" spans="1:16" x14ac:dyDescent="0.3">
      <c r="A381" s="1" t="s">
        <v>52</v>
      </c>
      <c r="B381" s="1" t="s">
        <v>43</v>
      </c>
      <c r="C381" s="1" t="s">
        <v>13</v>
      </c>
      <c r="D381" s="1" t="s">
        <v>53</v>
      </c>
      <c r="E381" s="1">
        <v>3</v>
      </c>
      <c r="F381" s="1">
        <v>412</v>
      </c>
      <c r="G381" s="1">
        <v>7</v>
      </c>
      <c r="H381" s="2">
        <v>46128</v>
      </c>
      <c r="I381" s="2">
        <v>46138</v>
      </c>
      <c r="J381" s="1" t="s">
        <v>24</v>
      </c>
      <c r="K381" s="1">
        <v>1380</v>
      </c>
      <c r="L381" s="4">
        <f t="shared" ca="1" si="5"/>
        <v>46261</v>
      </c>
      <c r="M381" s="5">
        <f t="shared" ca="1" si="6"/>
        <v>46261.501276736111</v>
      </c>
      <c r="N381" s="1">
        <f t="shared" si="7"/>
        <v>10</v>
      </c>
      <c r="O381" s="1">
        <f t="shared" ca="1" si="8"/>
        <v>133</v>
      </c>
      <c r="P381" s="4">
        <f t="shared" si="9"/>
        <v>46113</v>
      </c>
    </row>
    <row r="382" spans="1:16" x14ac:dyDescent="0.3">
      <c r="A382" s="1" t="s">
        <v>55</v>
      </c>
      <c r="B382" s="1" t="s">
        <v>33</v>
      </c>
      <c r="C382" s="1" t="s">
        <v>18</v>
      </c>
      <c r="D382" s="1" t="s">
        <v>28</v>
      </c>
      <c r="E382" s="1">
        <v>5</v>
      </c>
      <c r="F382" s="1">
        <v>7484</v>
      </c>
      <c r="G382" s="1">
        <v>2</v>
      </c>
      <c r="H382" s="2">
        <v>46089</v>
      </c>
      <c r="I382" s="2">
        <v>46093</v>
      </c>
      <c r="J382" s="1" t="s">
        <v>20</v>
      </c>
      <c r="K382" s="1">
        <v>1381</v>
      </c>
      <c r="L382" s="4">
        <f t="shared" ca="1" si="5"/>
        <v>46261</v>
      </c>
      <c r="M382" s="5">
        <f t="shared" ca="1" si="6"/>
        <v>46261.501276736111</v>
      </c>
      <c r="N382" s="1">
        <f t="shared" si="7"/>
        <v>4</v>
      </c>
      <c r="O382" s="1">
        <f t="shared" ca="1" si="8"/>
        <v>172</v>
      </c>
      <c r="P382" s="4">
        <f t="shared" si="9"/>
        <v>46113</v>
      </c>
    </row>
    <row r="383" spans="1:16" x14ac:dyDescent="0.3">
      <c r="A383" s="1" t="s">
        <v>49</v>
      </c>
      <c r="B383" s="1" t="s">
        <v>33</v>
      </c>
      <c r="C383" s="1" t="s">
        <v>34</v>
      </c>
      <c r="D383" s="1" t="s">
        <v>60</v>
      </c>
      <c r="E383" s="1">
        <v>11</v>
      </c>
      <c r="F383" s="1">
        <v>36198</v>
      </c>
      <c r="G383" s="1">
        <v>0</v>
      </c>
      <c r="H383" s="2">
        <v>46130</v>
      </c>
      <c r="I383" s="2">
        <v>46134</v>
      </c>
      <c r="J383" s="1" t="s">
        <v>15</v>
      </c>
      <c r="K383" s="1">
        <v>1382</v>
      </c>
      <c r="L383" s="4">
        <f t="shared" ca="1" si="5"/>
        <v>46261</v>
      </c>
      <c r="M383" s="5">
        <f t="shared" ca="1" si="6"/>
        <v>46261.501276736111</v>
      </c>
      <c r="N383" s="1">
        <f t="shared" si="7"/>
        <v>4</v>
      </c>
      <c r="O383" s="1">
        <f t="shared" ca="1" si="8"/>
        <v>131</v>
      </c>
      <c r="P383" s="4">
        <f t="shared" si="9"/>
        <v>46113</v>
      </c>
    </row>
    <row r="384" spans="1:16" x14ac:dyDescent="0.3">
      <c r="A384" s="1" t="s">
        <v>32</v>
      </c>
      <c r="B384" s="1" t="s">
        <v>12</v>
      </c>
      <c r="C384" s="1" t="s">
        <v>13</v>
      </c>
      <c r="D384" s="1" t="s">
        <v>53</v>
      </c>
      <c r="E384" s="1">
        <v>14</v>
      </c>
      <c r="F384" s="1">
        <v>334</v>
      </c>
      <c r="G384" s="1">
        <v>10</v>
      </c>
      <c r="H384" s="2">
        <v>46196</v>
      </c>
      <c r="I384" s="2">
        <v>46203</v>
      </c>
      <c r="J384" s="1" t="s">
        <v>15</v>
      </c>
      <c r="K384" s="1">
        <v>1383</v>
      </c>
      <c r="L384" s="4">
        <f t="shared" ca="1" si="5"/>
        <v>46261</v>
      </c>
      <c r="M384" s="5">
        <f t="shared" ca="1" si="6"/>
        <v>46261.501276736111</v>
      </c>
      <c r="N384" s="1">
        <f t="shared" si="7"/>
        <v>7</v>
      </c>
      <c r="O384" s="1">
        <f t="shared" ca="1" si="8"/>
        <v>65</v>
      </c>
      <c r="P384" s="4">
        <f t="shared" si="9"/>
        <v>46113</v>
      </c>
    </row>
    <row r="385" spans="1:16" x14ac:dyDescent="0.3">
      <c r="A385" s="1" t="s">
        <v>59</v>
      </c>
      <c r="B385" s="1" t="s">
        <v>12</v>
      </c>
      <c r="C385" s="1" t="s">
        <v>34</v>
      </c>
      <c r="D385" s="1" t="s">
        <v>39</v>
      </c>
      <c r="E385" s="1">
        <v>15</v>
      </c>
      <c r="F385" s="1">
        <v>38116</v>
      </c>
      <c r="G385" s="1">
        <v>0</v>
      </c>
      <c r="H385" s="2">
        <v>46074</v>
      </c>
      <c r="I385" s="2">
        <v>46078</v>
      </c>
      <c r="J385" s="1" t="s">
        <v>29</v>
      </c>
      <c r="K385" s="1">
        <v>1384</v>
      </c>
      <c r="L385" s="4">
        <f t="shared" ca="1" si="5"/>
        <v>46261</v>
      </c>
      <c r="M385" s="5">
        <f t="shared" ca="1" si="6"/>
        <v>46261.501276736111</v>
      </c>
      <c r="N385" s="1">
        <f t="shared" si="7"/>
        <v>4</v>
      </c>
      <c r="O385" s="1">
        <f t="shared" ca="1" si="8"/>
        <v>187</v>
      </c>
      <c r="P385" s="4">
        <f t="shared" si="9"/>
        <v>46113</v>
      </c>
    </row>
    <row r="386" spans="1:16" x14ac:dyDescent="0.3">
      <c r="A386" s="1" t="s">
        <v>26</v>
      </c>
      <c r="B386" s="1" t="s">
        <v>33</v>
      </c>
      <c r="C386" s="1" t="s">
        <v>34</v>
      </c>
      <c r="D386" s="1" t="s">
        <v>39</v>
      </c>
      <c r="E386" s="1">
        <v>12</v>
      </c>
      <c r="F386" s="1">
        <v>61360</v>
      </c>
      <c r="G386" s="1">
        <v>10</v>
      </c>
      <c r="H386" s="2">
        <v>46048</v>
      </c>
      <c r="I386" s="2">
        <v>46053</v>
      </c>
      <c r="J386" s="1" t="s">
        <v>51</v>
      </c>
      <c r="K386" s="1">
        <v>1385</v>
      </c>
      <c r="L386" s="4">
        <f t="shared" ca="1" si="5"/>
        <v>46261</v>
      </c>
      <c r="M386" s="5">
        <f t="shared" ca="1" si="6"/>
        <v>46261.501276736111</v>
      </c>
      <c r="N386" s="1">
        <f t="shared" si="7"/>
        <v>5</v>
      </c>
      <c r="O386" s="1">
        <f t="shared" ca="1" si="8"/>
        <v>213</v>
      </c>
      <c r="P386" s="4">
        <f t="shared" si="9"/>
        <v>46113</v>
      </c>
    </row>
    <row r="387" spans="1:16" x14ac:dyDescent="0.3">
      <c r="A387" s="1" t="s">
        <v>27</v>
      </c>
      <c r="B387" s="1" t="s">
        <v>31</v>
      </c>
      <c r="C387" s="1" t="s">
        <v>18</v>
      </c>
      <c r="D387" s="1" t="s">
        <v>28</v>
      </c>
      <c r="E387" s="1">
        <v>9</v>
      </c>
      <c r="F387" s="1">
        <v>7509</v>
      </c>
      <c r="G387" s="1">
        <v>5</v>
      </c>
      <c r="H387" s="2">
        <v>46162</v>
      </c>
      <c r="I387" s="2">
        <v>46171</v>
      </c>
      <c r="J387" s="1" t="s">
        <v>51</v>
      </c>
      <c r="K387" s="1">
        <v>1386</v>
      </c>
      <c r="L387" s="4">
        <f t="shared" ca="1" si="5"/>
        <v>46261</v>
      </c>
      <c r="M387" s="5">
        <f t="shared" ca="1" si="6"/>
        <v>46261.501276736111</v>
      </c>
      <c r="N387" s="1">
        <f t="shared" si="7"/>
        <v>9</v>
      </c>
      <c r="O387" s="1">
        <f t="shared" ca="1" si="8"/>
        <v>99</v>
      </c>
      <c r="P387" s="4">
        <f t="shared" si="9"/>
        <v>46113</v>
      </c>
    </row>
    <row r="388" spans="1:16" x14ac:dyDescent="0.3">
      <c r="A388" s="1" t="s">
        <v>54</v>
      </c>
      <c r="B388" s="1" t="s">
        <v>33</v>
      </c>
      <c r="C388" s="1" t="s">
        <v>34</v>
      </c>
      <c r="D388" s="1" t="s">
        <v>35</v>
      </c>
      <c r="E388" s="1">
        <v>11</v>
      </c>
      <c r="F388" s="1">
        <v>56515</v>
      </c>
      <c r="G388" s="1">
        <v>5</v>
      </c>
      <c r="H388" s="2">
        <v>46102</v>
      </c>
      <c r="I388" s="2">
        <v>46112</v>
      </c>
      <c r="J388" s="1" t="s">
        <v>24</v>
      </c>
      <c r="K388" s="1">
        <v>1387</v>
      </c>
      <c r="L388" s="4">
        <f t="shared" ca="1" si="5"/>
        <v>46261</v>
      </c>
      <c r="M388" s="5">
        <f t="shared" ca="1" si="6"/>
        <v>46261.501276736111</v>
      </c>
      <c r="N388" s="1">
        <f t="shared" si="7"/>
        <v>10</v>
      </c>
      <c r="O388" s="1">
        <f t="shared" ca="1" si="8"/>
        <v>159</v>
      </c>
      <c r="P388" s="4">
        <f t="shared" si="9"/>
        <v>46113</v>
      </c>
    </row>
    <row r="389" spans="1:16" x14ac:dyDescent="0.3">
      <c r="A389" s="1" t="s">
        <v>55</v>
      </c>
      <c r="B389" s="1" t="s">
        <v>31</v>
      </c>
      <c r="C389" s="1" t="s">
        <v>18</v>
      </c>
      <c r="D389" s="1" t="s">
        <v>28</v>
      </c>
      <c r="E389" s="1">
        <v>12</v>
      </c>
      <c r="F389" s="1">
        <v>11662</v>
      </c>
      <c r="G389" s="1">
        <v>12</v>
      </c>
      <c r="H389" s="2">
        <v>46094</v>
      </c>
      <c r="I389" s="2">
        <v>46096</v>
      </c>
      <c r="J389" s="1" t="s">
        <v>20</v>
      </c>
      <c r="K389" s="1">
        <v>1388</v>
      </c>
      <c r="L389" s="4">
        <f t="shared" ca="1" si="5"/>
        <v>46261</v>
      </c>
      <c r="M389" s="5">
        <f t="shared" ca="1" si="6"/>
        <v>46261.501276736111</v>
      </c>
      <c r="N389" s="1">
        <f t="shared" si="7"/>
        <v>2</v>
      </c>
      <c r="O389" s="1">
        <f t="shared" ca="1" si="8"/>
        <v>167</v>
      </c>
      <c r="P389" s="4">
        <f t="shared" si="9"/>
        <v>46113</v>
      </c>
    </row>
    <row r="390" spans="1:16" x14ac:dyDescent="0.3">
      <c r="A390" s="1" t="s">
        <v>32</v>
      </c>
      <c r="B390" s="1" t="s">
        <v>12</v>
      </c>
      <c r="C390" s="1" t="s">
        <v>34</v>
      </c>
      <c r="D390" s="1" t="s">
        <v>41</v>
      </c>
      <c r="E390" s="1">
        <v>3</v>
      </c>
      <c r="F390" s="1">
        <v>56380</v>
      </c>
      <c r="G390" s="1">
        <v>5</v>
      </c>
      <c r="H390" s="2">
        <v>46044</v>
      </c>
      <c r="I390" s="2">
        <v>46048</v>
      </c>
      <c r="J390" s="1" t="s">
        <v>51</v>
      </c>
      <c r="K390" s="1">
        <v>1389</v>
      </c>
      <c r="L390" s="4">
        <f t="shared" ca="1" si="5"/>
        <v>46261</v>
      </c>
      <c r="M390" s="5">
        <f t="shared" ca="1" si="6"/>
        <v>46261.501276736111</v>
      </c>
      <c r="N390" s="1">
        <f t="shared" si="7"/>
        <v>4</v>
      </c>
      <c r="O390" s="1">
        <f t="shared" ca="1" si="8"/>
        <v>217</v>
      </c>
      <c r="P390" s="4">
        <f t="shared" si="9"/>
        <v>46113</v>
      </c>
    </row>
    <row r="391" spans="1:16" x14ac:dyDescent="0.3">
      <c r="A391" s="1" t="s">
        <v>58</v>
      </c>
      <c r="B391" s="1" t="s">
        <v>43</v>
      </c>
      <c r="C391" s="1" t="s">
        <v>18</v>
      </c>
      <c r="D391" s="1" t="s">
        <v>19</v>
      </c>
      <c r="E391" s="1">
        <v>9</v>
      </c>
      <c r="F391" s="1">
        <v>7670</v>
      </c>
      <c r="G391" s="1">
        <v>0</v>
      </c>
      <c r="H391" s="2">
        <v>46076</v>
      </c>
      <c r="I391" s="2">
        <v>46081</v>
      </c>
      <c r="J391" s="1" t="s">
        <v>51</v>
      </c>
      <c r="K391" s="1">
        <v>1390</v>
      </c>
      <c r="L391" s="4">
        <f t="shared" ca="1" si="5"/>
        <v>46261</v>
      </c>
      <c r="M391" s="5">
        <f t="shared" ca="1" si="6"/>
        <v>46261.501276736111</v>
      </c>
      <c r="N391" s="1">
        <f t="shared" si="7"/>
        <v>5</v>
      </c>
      <c r="O391" s="1">
        <f t="shared" ca="1" si="8"/>
        <v>185</v>
      </c>
      <c r="P391" s="4">
        <f t="shared" si="9"/>
        <v>46113</v>
      </c>
    </row>
    <row r="392" spans="1:16" x14ac:dyDescent="0.3">
      <c r="A392" s="1" t="s">
        <v>30</v>
      </c>
      <c r="B392" s="1" t="s">
        <v>31</v>
      </c>
      <c r="C392" s="1" t="s">
        <v>34</v>
      </c>
      <c r="D392" s="1" t="s">
        <v>35</v>
      </c>
      <c r="E392" s="1">
        <v>5</v>
      </c>
      <c r="F392" s="1">
        <v>65270</v>
      </c>
      <c r="G392" s="1">
        <v>5</v>
      </c>
      <c r="H392" s="2">
        <v>46100</v>
      </c>
      <c r="I392" s="2">
        <v>46103</v>
      </c>
      <c r="J392" s="1" t="s">
        <v>24</v>
      </c>
      <c r="K392" s="1">
        <v>1391</v>
      </c>
      <c r="L392" s="4">
        <f t="shared" ca="1" si="5"/>
        <v>46261</v>
      </c>
      <c r="M392" s="5">
        <f t="shared" ca="1" si="6"/>
        <v>46261.501276736111</v>
      </c>
      <c r="N392" s="1">
        <f t="shared" si="7"/>
        <v>3</v>
      </c>
      <c r="O392" s="1">
        <f t="shared" ca="1" si="8"/>
        <v>161</v>
      </c>
      <c r="P392" s="4">
        <f t="shared" si="9"/>
        <v>46113</v>
      </c>
    </row>
    <row r="393" spans="1:16" x14ac:dyDescent="0.3">
      <c r="A393" s="1" t="s">
        <v>29</v>
      </c>
      <c r="B393" s="1" t="s">
        <v>43</v>
      </c>
      <c r="C393" s="1" t="s">
        <v>34</v>
      </c>
      <c r="D393" s="1" t="s">
        <v>35</v>
      </c>
      <c r="E393" s="1">
        <v>13</v>
      </c>
      <c r="F393" s="1">
        <v>23903</v>
      </c>
      <c r="G393" s="1">
        <v>5</v>
      </c>
      <c r="H393" s="2">
        <v>46124</v>
      </c>
      <c r="I393" s="2">
        <v>46125</v>
      </c>
      <c r="J393" s="1" t="s">
        <v>29</v>
      </c>
      <c r="K393" s="1">
        <v>1392</v>
      </c>
      <c r="L393" s="4">
        <f t="shared" ca="1" si="5"/>
        <v>46261</v>
      </c>
      <c r="M393" s="5">
        <f t="shared" ca="1" si="6"/>
        <v>46261.501276736111</v>
      </c>
      <c r="N393" s="1">
        <f t="shared" si="7"/>
        <v>1</v>
      </c>
      <c r="O393" s="1">
        <f t="shared" ca="1" si="8"/>
        <v>137</v>
      </c>
      <c r="P393" s="4">
        <f t="shared" si="9"/>
        <v>46113</v>
      </c>
    </row>
    <row r="394" spans="1:16" x14ac:dyDescent="0.3">
      <c r="A394" s="1" t="s">
        <v>30</v>
      </c>
      <c r="B394" s="1" t="s">
        <v>25</v>
      </c>
      <c r="C394" s="1" t="s">
        <v>34</v>
      </c>
      <c r="D394" s="1" t="s">
        <v>45</v>
      </c>
      <c r="E394" s="1">
        <v>17</v>
      </c>
      <c r="F394" s="1">
        <v>30351</v>
      </c>
      <c r="G394" s="1">
        <v>15</v>
      </c>
      <c r="H394" s="2">
        <v>46047</v>
      </c>
      <c r="I394" s="2">
        <v>46051</v>
      </c>
      <c r="J394" s="1" t="s">
        <v>51</v>
      </c>
      <c r="K394" s="1">
        <v>1393</v>
      </c>
      <c r="L394" s="4">
        <f t="shared" ca="1" si="5"/>
        <v>46261</v>
      </c>
      <c r="M394" s="5">
        <f t="shared" ca="1" si="6"/>
        <v>46261.501276736111</v>
      </c>
      <c r="N394" s="1">
        <f t="shared" si="7"/>
        <v>4</v>
      </c>
      <c r="O394" s="1">
        <f t="shared" ca="1" si="8"/>
        <v>214</v>
      </c>
      <c r="P394" s="4">
        <f t="shared" si="9"/>
        <v>46113</v>
      </c>
    </row>
    <row r="395" spans="1:16" x14ac:dyDescent="0.3">
      <c r="A395" s="1" t="s">
        <v>54</v>
      </c>
      <c r="B395" s="1" t="s">
        <v>12</v>
      </c>
      <c r="C395" s="1" t="s">
        <v>13</v>
      </c>
      <c r="D395" s="1" t="s">
        <v>14</v>
      </c>
      <c r="E395" s="1">
        <v>10</v>
      </c>
      <c r="F395" s="1">
        <v>138</v>
      </c>
      <c r="G395" s="1">
        <v>2</v>
      </c>
      <c r="H395" s="2">
        <v>46056</v>
      </c>
      <c r="I395" s="2">
        <v>46057</v>
      </c>
      <c r="J395" s="1" t="s">
        <v>15</v>
      </c>
      <c r="K395" s="1">
        <v>1394</v>
      </c>
      <c r="L395" s="4">
        <f t="shared" ca="1" si="5"/>
        <v>46261</v>
      </c>
      <c r="M395" s="5">
        <f t="shared" ca="1" si="6"/>
        <v>46261.501276736111</v>
      </c>
      <c r="N395" s="1">
        <f t="shared" si="7"/>
        <v>1</v>
      </c>
      <c r="O395" s="1">
        <f t="shared" ca="1" si="8"/>
        <v>205</v>
      </c>
      <c r="P395" s="4">
        <f t="shared" si="9"/>
        <v>46113</v>
      </c>
    </row>
    <row r="396" spans="1:16" x14ac:dyDescent="0.3">
      <c r="A396" s="1" t="s">
        <v>54</v>
      </c>
      <c r="B396" s="1" t="s">
        <v>33</v>
      </c>
      <c r="C396" s="1" t="s">
        <v>18</v>
      </c>
      <c r="D396" s="1" t="s">
        <v>44</v>
      </c>
      <c r="E396" s="1">
        <v>18</v>
      </c>
      <c r="F396" s="1">
        <v>10402</v>
      </c>
      <c r="G396" s="1">
        <v>15</v>
      </c>
      <c r="H396" s="2">
        <v>46062</v>
      </c>
      <c r="I396" s="2">
        <v>46067</v>
      </c>
      <c r="J396" s="1" t="s">
        <v>29</v>
      </c>
      <c r="K396" s="1">
        <v>1395</v>
      </c>
      <c r="L396" s="4">
        <f t="shared" ca="1" si="5"/>
        <v>46261</v>
      </c>
      <c r="M396" s="5">
        <f t="shared" ca="1" si="6"/>
        <v>46261.501276736111</v>
      </c>
      <c r="N396" s="1">
        <f t="shared" si="7"/>
        <v>5</v>
      </c>
      <c r="O396" s="1">
        <f t="shared" ca="1" si="8"/>
        <v>199</v>
      </c>
      <c r="P396" s="4">
        <f t="shared" si="9"/>
        <v>46113</v>
      </c>
    </row>
    <row r="397" spans="1:16" x14ac:dyDescent="0.3">
      <c r="A397" s="1" t="s">
        <v>21</v>
      </c>
      <c r="B397" s="1" t="s">
        <v>38</v>
      </c>
      <c r="C397" s="1" t="s">
        <v>13</v>
      </c>
      <c r="D397" s="1" t="s">
        <v>53</v>
      </c>
      <c r="E397" s="1">
        <v>8</v>
      </c>
      <c r="F397" s="1">
        <v>54</v>
      </c>
      <c r="G397" s="1">
        <v>15</v>
      </c>
      <c r="H397" s="2">
        <v>46031</v>
      </c>
      <c r="I397" s="2">
        <v>46035</v>
      </c>
      <c r="J397" s="1" t="s">
        <v>15</v>
      </c>
      <c r="K397" s="1">
        <v>1396</v>
      </c>
      <c r="L397" s="4">
        <f t="shared" ca="1" si="5"/>
        <v>46261</v>
      </c>
      <c r="M397" s="5">
        <f t="shared" ca="1" si="6"/>
        <v>46261.501276736111</v>
      </c>
      <c r="N397" s="1">
        <f t="shared" si="7"/>
        <v>4</v>
      </c>
      <c r="O397" s="1">
        <f t="shared" ca="1" si="8"/>
        <v>230</v>
      </c>
      <c r="P397" s="4">
        <f t="shared" si="9"/>
        <v>46113</v>
      </c>
    </row>
    <row r="398" spans="1:16" x14ac:dyDescent="0.3">
      <c r="A398" s="1" t="s">
        <v>21</v>
      </c>
      <c r="B398" s="1" t="s">
        <v>33</v>
      </c>
      <c r="C398" s="1" t="s">
        <v>18</v>
      </c>
      <c r="D398" s="1" t="s">
        <v>23</v>
      </c>
      <c r="E398" s="1">
        <v>1</v>
      </c>
      <c r="F398" s="1">
        <v>8948</v>
      </c>
      <c r="G398" s="1">
        <v>5</v>
      </c>
      <c r="H398" s="2">
        <v>46194</v>
      </c>
      <c r="I398" s="2">
        <v>46201</v>
      </c>
      <c r="J398" s="1" t="s">
        <v>51</v>
      </c>
      <c r="K398" s="1">
        <v>1397</v>
      </c>
      <c r="L398" s="4">
        <f t="shared" ca="1" si="5"/>
        <v>46261</v>
      </c>
      <c r="M398" s="5">
        <f t="shared" ca="1" si="6"/>
        <v>46261.501276736111</v>
      </c>
      <c r="N398" s="1">
        <f t="shared" si="7"/>
        <v>7</v>
      </c>
      <c r="O398" s="1">
        <f t="shared" ca="1" si="8"/>
        <v>67</v>
      </c>
      <c r="P398" s="4">
        <f t="shared" si="9"/>
        <v>46113</v>
      </c>
    </row>
    <row r="399" spans="1:16" x14ac:dyDescent="0.3">
      <c r="A399" s="1" t="s">
        <v>58</v>
      </c>
      <c r="B399" s="1" t="s">
        <v>43</v>
      </c>
      <c r="C399" s="1" t="s">
        <v>34</v>
      </c>
      <c r="D399" s="1" t="s">
        <v>39</v>
      </c>
      <c r="E399" s="1">
        <v>12</v>
      </c>
      <c r="F399" s="1">
        <v>10668</v>
      </c>
      <c r="G399" s="1">
        <v>0</v>
      </c>
      <c r="H399" s="2">
        <v>46170</v>
      </c>
      <c r="I399" s="2">
        <v>46176</v>
      </c>
      <c r="J399" s="1" t="s">
        <v>15</v>
      </c>
      <c r="K399" s="1">
        <v>1398</v>
      </c>
      <c r="L399" s="4">
        <f t="shared" ca="1" si="5"/>
        <v>46261</v>
      </c>
      <c r="M399" s="5">
        <f t="shared" ca="1" si="6"/>
        <v>46261.501276736111</v>
      </c>
      <c r="N399" s="1">
        <f t="shared" si="7"/>
        <v>6</v>
      </c>
      <c r="O399" s="1">
        <f t="shared" ca="1" si="8"/>
        <v>91</v>
      </c>
      <c r="P399" s="4">
        <f t="shared" si="9"/>
        <v>46113</v>
      </c>
    </row>
    <row r="400" spans="1:16" x14ac:dyDescent="0.3">
      <c r="A400" s="1" t="s">
        <v>48</v>
      </c>
      <c r="B400" s="1" t="s">
        <v>31</v>
      </c>
      <c r="C400" s="1" t="s">
        <v>13</v>
      </c>
      <c r="D400" s="1" t="s">
        <v>14</v>
      </c>
      <c r="E400" s="1">
        <v>15</v>
      </c>
      <c r="F400" s="1">
        <v>87</v>
      </c>
      <c r="G400" s="1">
        <v>15</v>
      </c>
      <c r="H400" s="2">
        <v>46089</v>
      </c>
      <c r="I400" s="2">
        <v>46093</v>
      </c>
      <c r="J400" s="1" t="s">
        <v>20</v>
      </c>
      <c r="K400" s="1">
        <v>1399</v>
      </c>
      <c r="L400" s="4">
        <f t="shared" ca="1" si="5"/>
        <v>46261</v>
      </c>
      <c r="M400" s="5">
        <f t="shared" ca="1" si="6"/>
        <v>46261.501276736111</v>
      </c>
      <c r="N400" s="1">
        <f t="shared" si="7"/>
        <v>4</v>
      </c>
      <c r="O400" s="1">
        <f t="shared" ca="1" si="8"/>
        <v>172</v>
      </c>
      <c r="P400" s="4">
        <f t="shared" si="9"/>
        <v>46113</v>
      </c>
    </row>
    <row r="401" spans="1:16" x14ac:dyDescent="0.3">
      <c r="A401" s="1" t="s">
        <v>40</v>
      </c>
      <c r="B401" s="1" t="s">
        <v>22</v>
      </c>
      <c r="C401" s="1" t="s">
        <v>34</v>
      </c>
      <c r="D401" s="1" t="s">
        <v>35</v>
      </c>
      <c r="E401" s="1">
        <v>13</v>
      </c>
      <c r="F401" s="1">
        <v>52411</v>
      </c>
      <c r="G401" s="1">
        <v>15</v>
      </c>
      <c r="H401" s="2">
        <v>46090</v>
      </c>
      <c r="I401" s="2">
        <v>46092</v>
      </c>
      <c r="J401" s="1" t="s">
        <v>20</v>
      </c>
      <c r="K401" s="1">
        <v>1400</v>
      </c>
      <c r="L401" s="4">
        <f t="shared" ca="1" si="5"/>
        <v>46261</v>
      </c>
      <c r="M401" s="5">
        <f t="shared" ca="1" si="6"/>
        <v>46261.501276736111</v>
      </c>
      <c r="N401" s="1">
        <f t="shared" si="7"/>
        <v>2</v>
      </c>
      <c r="O401" s="1">
        <f t="shared" ca="1" si="8"/>
        <v>171</v>
      </c>
      <c r="P401" s="4">
        <f t="shared" si="9"/>
        <v>46113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L401"/>
  <sheetViews>
    <sheetView topLeftCell="A19" workbookViewId="0"/>
  </sheetViews>
  <sheetFormatPr defaultColWidth="14.44140625" defaultRowHeight="15" customHeight="1" x14ac:dyDescent="0.3"/>
  <cols>
    <col min="1" max="1" width="9.5546875" customWidth="1"/>
  </cols>
  <sheetData>
    <row r="1" spans="1:12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0</v>
      </c>
      <c r="L1" s="1" t="s">
        <v>84</v>
      </c>
    </row>
    <row r="2" spans="1:12" x14ac:dyDescent="0.3">
      <c r="A2" s="1" t="s">
        <v>11</v>
      </c>
      <c r="B2" s="1" t="s">
        <v>12</v>
      </c>
      <c r="C2" s="1" t="s">
        <v>13</v>
      </c>
      <c r="D2" s="1" t="s">
        <v>14</v>
      </c>
      <c r="E2" s="1">
        <v>3</v>
      </c>
      <c r="F2" s="1">
        <v>222</v>
      </c>
      <c r="G2" s="1">
        <v>15</v>
      </c>
      <c r="H2" s="2">
        <v>46081</v>
      </c>
      <c r="I2" s="2">
        <v>46083</v>
      </c>
      <c r="J2" s="1" t="s">
        <v>15</v>
      </c>
      <c r="K2" s="1">
        <v>1001</v>
      </c>
      <c r="L2" s="1">
        <f t="shared" ref="L2:L256" si="0">E2*F2</f>
        <v>666</v>
      </c>
    </row>
    <row r="3" spans="1:12" x14ac:dyDescent="0.3">
      <c r="A3" s="1" t="s">
        <v>16</v>
      </c>
      <c r="B3" s="1" t="s">
        <v>17</v>
      </c>
      <c r="C3" s="1" t="s">
        <v>18</v>
      </c>
      <c r="D3" s="1" t="s">
        <v>19</v>
      </c>
      <c r="E3" s="1">
        <v>7</v>
      </c>
      <c r="F3" s="1">
        <v>8448</v>
      </c>
      <c r="G3" s="1">
        <v>12</v>
      </c>
      <c r="H3" s="2">
        <v>46174</v>
      </c>
      <c r="I3" s="2">
        <v>46179</v>
      </c>
      <c r="J3" s="1" t="s">
        <v>20</v>
      </c>
      <c r="K3" s="1">
        <v>1002</v>
      </c>
      <c r="L3" s="1">
        <f t="shared" si="0"/>
        <v>59136</v>
      </c>
    </row>
    <row r="4" spans="1:12" x14ac:dyDescent="0.3">
      <c r="A4" s="1" t="s">
        <v>21</v>
      </c>
      <c r="B4" s="1" t="s">
        <v>22</v>
      </c>
      <c r="C4" s="1" t="s">
        <v>18</v>
      </c>
      <c r="D4" s="1" t="s">
        <v>23</v>
      </c>
      <c r="E4" s="1">
        <v>20</v>
      </c>
      <c r="F4" s="1">
        <v>2123</v>
      </c>
      <c r="G4" s="1">
        <v>15</v>
      </c>
      <c r="H4" s="2">
        <v>46183</v>
      </c>
      <c r="I4" s="2">
        <v>46192</v>
      </c>
      <c r="J4" s="1" t="s">
        <v>24</v>
      </c>
      <c r="K4" s="1">
        <v>1003</v>
      </c>
      <c r="L4" s="1">
        <f t="shared" si="0"/>
        <v>42460</v>
      </c>
    </row>
    <row r="5" spans="1:12" x14ac:dyDescent="0.3">
      <c r="A5" s="1" t="s">
        <v>16</v>
      </c>
      <c r="B5" s="1" t="s">
        <v>25</v>
      </c>
      <c r="C5" s="1" t="s">
        <v>18</v>
      </c>
      <c r="D5" s="1" t="s">
        <v>23</v>
      </c>
      <c r="E5" s="1">
        <v>16</v>
      </c>
      <c r="F5" s="1">
        <v>11739</v>
      </c>
      <c r="G5" s="1">
        <v>12</v>
      </c>
      <c r="H5" s="2">
        <v>46034</v>
      </c>
      <c r="I5" s="2">
        <v>46040</v>
      </c>
      <c r="J5" s="1" t="s">
        <v>20</v>
      </c>
      <c r="K5" s="1">
        <v>1004</v>
      </c>
      <c r="L5" s="1">
        <f t="shared" si="0"/>
        <v>187824</v>
      </c>
    </row>
    <row r="6" spans="1:12" x14ac:dyDescent="0.3">
      <c r="A6" s="1" t="s">
        <v>26</v>
      </c>
      <c r="B6" s="1" t="s">
        <v>17</v>
      </c>
      <c r="C6" s="1" t="s">
        <v>13</v>
      </c>
      <c r="D6" s="1" t="s">
        <v>14</v>
      </c>
      <c r="E6" s="1">
        <v>18</v>
      </c>
      <c r="F6" s="1">
        <v>70</v>
      </c>
      <c r="G6" s="1">
        <v>0</v>
      </c>
      <c r="H6" s="2">
        <v>46171</v>
      </c>
      <c r="I6" s="2">
        <v>46179</v>
      </c>
      <c r="J6" s="1" t="s">
        <v>24</v>
      </c>
      <c r="K6" s="1">
        <v>1005</v>
      </c>
      <c r="L6" s="1">
        <f t="shared" si="0"/>
        <v>1260</v>
      </c>
    </row>
    <row r="7" spans="1:12" x14ac:dyDescent="0.3">
      <c r="A7" s="1" t="s">
        <v>27</v>
      </c>
      <c r="B7" s="1" t="s">
        <v>25</v>
      </c>
      <c r="C7" s="1" t="s">
        <v>18</v>
      </c>
      <c r="D7" s="1" t="s">
        <v>28</v>
      </c>
      <c r="E7" s="1">
        <v>3</v>
      </c>
      <c r="F7" s="1">
        <v>2714</v>
      </c>
      <c r="G7" s="1">
        <v>5</v>
      </c>
      <c r="H7" s="2">
        <v>46055</v>
      </c>
      <c r="I7" s="2">
        <v>46062</v>
      </c>
      <c r="J7" s="1" t="s">
        <v>29</v>
      </c>
      <c r="K7" s="1">
        <v>1006</v>
      </c>
      <c r="L7" s="1">
        <f t="shared" si="0"/>
        <v>8142</v>
      </c>
    </row>
    <row r="8" spans="1:12" x14ac:dyDescent="0.3">
      <c r="A8" s="1" t="s">
        <v>21</v>
      </c>
      <c r="B8" s="1" t="s">
        <v>22</v>
      </c>
      <c r="C8" s="1" t="s">
        <v>13</v>
      </c>
      <c r="D8" s="1" t="s">
        <v>14</v>
      </c>
      <c r="E8" s="1">
        <v>19</v>
      </c>
      <c r="F8" s="1">
        <v>149</v>
      </c>
      <c r="G8" s="1">
        <v>7</v>
      </c>
      <c r="H8" s="2">
        <v>46162</v>
      </c>
      <c r="I8" s="2">
        <v>46168</v>
      </c>
      <c r="J8" s="1" t="s">
        <v>24</v>
      </c>
      <c r="K8" s="1">
        <v>1007</v>
      </c>
      <c r="L8" s="1">
        <f t="shared" si="0"/>
        <v>2831</v>
      </c>
    </row>
    <row r="9" spans="1:12" x14ac:dyDescent="0.3">
      <c r="A9" s="1" t="s">
        <v>30</v>
      </c>
      <c r="B9" s="1" t="s">
        <v>31</v>
      </c>
      <c r="C9" s="1" t="s">
        <v>18</v>
      </c>
      <c r="D9" s="1" t="s">
        <v>28</v>
      </c>
      <c r="E9" s="1">
        <v>1</v>
      </c>
      <c r="F9" s="1">
        <v>1134</v>
      </c>
      <c r="G9" s="1">
        <v>0</v>
      </c>
      <c r="H9" s="2">
        <v>46033</v>
      </c>
      <c r="I9" s="2">
        <v>46041</v>
      </c>
      <c r="J9" s="1" t="s">
        <v>24</v>
      </c>
      <c r="K9" s="1">
        <v>1008</v>
      </c>
      <c r="L9" s="1">
        <f t="shared" si="0"/>
        <v>1134</v>
      </c>
    </row>
    <row r="10" spans="1:12" x14ac:dyDescent="0.3">
      <c r="A10" s="1" t="s">
        <v>32</v>
      </c>
      <c r="B10" s="1" t="s">
        <v>33</v>
      </c>
      <c r="C10" s="1" t="s">
        <v>34</v>
      </c>
      <c r="D10" s="1" t="s">
        <v>35</v>
      </c>
      <c r="E10" s="1">
        <v>10</v>
      </c>
      <c r="F10" s="1">
        <v>40671</v>
      </c>
      <c r="G10" s="1">
        <v>12</v>
      </c>
      <c r="H10" s="2">
        <v>46183</v>
      </c>
      <c r="I10" s="2">
        <v>46193</v>
      </c>
      <c r="J10" s="1" t="s">
        <v>24</v>
      </c>
      <c r="K10" s="1">
        <v>1009</v>
      </c>
      <c r="L10" s="1">
        <f t="shared" si="0"/>
        <v>406710</v>
      </c>
    </row>
    <row r="11" spans="1:12" x14ac:dyDescent="0.3">
      <c r="A11" s="1" t="s">
        <v>11</v>
      </c>
      <c r="B11" s="1" t="s">
        <v>17</v>
      </c>
      <c r="C11" s="1" t="s">
        <v>13</v>
      </c>
      <c r="D11" s="1" t="s">
        <v>36</v>
      </c>
      <c r="E11" s="1">
        <v>14</v>
      </c>
      <c r="F11" s="1">
        <v>470</v>
      </c>
      <c r="G11" s="1">
        <v>5</v>
      </c>
      <c r="H11" s="2">
        <v>46062</v>
      </c>
      <c r="I11" s="2">
        <v>46068</v>
      </c>
      <c r="J11" s="1" t="s">
        <v>15</v>
      </c>
      <c r="K11" s="1">
        <v>1010</v>
      </c>
      <c r="L11" s="1">
        <f t="shared" si="0"/>
        <v>6580</v>
      </c>
    </row>
    <row r="12" spans="1:12" x14ac:dyDescent="0.3">
      <c r="A12" s="1" t="s">
        <v>11</v>
      </c>
      <c r="B12" s="1" t="s">
        <v>17</v>
      </c>
      <c r="C12" s="1" t="s">
        <v>13</v>
      </c>
      <c r="D12" s="1" t="s">
        <v>37</v>
      </c>
      <c r="E12" s="1">
        <v>14</v>
      </c>
      <c r="F12" s="1">
        <v>88</v>
      </c>
      <c r="G12" s="1">
        <v>12</v>
      </c>
      <c r="H12" s="2">
        <v>46161</v>
      </c>
      <c r="I12" s="2">
        <v>46163</v>
      </c>
      <c r="J12" s="1" t="s">
        <v>15</v>
      </c>
      <c r="K12" s="1">
        <v>1011</v>
      </c>
      <c r="L12" s="1">
        <f t="shared" si="0"/>
        <v>1232</v>
      </c>
    </row>
    <row r="13" spans="1:12" x14ac:dyDescent="0.3">
      <c r="A13" s="1" t="s">
        <v>26</v>
      </c>
      <c r="B13" s="1" t="s">
        <v>38</v>
      </c>
      <c r="C13" s="1" t="s">
        <v>34</v>
      </c>
      <c r="D13" s="1" t="s">
        <v>39</v>
      </c>
      <c r="E13" s="1">
        <v>3</v>
      </c>
      <c r="F13" s="1">
        <v>64615</v>
      </c>
      <c r="G13" s="1">
        <v>10</v>
      </c>
      <c r="H13" s="2">
        <v>46086</v>
      </c>
      <c r="I13" s="2">
        <v>46095</v>
      </c>
      <c r="J13" s="1" t="s">
        <v>29</v>
      </c>
      <c r="K13" s="1">
        <v>1012</v>
      </c>
      <c r="L13" s="1">
        <f t="shared" si="0"/>
        <v>193845</v>
      </c>
    </row>
    <row r="14" spans="1:12" x14ac:dyDescent="0.3">
      <c r="A14" s="1" t="s">
        <v>16</v>
      </c>
      <c r="B14" s="1" t="s">
        <v>31</v>
      </c>
      <c r="C14" s="1" t="s">
        <v>13</v>
      </c>
      <c r="D14" s="1" t="s">
        <v>36</v>
      </c>
      <c r="E14" s="1">
        <v>17</v>
      </c>
      <c r="F14" s="1">
        <v>459</v>
      </c>
      <c r="G14" s="1">
        <v>12</v>
      </c>
      <c r="H14" s="2">
        <v>46095</v>
      </c>
      <c r="I14" s="2">
        <v>46105</v>
      </c>
      <c r="J14" s="1" t="s">
        <v>29</v>
      </c>
      <c r="K14" s="1">
        <v>1013</v>
      </c>
      <c r="L14" s="1">
        <f t="shared" si="0"/>
        <v>7803</v>
      </c>
    </row>
    <row r="15" spans="1:12" x14ac:dyDescent="0.3">
      <c r="A15" s="1" t="s">
        <v>40</v>
      </c>
      <c r="B15" s="1" t="s">
        <v>17</v>
      </c>
      <c r="C15" s="1" t="s">
        <v>34</v>
      </c>
      <c r="D15" s="1" t="s">
        <v>41</v>
      </c>
      <c r="E15" s="1">
        <v>19</v>
      </c>
      <c r="F15" s="1">
        <v>53683</v>
      </c>
      <c r="G15" s="1">
        <v>12</v>
      </c>
      <c r="H15" s="2">
        <v>46129</v>
      </c>
      <c r="I15" s="2">
        <v>46134</v>
      </c>
      <c r="J15" s="1" t="s">
        <v>29</v>
      </c>
      <c r="K15" s="1">
        <v>1014</v>
      </c>
      <c r="L15" s="1">
        <f t="shared" si="0"/>
        <v>1019977</v>
      </c>
    </row>
    <row r="16" spans="1:12" x14ac:dyDescent="0.3">
      <c r="A16" s="1" t="s">
        <v>42</v>
      </c>
      <c r="B16" s="1" t="s">
        <v>43</v>
      </c>
      <c r="C16" s="1" t="s">
        <v>18</v>
      </c>
      <c r="D16" s="1" t="s">
        <v>44</v>
      </c>
      <c r="E16" s="1">
        <v>11</v>
      </c>
      <c r="F16" s="1">
        <v>14511</v>
      </c>
      <c r="G16" s="1">
        <v>2</v>
      </c>
      <c r="H16" s="2">
        <v>46175</v>
      </c>
      <c r="I16" s="2">
        <v>46185</v>
      </c>
      <c r="J16" s="1" t="s">
        <v>20</v>
      </c>
      <c r="K16" s="1">
        <v>1015</v>
      </c>
      <c r="L16" s="1">
        <f t="shared" si="0"/>
        <v>159621</v>
      </c>
    </row>
    <row r="17" spans="1:12" x14ac:dyDescent="0.3">
      <c r="A17" s="1" t="s">
        <v>32</v>
      </c>
      <c r="B17" s="1" t="s">
        <v>33</v>
      </c>
      <c r="C17" s="1" t="s">
        <v>34</v>
      </c>
      <c r="D17" s="1" t="s">
        <v>45</v>
      </c>
      <c r="E17" s="1">
        <v>16</v>
      </c>
      <c r="F17" s="1">
        <v>30234</v>
      </c>
      <c r="G17" s="1">
        <v>15</v>
      </c>
      <c r="H17" s="2">
        <v>46137</v>
      </c>
      <c r="I17" s="2">
        <v>46140</v>
      </c>
      <c r="J17" s="1" t="s">
        <v>24</v>
      </c>
      <c r="K17" s="1">
        <v>1016</v>
      </c>
      <c r="L17" s="1">
        <f t="shared" si="0"/>
        <v>483744</v>
      </c>
    </row>
    <row r="18" spans="1:12" x14ac:dyDescent="0.3">
      <c r="A18" s="1" t="s">
        <v>46</v>
      </c>
      <c r="B18" s="1" t="s">
        <v>38</v>
      </c>
      <c r="C18" s="1" t="s">
        <v>13</v>
      </c>
      <c r="D18" s="1" t="s">
        <v>36</v>
      </c>
      <c r="E18" s="1">
        <v>8</v>
      </c>
      <c r="F18" s="1">
        <v>179</v>
      </c>
      <c r="G18" s="1">
        <v>15</v>
      </c>
      <c r="H18" s="2">
        <v>46082</v>
      </c>
      <c r="I18" s="2">
        <v>46084</v>
      </c>
      <c r="J18" s="1" t="s">
        <v>15</v>
      </c>
      <c r="K18" s="1">
        <v>1017</v>
      </c>
      <c r="L18" s="1">
        <f t="shared" si="0"/>
        <v>1432</v>
      </c>
    </row>
    <row r="19" spans="1:12" x14ac:dyDescent="0.3">
      <c r="A19" s="1" t="s">
        <v>47</v>
      </c>
      <c r="B19" s="1" t="s">
        <v>25</v>
      </c>
      <c r="C19" s="1" t="s">
        <v>13</v>
      </c>
      <c r="D19" s="1" t="s">
        <v>14</v>
      </c>
      <c r="E19" s="1">
        <v>20</v>
      </c>
      <c r="F19" s="1">
        <v>301</v>
      </c>
      <c r="G19" s="1">
        <v>0</v>
      </c>
      <c r="H19" s="2">
        <v>46089</v>
      </c>
      <c r="I19" s="2">
        <v>46094</v>
      </c>
      <c r="J19" s="1" t="s">
        <v>29</v>
      </c>
      <c r="K19" s="1">
        <v>1018</v>
      </c>
      <c r="L19" s="1">
        <f t="shared" si="0"/>
        <v>6020</v>
      </c>
    </row>
    <row r="20" spans="1:12" x14ac:dyDescent="0.3">
      <c r="A20" s="1" t="s">
        <v>11</v>
      </c>
      <c r="B20" s="1" t="s">
        <v>43</v>
      </c>
      <c r="C20" s="1" t="s">
        <v>34</v>
      </c>
      <c r="D20" s="1" t="s">
        <v>41</v>
      </c>
      <c r="E20" s="1">
        <v>18</v>
      </c>
      <c r="F20" s="1">
        <v>45652</v>
      </c>
      <c r="G20" s="1">
        <v>10</v>
      </c>
      <c r="H20" s="2">
        <v>46023</v>
      </c>
      <c r="I20" s="2">
        <v>46030</v>
      </c>
      <c r="J20" s="1" t="s">
        <v>20</v>
      </c>
      <c r="K20" s="1">
        <v>1019</v>
      </c>
      <c r="L20" s="1">
        <f t="shared" si="0"/>
        <v>821736</v>
      </c>
    </row>
    <row r="21" spans="1:12" x14ac:dyDescent="0.3">
      <c r="A21" s="1" t="s">
        <v>46</v>
      </c>
      <c r="B21" s="1" t="s">
        <v>12</v>
      </c>
      <c r="C21" s="1" t="s">
        <v>18</v>
      </c>
      <c r="D21" s="1" t="s">
        <v>19</v>
      </c>
      <c r="E21" s="1">
        <v>5</v>
      </c>
      <c r="F21" s="1">
        <v>4582</v>
      </c>
      <c r="G21" s="1">
        <v>5</v>
      </c>
      <c r="H21" s="2">
        <v>46078</v>
      </c>
      <c r="I21" s="2">
        <v>46083</v>
      </c>
      <c r="J21" s="1" t="s">
        <v>15</v>
      </c>
      <c r="K21" s="1">
        <v>1020</v>
      </c>
      <c r="L21" s="1">
        <f t="shared" si="0"/>
        <v>22910</v>
      </c>
    </row>
    <row r="22" spans="1:12" x14ac:dyDescent="0.3">
      <c r="A22" s="1" t="s">
        <v>48</v>
      </c>
      <c r="B22" s="1" t="s">
        <v>43</v>
      </c>
      <c r="C22" s="1" t="s">
        <v>13</v>
      </c>
      <c r="D22" s="1" t="s">
        <v>14</v>
      </c>
      <c r="E22" s="1">
        <v>3</v>
      </c>
      <c r="F22" s="1">
        <v>484</v>
      </c>
      <c r="G22" s="1">
        <v>2</v>
      </c>
      <c r="H22" s="2">
        <v>46144</v>
      </c>
      <c r="I22" s="2">
        <v>46148</v>
      </c>
      <c r="J22" s="1" t="s">
        <v>24</v>
      </c>
      <c r="K22" s="1">
        <v>1021</v>
      </c>
      <c r="L22" s="1">
        <f t="shared" si="0"/>
        <v>1452</v>
      </c>
    </row>
    <row r="23" spans="1:12" x14ac:dyDescent="0.3">
      <c r="A23" s="1" t="s">
        <v>26</v>
      </c>
      <c r="B23" s="1" t="s">
        <v>17</v>
      </c>
      <c r="C23" s="1" t="s">
        <v>34</v>
      </c>
      <c r="D23" s="1" t="s">
        <v>45</v>
      </c>
      <c r="E23" s="1">
        <v>15</v>
      </c>
      <c r="F23" s="1">
        <v>11596</v>
      </c>
      <c r="G23" s="1">
        <v>0</v>
      </c>
      <c r="H23" s="2">
        <v>46117</v>
      </c>
      <c r="I23" s="2">
        <v>46121</v>
      </c>
      <c r="J23" s="1" t="s">
        <v>29</v>
      </c>
      <c r="K23" s="1">
        <v>1022</v>
      </c>
      <c r="L23" s="1">
        <f t="shared" si="0"/>
        <v>173940</v>
      </c>
    </row>
    <row r="24" spans="1:12" x14ac:dyDescent="0.3">
      <c r="A24" s="1" t="s">
        <v>40</v>
      </c>
      <c r="B24" s="1" t="s">
        <v>12</v>
      </c>
      <c r="C24" s="1" t="s">
        <v>18</v>
      </c>
      <c r="D24" s="1" t="s">
        <v>44</v>
      </c>
      <c r="E24" s="1">
        <v>15</v>
      </c>
      <c r="F24" s="1">
        <v>3506</v>
      </c>
      <c r="G24" s="1">
        <v>2</v>
      </c>
      <c r="H24" s="2">
        <v>46193</v>
      </c>
      <c r="I24" s="2">
        <v>46194</v>
      </c>
      <c r="J24" s="1" t="s">
        <v>29</v>
      </c>
      <c r="K24" s="1">
        <v>1023</v>
      </c>
      <c r="L24" s="1">
        <f t="shared" si="0"/>
        <v>52590</v>
      </c>
    </row>
    <row r="25" spans="1:12" x14ac:dyDescent="0.3">
      <c r="A25" s="1" t="s">
        <v>32</v>
      </c>
      <c r="B25" s="1" t="s">
        <v>38</v>
      </c>
      <c r="C25" s="1" t="s">
        <v>34</v>
      </c>
      <c r="D25" s="1" t="s">
        <v>41</v>
      </c>
      <c r="E25" s="1">
        <v>12</v>
      </c>
      <c r="F25" s="1">
        <v>1682</v>
      </c>
      <c r="G25" s="1">
        <v>5</v>
      </c>
      <c r="H25" s="2">
        <v>46161</v>
      </c>
      <c r="I25" s="2">
        <v>46165</v>
      </c>
      <c r="J25" s="1" t="s">
        <v>15</v>
      </c>
      <c r="K25" s="1">
        <v>1024</v>
      </c>
      <c r="L25" s="1">
        <f t="shared" si="0"/>
        <v>20184</v>
      </c>
    </row>
    <row r="26" spans="1:12" x14ac:dyDescent="0.3">
      <c r="A26" s="1" t="s">
        <v>21</v>
      </c>
      <c r="B26" s="1" t="s">
        <v>12</v>
      </c>
      <c r="C26" s="1" t="s">
        <v>18</v>
      </c>
      <c r="D26" s="1" t="s">
        <v>19</v>
      </c>
      <c r="E26" s="1">
        <v>18</v>
      </c>
      <c r="F26" s="1">
        <v>7924</v>
      </c>
      <c r="G26" s="1">
        <v>0</v>
      </c>
      <c r="H26" s="2">
        <v>46175</v>
      </c>
      <c r="I26" s="2">
        <v>46181</v>
      </c>
      <c r="J26" s="1" t="s">
        <v>15</v>
      </c>
      <c r="K26" s="1">
        <v>1025</v>
      </c>
      <c r="L26" s="1">
        <f t="shared" si="0"/>
        <v>142632</v>
      </c>
    </row>
    <row r="27" spans="1:12" x14ac:dyDescent="0.3">
      <c r="A27" s="1" t="s">
        <v>49</v>
      </c>
      <c r="B27" s="1" t="s">
        <v>31</v>
      </c>
      <c r="C27" s="1" t="s">
        <v>13</v>
      </c>
      <c r="D27" s="1" t="s">
        <v>50</v>
      </c>
      <c r="E27" s="1">
        <v>17</v>
      </c>
      <c r="F27" s="1">
        <v>323</v>
      </c>
      <c r="G27" s="1">
        <v>10</v>
      </c>
      <c r="H27" s="2">
        <v>46039</v>
      </c>
      <c r="I27" s="2">
        <v>46040</v>
      </c>
      <c r="J27" s="1" t="s">
        <v>29</v>
      </c>
      <c r="K27" s="1">
        <v>1026</v>
      </c>
      <c r="L27" s="1">
        <f t="shared" si="0"/>
        <v>5491</v>
      </c>
    </row>
    <row r="28" spans="1:12" x14ac:dyDescent="0.3">
      <c r="A28" s="1" t="s">
        <v>29</v>
      </c>
      <c r="B28" s="1" t="s">
        <v>43</v>
      </c>
      <c r="C28" s="1" t="s">
        <v>13</v>
      </c>
      <c r="D28" s="1" t="s">
        <v>50</v>
      </c>
      <c r="E28" s="1">
        <v>4</v>
      </c>
      <c r="F28" s="1">
        <v>264</v>
      </c>
      <c r="G28" s="1">
        <v>0</v>
      </c>
      <c r="H28" s="2">
        <v>46155</v>
      </c>
      <c r="I28" s="2">
        <v>46161</v>
      </c>
      <c r="J28" s="1" t="s">
        <v>51</v>
      </c>
      <c r="K28" s="1">
        <v>1027</v>
      </c>
      <c r="L28" s="1">
        <f t="shared" si="0"/>
        <v>1056</v>
      </c>
    </row>
    <row r="29" spans="1:12" x14ac:dyDescent="0.3">
      <c r="A29" s="1" t="s">
        <v>47</v>
      </c>
      <c r="B29" s="1" t="s">
        <v>22</v>
      </c>
      <c r="C29" s="1" t="s">
        <v>13</v>
      </c>
      <c r="D29" s="1" t="s">
        <v>36</v>
      </c>
      <c r="E29" s="1">
        <v>13</v>
      </c>
      <c r="F29" s="1">
        <v>433</v>
      </c>
      <c r="G29" s="1">
        <v>2</v>
      </c>
      <c r="H29" s="2">
        <v>46116</v>
      </c>
      <c r="I29" s="2">
        <v>46121</v>
      </c>
      <c r="J29" s="1" t="s">
        <v>24</v>
      </c>
      <c r="K29" s="1">
        <v>1028</v>
      </c>
      <c r="L29" s="1">
        <f t="shared" si="0"/>
        <v>5629</v>
      </c>
    </row>
    <row r="30" spans="1:12" x14ac:dyDescent="0.3">
      <c r="A30" s="1" t="s">
        <v>30</v>
      </c>
      <c r="B30" s="1" t="s">
        <v>25</v>
      </c>
      <c r="C30" s="1" t="s">
        <v>13</v>
      </c>
      <c r="D30" s="1" t="s">
        <v>36</v>
      </c>
      <c r="E30" s="1">
        <v>18</v>
      </c>
      <c r="F30" s="1">
        <v>443</v>
      </c>
      <c r="G30" s="1">
        <v>5</v>
      </c>
      <c r="H30" s="2">
        <v>46046</v>
      </c>
      <c r="I30" s="2">
        <v>46054</v>
      </c>
      <c r="J30" s="1" t="s">
        <v>24</v>
      </c>
      <c r="K30" s="1">
        <v>1029</v>
      </c>
      <c r="L30" s="1">
        <f t="shared" si="0"/>
        <v>7974</v>
      </c>
    </row>
    <row r="31" spans="1:12" x14ac:dyDescent="0.3">
      <c r="A31" s="1" t="s">
        <v>52</v>
      </c>
      <c r="B31" s="1" t="s">
        <v>12</v>
      </c>
      <c r="C31" s="1" t="s">
        <v>13</v>
      </c>
      <c r="D31" s="1" t="s">
        <v>53</v>
      </c>
      <c r="E31" s="1">
        <v>13</v>
      </c>
      <c r="F31" s="1">
        <v>336</v>
      </c>
      <c r="G31" s="1">
        <v>10</v>
      </c>
      <c r="H31" s="2">
        <v>46098</v>
      </c>
      <c r="I31" s="2">
        <v>46108</v>
      </c>
      <c r="J31" s="1" t="s">
        <v>15</v>
      </c>
      <c r="K31" s="1">
        <v>1030</v>
      </c>
      <c r="L31" s="1">
        <f t="shared" si="0"/>
        <v>4368</v>
      </c>
    </row>
    <row r="32" spans="1:12" x14ac:dyDescent="0.3">
      <c r="A32" s="1" t="s">
        <v>54</v>
      </c>
      <c r="B32" s="1" t="s">
        <v>31</v>
      </c>
      <c r="C32" s="1" t="s">
        <v>13</v>
      </c>
      <c r="D32" s="1" t="s">
        <v>53</v>
      </c>
      <c r="E32" s="1">
        <v>2</v>
      </c>
      <c r="F32" s="1">
        <v>184</v>
      </c>
      <c r="G32" s="1">
        <v>5</v>
      </c>
      <c r="H32" s="2">
        <v>46089</v>
      </c>
      <c r="I32" s="2">
        <v>46093</v>
      </c>
      <c r="J32" s="1" t="s">
        <v>20</v>
      </c>
      <c r="K32" s="1">
        <v>1031</v>
      </c>
      <c r="L32" s="1">
        <f t="shared" si="0"/>
        <v>368</v>
      </c>
    </row>
    <row r="33" spans="1:12" x14ac:dyDescent="0.3">
      <c r="A33" s="1" t="s">
        <v>54</v>
      </c>
      <c r="B33" s="1" t="s">
        <v>43</v>
      </c>
      <c r="C33" s="1" t="s">
        <v>34</v>
      </c>
      <c r="D33" s="1" t="s">
        <v>39</v>
      </c>
      <c r="E33" s="1">
        <v>20</v>
      </c>
      <c r="F33" s="1">
        <v>11305</v>
      </c>
      <c r="G33" s="1">
        <v>2</v>
      </c>
      <c r="H33" s="2">
        <v>46163</v>
      </c>
      <c r="I33" s="2">
        <v>46165</v>
      </c>
      <c r="J33" s="1" t="s">
        <v>29</v>
      </c>
      <c r="K33" s="1">
        <v>1032</v>
      </c>
      <c r="L33" s="1">
        <f t="shared" si="0"/>
        <v>226100</v>
      </c>
    </row>
    <row r="34" spans="1:12" x14ac:dyDescent="0.3">
      <c r="A34" s="1" t="s">
        <v>11</v>
      </c>
      <c r="B34" s="1" t="s">
        <v>43</v>
      </c>
      <c r="C34" s="1" t="s">
        <v>18</v>
      </c>
      <c r="D34" s="1" t="s">
        <v>19</v>
      </c>
      <c r="E34" s="1">
        <v>9</v>
      </c>
      <c r="F34" s="1">
        <v>4895</v>
      </c>
      <c r="G34" s="1">
        <v>2</v>
      </c>
      <c r="H34" s="2">
        <v>46082</v>
      </c>
      <c r="I34" s="2">
        <v>46084</v>
      </c>
      <c r="J34" s="1" t="s">
        <v>29</v>
      </c>
      <c r="K34" s="1">
        <v>1033</v>
      </c>
      <c r="L34" s="1">
        <f t="shared" si="0"/>
        <v>44055</v>
      </c>
    </row>
    <row r="35" spans="1:12" x14ac:dyDescent="0.3">
      <c r="A35" s="1" t="s">
        <v>55</v>
      </c>
      <c r="B35" s="1" t="s">
        <v>33</v>
      </c>
      <c r="C35" s="1" t="s">
        <v>18</v>
      </c>
      <c r="D35" s="1" t="s">
        <v>28</v>
      </c>
      <c r="E35" s="1">
        <v>17</v>
      </c>
      <c r="F35" s="1">
        <v>5104</v>
      </c>
      <c r="G35" s="1">
        <v>12</v>
      </c>
      <c r="H35" s="2">
        <v>46052</v>
      </c>
      <c r="I35" s="2">
        <v>46061</v>
      </c>
      <c r="J35" s="1" t="s">
        <v>51</v>
      </c>
      <c r="K35" s="1">
        <v>1034</v>
      </c>
      <c r="L35" s="1">
        <f t="shared" si="0"/>
        <v>86768</v>
      </c>
    </row>
    <row r="36" spans="1:12" x14ac:dyDescent="0.3">
      <c r="A36" s="1" t="s">
        <v>49</v>
      </c>
      <c r="B36" s="1" t="s">
        <v>43</v>
      </c>
      <c r="C36" s="1" t="s">
        <v>18</v>
      </c>
      <c r="D36" s="1" t="s">
        <v>56</v>
      </c>
      <c r="E36" s="1">
        <v>3</v>
      </c>
      <c r="F36" s="1">
        <v>9149</v>
      </c>
      <c r="G36" s="1">
        <v>0</v>
      </c>
      <c r="H36" s="2">
        <v>46031</v>
      </c>
      <c r="I36" s="2">
        <v>46034</v>
      </c>
      <c r="J36" s="1" t="s">
        <v>24</v>
      </c>
      <c r="K36" s="1">
        <v>1035</v>
      </c>
      <c r="L36" s="1">
        <f t="shared" si="0"/>
        <v>27447</v>
      </c>
    </row>
    <row r="37" spans="1:12" x14ac:dyDescent="0.3">
      <c r="A37" s="1" t="s">
        <v>11</v>
      </c>
      <c r="B37" s="1" t="s">
        <v>25</v>
      </c>
      <c r="C37" s="1" t="s">
        <v>13</v>
      </c>
      <c r="D37" s="1" t="s">
        <v>36</v>
      </c>
      <c r="E37" s="1">
        <v>20</v>
      </c>
      <c r="F37" s="1">
        <v>161</v>
      </c>
      <c r="G37" s="1">
        <v>7</v>
      </c>
      <c r="H37" s="2">
        <v>46071</v>
      </c>
      <c r="I37" s="2">
        <v>46077</v>
      </c>
      <c r="J37" s="1" t="s">
        <v>24</v>
      </c>
      <c r="K37" s="1">
        <v>1036</v>
      </c>
      <c r="L37" s="1">
        <f t="shared" si="0"/>
        <v>3220</v>
      </c>
    </row>
    <row r="38" spans="1:12" x14ac:dyDescent="0.3">
      <c r="A38" s="1" t="s">
        <v>46</v>
      </c>
      <c r="B38" s="1" t="s">
        <v>43</v>
      </c>
      <c r="C38" s="1" t="s">
        <v>18</v>
      </c>
      <c r="D38" s="1" t="s">
        <v>56</v>
      </c>
      <c r="E38" s="1">
        <v>6</v>
      </c>
      <c r="F38" s="1">
        <v>14385</v>
      </c>
      <c r="G38" s="1">
        <v>12</v>
      </c>
      <c r="H38" s="2">
        <v>46033</v>
      </c>
      <c r="I38" s="2">
        <v>46043</v>
      </c>
      <c r="J38" s="1" t="s">
        <v>24</v>
      </c>
      <c r="K38" s="1">
        <v>1037</v>
      </c>
      <c r="L38" s="1">
        <f t="shared" si="0"/>
        <v>86310</v>
      </c>
    </row>
    <row r="39" spans="1:12" x14ac:dyDescent="0.3">
      <c r="A39" s="1" t="s">
        <v>55</v>
      </c>
      <c r="B39" s="1" t="s">
        <v>17</v>
      </c>
      <c r="C39" s="1" t="s">
        <v>13</v>
      </c>
      <c r="D39" s="1" t="s">
        <v>36</v>
      </c>
      <c r="E39" s="1">
        <v>17</v>
      </c>
      <c r="F39" s="1">
        <v>223</v>
      </c>
      <c r="G39" s="1">
        <v>7</v>
      </c>
      <c r="H39" s="2">
        <v>46030</v>
      </c>
      <c r="I39" s="2">
        <v>46031</v>
      </c>
      <c r="J39" s="1" t="s">
        <v>51</v>
      </c>
      <c r="K39" s="1">
        <v>1038</v>
      </c>
      <c r="L39" s="1">
        <f t="shared" si="0"/>
        <v>3791</v>
      </c>
    </row>
    <row r="40" spans="1:12" x14ac:dyDescent="0.3">
      <c r="A40" s="1" t="s">
        <v>48</v>
      </c>
      <c r="B40" s="1" t="s">
        <v>38</v>
      </c>
      <c r="C40" s="1" t="s">
        <v>34</v>
      </c>
      <c r="D40" s="1" t="s">
        <v>45</v>
      </c>
      <c r="E40" s="1">
        <v>5</v>
      </c>
      <c r="F40" s="1">
        <v>60236</v>
      </c>
      <c r="G40" s="1">
        <v>10</v>
      </c>
      <c r="H40" s="2">
        <v>46107</v>
      </c>
      <c r="I40" s="2">
        <v>46110</v>
      </c>
      <c r="J40" s="1" t="s">
        <v>20</v>
      </c>
      <c r="K40" s="1">
        <v>1039</v>
      </c>
      <c r="L40" s="1">
        <f t="shared" si="0"/>
        <v>301180</v>
      </c>
    </row>
    <row r="41" spans="1:12" x14ac:dyDescent="0.3">
      <c r="A41" s="1" t="s">
        <v>49</v>
      </c>
      <c r="B41" s="1" t="s">
        <v>38</v>
      </c>
      <c r="C41" s="1" t="s">
        <v>18</v>
      </c>
      <c r="D41" s="1" t="s">
        <v>28</v>
      </c>
      <c r="E41" s="1">
        <v>10</v>
      </c>
      <c r="F41" s="1">
        <v>7531</v>
      </c>
      <c r="G41" s="1">
        <v>2</v>
      </c>
      <c r="H41" s="2">
        <v>46171</v>
      </c>
      <c r="I41" s="2">
        <v>46178</v>
      </c>
      <c r="J41" s="1" t="s">
        <v>24</v>
      </c>
      <c r="K41" s="1">
        <v>1040</v>
      </c>
      <c r="L41" s="1">
        <f t="shared" si="0"/>
        <v>75310</v>
      </c>
    </row>
    <row r="42" spans="1:12" x14ac:dyDescent="0.3">
      <c r="A42" s="1" t="s">
        <v>54</v>
      </c>
      <c r="B42" s="1" t="s">
        <v>38</v>
      </c>
      <c r="C42" s="1" t="s">
        <v>13</v>
      </c>
      <c r="D42" s="1" t="s">
        <v>50</v>
      </c>
      <c r="E42" s="1">
        <v>9</v>
      </c>
      <c r="F42" s="1">
        <v>71</v>
      </c>
      <c r="G42" s="1">
        <v>7</v>
      </c>
      <c r="H42" s="2">
        <v>46185</v>
      </c>
      <c r="I42" s="2">
        <v>46188</v>
      </c>
      <c r="J42" s="1" t="s">
        <v>15</v>
      </c>
      <c r="K42" s="1">
        <v>1041</v>
      </c>
      <c r="L42" s="1">
        <f t="shared" si="0"/>
        <v>639</v>
      </c>
    </row>
    <row r="43" spans="1:12" x14ac:dyDescent="0.3">
      <c r="A43" s="1" t="s">
        <v>46</v>
      </c>
      <c r="B43" s="1" t="s">
        <v>33</v>
      </c>
      <c r="C43" s="1" t="s">
        <v>13</v>
      </c>
      <c r="D43" s="1" t="s">
        <v>53</v>
      </c>
      <c r="E43" s="1">
        <v>16</v>
      </c>
      <c r="F43" s="1">
        <v>232</v>
      </c>
      <c r="G43" s="1">
        <v>0</v>
      </c>
      <c r="H43" s="2">
        <v>46081</v>
      </c>
      <c r="I43" s="2">
        <v>46088</v>
      </c>
      <c r="J43" s="1" t="s">
        <v>29</v>
      </c>
      <c r="K43" s="1">
        <v>1042</v>
      </c>
      <c r="L43" s="1">
        <f t="shared" si="0"/>
        <v>3712</v>
      </c>
    </row>
    <row r="44" spans="1:12" x14ac:dyDescent="0.3">
      <c r="A44" s="1" t="s">
        <v>49</v>
      </c>
      <c r="B44" s="1" t="s">
        <v>38</v>
      </c>
      <c r="C44" s="1" t="s">
        <v>34</v>
      </c>
      <c r="D44" s="1" t="s">
        <v>35</v>
      </c>
      <c r="E44" s="1">
        <v>20</v>
      </c>
      <c r="F44" s="1">
        <v>46093</v>
      </c>
      <c r="G44" s="1">
        <v>5</v>
      </c>
      <c r="H44" s="2">
        <v>46091</v>
      </c>
      <c r="I44" s="2">
        <v>46098</v>
      </c>
      <c r="J44" s="1" t="s">
        <v>29</v>
      </c>
      <c r="K44" s="1">
        <v>1043</v>
      </c>
      <c r="L44" s="1">
        <f t="shared" si="0"/>
        <v>921860</v>
      </c>
    </row>
    <row r="45" spans="1:12" x14ac:dyDescent="0.3">
      <c r="A45" s="1" t="s">
        <v>48</v>
      </c>
      <c r="B45" s="1" t="s">
        <v>38</v>
      </c>
      <c r="C45" s="1" t="s">
        <v>18</v>
      </c>
      <c r="D45" s="1" t="s">
        <v>19</v>
      </c>
      <c r="E45" s="1">
        <v>4</v>
      </c>
      <c r="F45" s="1">
        <v>14731</v>
      </c>
      <c r="G45" s="1">
        <v>2</v>
      </c>
      <c r="H45" s="2">
        <v>46173</v>
      </c>
      <c r="I45" s="2">
        <v>46176</v>
      </c>
      <c r="J45" s="1" t="s">
        <v>20</v>
      </c>
      <c r="K45" s="1">
        <v>1044</v>
      </c>
      <c r="L45" s="1">
        <f t="shared" si="0"/>
        <v>58924</v>
      </c>
    </row>
    <row r="46" spans="1:12" x14ac:dyDescent="0.3">
      <c r="A46" s="1" t="s">
        <v>32</v>
      </c>
      <c r="B46" s="1" t="s">
        <v>38</v>
      </c>
      <c r="C46" s="1" t="s">
        <v>34</v>
      </c>
      <c r="D46" s="1" t="s">
        <v>35</v>
      </c>
      <c r="E46" s="1">
        <v>3</v>
      </c>
      <c r="F46" s="1">
        <v>62762</v>
      </c>
      <c r="G46" s="1">
        <v>7</v>
      </c>
      <c r="H46" s="2">
        <v>46038</v>
      </c>
      <c r="I46" s="2">
        <v>46039</v>
      </c>
      <c r="J46" s="1" t="s">
        <v>29</v>
      </c>
      <c r="K46" s="1">
        <v>1045</v>
      </c>
      <c r="L46" s="1">
        <f t="shared" si="0"/>
        <v>188286</v>
      </c>
    </row>
    <row r="47" spans="1:12" x14ac:dyDescent="0.3">
      <c r="A47" s="1" t="s">
        <v>57</v>
      </c>
      <c r="B47" s="1" t="s">
        <v>38</v>
      </c>
      <c r="C47" s="1" t="s">
        <v>34</v>
      </c>
      <c r="D47" s="1" t="s">
        <v>45</v>
      </c>
      <c r="E47" s="1">
        <v>3</v>
      </c>
      <c r="F47" s="1">
        <v>19443</v>
      </c>
      <c r="G47" s="1">
        <v>10</v>
      </c>
      <c r="H47" s="2">
        <v>46153</v>
      </c>
      <c r="I47" s="2">
        <v>46158</v>
      </c>
      <c r="J47" s="1" t="s">
        <v>29</v>
      </c>
      <c r="K47" s="1">
        <v>1046</v>
      </c>
      <c r="L47" s="1">
        <f t="shared" si="0"/>
        <v>58329</v>
      </c>
    </row>
    <row r="48" spans="1:12" x14ac:dyDescent="0.3">
      <c r="A48" s="1" t="s">
        <v>58</v>
      </c>
      <c r="B48" s="1" t="s">
        <v>38</v>
      </c>
      <c r="C48" s="1" t="s">
        <v>18</v>
      </c>
      <c r="D48" s="1" t="s">
        <v>56</v>
      </c>
      <c r="E48" s="1">
        <v>11</v>
      </c>
      <c r="F48" s="1">
        <v>9976</v>
      </c>
      <c r="G48" s="1">
        <v>12</v>
      </c>
      <c r="H48" s="2">
        <v>46200</v>
      </c>
      <c r="I48" s="2">
        <v>46209</v>
      </c>
      <c r="J48" s="1" t="s">
        <v>15</v>
      </c>
      <c r="K48" s="1">
        <v>1047</v>
      </c>
      <c r="L48" s="1">
        <f t="shared" si="0"/>
        <v>109736</v>
      </c>
    </row>
    <row r="49" spans="1:12" x14ac:dyDescent="0.3">
      <c r="A49" s="1" t="s">
        <v>59</v>
      </c>
      <c r="B49" s="1" t="s">
        <v>25</v>
      </c>
      <c r="C49" s="1" t="s">
        <v>34</v>
      </c>
      <c r="D49" s="1" t="s">
        <v>60</v>
      </c>
      <c r="E49" s="1">
        <v>14</v>
      </c>
      <c r="F49" s="1">
        <v>11762</v>
      </c>
      <c r="G49" s="1">
        <v>7</v>
      </c>
      <c r="H49" s="2">
        <v>46180</v>
      </c>
      <c r="I49" s="2">
        <v>46186</v>
      </c>
      <c r="J49" s="1" t="s">
        <v>24</v>
      </c>
      <c r="K49" s="1">
        <v>1048</v>
      </c>
      <c r="L49" s="1">
        <f t="shared" si="0"/>
        <v>164668</v>
      </c>
    </row>
    <row r="50" spans="1:12" x14ac:dyDescent="0.3">
      <c r="A50" s="1" t="s">
        <v>52</v>
      </c>
      <c r="B50" s="1" t="s">
        <v>25</v>
      </c>
      <c r="C50" s="1" t="s">
        <v>34</v>
      </c>
      <c r="D50" s="1" t="s">
        <v>45</v>
      </c>
      <c r="E50" s="1">
        <v>2</v>
      </c>
      <c r="F50" s="1">
        <v>40789</v>
      </c>
      <c r="G50" s="1">
        <v>0</v>
      </c>
      <c r="H50" s="2">
        <v>46102</v>
      </c>
      <c r="I50" s="2">
        <v>46108</v>
      </c>
      <c r="J50" s="1" t="s">
        <v>24</v>
      </c>
      <c r="K50" s="1">
        <v>1049</v>
      </c>
      <c r="L50" s="1">
        <f t="shared" si="0"/>
        <v>81578</v>
      </c>
    </row>
    <row r="51" spans="1:12" x14ac:dyDescent="0.3">
      <c r="A51" s="1" t="s">
        <v>32</v>
      </c>
      <c r="B51" s="1" t="s">
        <v>25</v>
      </c>
      <c r="C51" s="1" t="s">
        <v>13</v>
      </c>
      <c r="D51" s="1" t="s">
        <v>53</v>
      </c>
      <c r="E51" s="1">
        <v>12</v>
      </c>
      <c r="F51" s="1">
        <v>360</v>
      </c>
      <c r="G51" s="1">
        <v>5</v>
      </c>
      <c r="H51" s="2">
        <v>46127</v>
      </c>
      <c r="I51" s="2">
        <v>46137</v>
      </c>
      <c r="J51" s="1" t="s">
        <v>29</v>
      </c>
      <c r="K51" s="1">
        <v>1050</v>
      </c>
      <c r="L51" s="1">
        <f t="shared" si="0"/>
        <v>4320</v>
      </c>
    </row>
    <row r="52" spans="1:12" x14ac:dyDescent="0.3">
      <c r="A52" s="1" t="s">
        <v>58</v>
      </c>
      <c r="B52" s="1" t="s">
        <v>17</v>
      </c>
      <c r="C52" s="1" t="s">
        <v>13</v>
      </c>
      <c r="D52" s="1" t="s">
        <v>36</v>
      </c>
      <c r="E52" s="1">
        <v>12</v>
      </c>
      <c r="F52" s="1">
        <v>47</v>
      </c>
      <c r="G52" s="1">
        <v>2</v>
      </c>
      <c r="H52" s="2">
        <v>46037</v>
      </c>
      <c r="I52" s="2">
        <v>46045</v>
      </c>
      <c r="J52" s="1" t="s">
        <v>15</v>
      </c>
      <c r="K52" s="1">
        <v>1051</v>
      </c>
      <c r="L52" s="1">
        <f t="shared" si="0"/>
        <v>564</v>
      </c>
    </row>
    <row r="53" spans="1:12" x14ac:dyDescent="0.3">
      <c r="A53" s="1" t="s">
        <v>55</v>
      </c>
      <c r="B53" s="1" t="s">
        <v>12</v>
      </c>
      <c r="C53" s="1" t="s">
        <v>13</v>
      </c>
      <c r="D53" s="1" t="s">
        <v>14</v>
      </c>
      <c r="E53" s="1">
        <v>17</v>
      </c>
      <c r="F53" s="1">
        <v>172</v>
      </c>
      <c r="G53" s="1">
        <v>10</v>
      </c>
      <c r="H53" s="2">
        <v>46159</v>
      </c>
      <c r="I53" s="2">
        <v>46165</v>
      </c>
      <c r="J53" s="1" t="s">
        <v>20</v>
      </c>
      <c r="K53" s="1">
        <v>1052</v>
      </c>
      <c r="L53" s="1">
        <f t="shared" si="0"/>
        <v>2924</v>
      </c>
    </row>
    <row r="54" spans="1:12" x14ac:dyDescent="0.3">
      <c r="A54" s="1" t="s">
        <v>16</v>
      </c>
      <c r="B54" s="1" t="s">
        <v>33</v>
      </c>
      <c r="C54" s="1" t="s">
        <v>18</v>
      </c>
      <c r="D54" s="1" t="s">
        <v>28</v>
      </c>
      <c r="E54" s="1">
        <v>1</v>
      </c>
      <c r="F54" s="1">
        <v>9749</v>
      </c>
      <c r="G54" s="1">
        <v>15</v>
      </c>
      <c r="H54" s="2">
        <v>46064</v>
      </c>
      <c r="I54" s="2">
        <v>46070</v>
      </c>
      <c r="J54" s="1" t="s">
        <v>24</v>
      </c>
      <c r="K54" s="1">
        <v>1053</v>
      </c>
      <c r="L54" s="1">
        <f t="shared" si="0"/>
        <v>9749</v>
      </c>
    </row>
    <row r="55" spans="1:12" x14ac:dyDescent="0.3">
      <c r="A55" s="1" t="s">
        <v>26</v>
      </c>
      <c r="B55" s="1" t="s">
        <v>25</v>
      </c>
      <c r="C55" s="1" t="s">
        <v>18</v>
      </c>
      <c r="D55" s="1" t="s">
        <v>23</v>
      </c>
      <c r="E55" s="1">
        <v>8</v>
      </c>
      <c r="F55" s="1">
        <v>9798</v>
      </c>
      <c r="G55" s="1">
        <v>12</v>
      </c>
      <c r="H55" s="2">
        <v>46200</v>
      </c>
      <c r="I55" s="2">
        <v>46201</v>
      </c>
      <c r="J55" s="1" t="s">
        <v>51</v>
      </c>
      <c r="K55" s="1">
        <v>1054</v>
      </c>
      <c r="L55" s="1">
        <f t="shared" si="0"/>
        <v>78384</v>
      </c>
    </row>
    <row r="56" spans="1:12" x14ac:dyDescent="0.3">
      <c r="A56" s="1" t="s">
        <v>48</v>
      </c>
      <c r="B56" s="1" t="s">
        <v>12</v>
      </c>
      <c r="C56" s="1" t="s">
        <v>13</v>
      </c>
      <c r="D56" s="1" t="s">
        <v>37</v>
      </c>
      <c r="E56" s="1">
        <v>18</v>
      </c>
      <c r="F56" s="1">
        <v>185</v>
      </c>
      <c r="G56" s="1">
        <v>15</v>
      </c>
      <c r="H56" s="2">
        <v>46077</v>
      </c>
      <c r="I56" s="2">
        <v>46078</v>
      </c>
      <c r="J56" s="1" t="s">
        <v>15</v>
      </c>
      <c r="K56" s="1">
        <v>1055</v>
      </c>
      <c r="L56" s="1">
        <f t="shared" si="0"/>
        <v>3330</v>
      </c>
    </row>
    <row r="57" spans="1:12" x14ac:dyDescent="0.3">
      <c r="A57" s="1" t="s">
        <v>11</v>
      </c>
      <c r="B57" s="1" t="s">
        <v>22</v>
      </c>
      <c r="C57" s="1" t="s">
        <v>18</v>
      </c>
      <c r="D57" s="1" t="s">
        <v>19</v>
      </c>
      <c r="E57" s="1">
        <v>3</v>
      </c>
      <c r="F57" s="1">
        <v>9771</v>
      </c>
      <c r="G57" s="1">
        <v>5</v>
      </c>
      <c r="H57" s="2">
        <v>46133</v>
      </c>
      <c r="I57" s="2">
        <v>46139</v>
      </c>
      <c r="J57" s="1" t="s">
        <v>24</v>
      </c>
      <c r="K57" s="1">
        <v>1056</v>
      </c>
      <c r="L57" s="1">
        <f t="shared" si="0"/>
        <v>29313</v>
      </c>
    </row>
    <row r="58" spans="1:12" x14ac:dyDescent="0.3">
      <c r="A58" s="1" t="s">
        <v>59</v>
      </c>
      <c r="B58" s="1" t="s">
        <v>22</v>
      </c>
      <c r="C58" s="1" t="s">
        <v>18</v>
      </c>
      <c r="D58" s="1" t="s">
        <v>28</v>
      </c>
      <c r="E58" s="1">
        <v>2</v>
      </c>
      <c r="F58" s="1">
        <v>9531</v>
      </c>
      <c r="G58" s="1">
        <v>15</v>
      </c>
      <c r="H58" s="2">
        <v>46067</v>
      </c>
      <c r="I58" s="2">
        <v>46076</v>
      </c>
      <c r="J58" s="1" t="s">
        <v>51</v>
      </c>
      <c r="K58" s="1">
        <v>1057</v>
      </c>
      <c r="L58" s="1">
        <f t="shared" si="0"/>
        <v>19062</v>
      </c>
    </row>
    <row r="59" spans="1:12" x14ac:dyDescent="0.3">
      <c r="A59" s="1" t="s">
        <v>52</v>
      </c>
      <c r="B59" s="1" t="s">
        <v>38</v>
      </c>
      <c r="C59" s="1" t="s">
        <v>18</v>
      </c>
      <c r="D59" s="1" t="s">
        <v>28</v>
      </c>
      <c r="E59" s="1">
        <v>10</v>
      </c>
      <c r="F59" s="1">
        <v>5532</v>
      </c>
      <c r="G59" s="1">
        <v>7</v>
      </c>
      <c r="H59" s="2">
        <v>46074</v>
      </c>
      <c r="I59" s="2">
        <v>46084</v>
      </c>
      <c r="J59" s="1" t="s">
        <v>24</v>
      </c>
      <c r="K59" s="1">
        <v>1058</v>
      </c>
      <c r="L59" s="1">
        <f t="shared" si="0"/>
        <v>55320</v>
      </c>
    </row>
    <row r="60" spans="1:12" x14ac:dyDescent="0.3">
      <c r="A60" s="1" t="s">
        <v>54</v>
      </c>
      <c r="B60" s="1" t="s">
        <v>25</v>
      </c>
      <c r="C60" s="1" t="s">
        <v>13</v>
      </c>
      <c r="D60" s="1" t="s">
        <v>50</v>
      </c>
      <c r="E60" s="1">
        <v>20</v>
      </c>
      <c r="F60" s="1">
        <v>112</v>
      </c>
      <c r="G60" s="1">
        <v>10</v>
      </c>
      <c r="H60" s="2">
        <v>46113</v>
      </c>
      <c r="I60" s="2">
        <v>46122</v>
      </c>
      <c r="J60" s="1" t="s">
        <v>51</v>
      </c>
      <c r="K60" s="1">
        <v>1059</v>
      </c>
      <c r="L60" s="1">
        <f t="shared" si="0"/>
        <v>2240</v>
      </c>
    </row>
    <row r="61" spans="1:12" x14ac:dyDescent="0.3">
      <c r="A61" s="1" t="s">
        <v>49</v>
      </c>
      <c r="B61" s="1" t="s">
        <v>12</v>
      </c>
      <c r="C61" s="1" t="s">
        <v>18</v>
      </c>
      <c r="D61" s="1" t="s">
        <v>44</v>
      </c>
      <c r="E61" s="1">
        <v>9</v>
      </c>
      <c r="F61" s="1">
        <v>9727</v>
      </c>
      <c r="G61" s="1">
        <v>2</v>
      </c>
      <c r="H61" s="2">
        <v>46024</v>
      </c>
      <c r="I61" s="2">
        <v>46030</v>
      </c>
      <c r="J61" s="1" t="s">
        <v>20</v>
      </c>
      <c r="K61" s="1">
        <v>1060</v>
      </c>
      <c r="L61" s="1">
        <f t="shared" si="0"/>
        <v>87543</v>
      </c>
    </row>
    <row r="62" spans="1:12" x14ac:dyDescent="0.3">
      <c r="A62" s="1" t="s">
        <v>57</v>
      </c>
      <c r="B62" s="1" t="s">
        <v>12</v>
      </c>
      <c r="C62" s="1" t="s">
        <v>34</v>
      </c>
      <c r="D62" s="1" t="s">
        <v>41</v>
      </c>
      <c r="E62" s="1">
        <v>16</v>
      </c>
      <c r="F62" s="1">
        <v>59084</v>
      </c>
      <c r="G62" s="1">
        <v>0</v>
      </c>
      <c r="H62" s="2">
        <v>46060</v>
      </c>
      <c r="I62" s="2">
        <v>46069</v>
      </c>
      <c r="J62" s="1" t="s">
        <v>20</v>
      </c>
      <c r="K62" s="1">
        <v>1061</v>
      </c>
      <c r="L62" s="1">
        <f t="shared" si="0"/>
        <v>945344</v>
      </c>
    </row>
    <row r="63" spans="1:12" x14ac:dyDescent="0.3">
      <c r="A63" s="1" t="s">
        <v>40</v>
      </c>
      <c r="B63" s="1" t="s">
        <v>43</v>
      </c>
      <c r="C63" s="1" t="s">
        <v>18</v>
      </c>
      <c r="D63" s="1" t="s">
        <v>23</v>
      </c>
      <c r="E63" s="1">
        <v>8</v>
      </c>
      <c r="F63" s="1">
        <v>8360</v>
      </c>
      <c r="G63" s="1">
        <v>2</v>
      </c>
      <c r="H63" s="2">
        <v>46190</v>
      </c>
      <c r="I63" s="2">
        <v>46200</v>
      </c>
      <c r="J63" s="1" t="s">
        <v>51</v>
      </c>
      <c r="K63" s="1">
        <v>1062</v>
      </c>
      <c r="L63" s="1">
        <f t="shared" si="0"/>
        <v>66880</v>
      </c>
    </row>
    <row r="64" spans="1:12" x14ac:dyDescent="0.3">
      <c r="A64" s="1" t="s">
        <v>54</v>
      </c>
      <c r="B64" s="1" t="s">
        <v>22</v>
      </c>
      <c r="C64" s="1" t="s">
        <v>34</v>
      </c>
      <c r="D64" s="1" t="s">
        <v>45</v>
      </c>
      <c r="E64" s="1">
        <v>7</v>
      </c>
      <c r="F64" s="1">
        <v>66744</v>
      </c>
      <c r="G64" s="1">
        <v>7</v>
      </c>
      <c r="H64" s="2">
        <v>46148</v>
      </c>
      <c r="I64" s="2">
        <v>46155</v>
      </c>
      <c r="J64" s="1" t="s">
        <v>15</v>
      </c>
      <c r="K64" s="1">
        <v>1063</v>
      </c>
      <c r="L64" s="1">
        <f t="shared" si="0"/>
        <v>467208</v>
      </c>
    </row>
    <row r="65" spans="1:12" x14ac:dyDescent="0.3">
      <c r="A65" s="1" t="s">
        <v>26</v>
      </c>
      <c r="B65" s="1" t="s">
        <v>17</v>
      </c>
      <c r="C65" s="1" t="s">
        <v>13</v>
      </c>
      <c r="D65" s="1" t="s">
        <v>50</v>
      </c>
      <c r="E65" s="1">
        <v>20</v>
      </c>
      <c r="F65" s="1">
        <v>191</v>
      </c>
      <c r="G65" s="1">
        <v>7</v>
      </c>
      <c r="H65" s="2">
        <v>46185</v>
      </c>
      <c r="I65" s="2">
        <v>46195</v>
      </c>
      <c r="J65" s="1" t="s">
        <v>29</v>
      </c>
      <c r="K65" s="1">
        <v>1064</v>
      </c>
      <c r="L65" s="1">
        <f t="shared" si="0"/>
        <v>3820</v>
      </c>
    </row>
    <row r="66" spans="1:12" x14ac:dyDescent="0.3">
      <c r="A66" s="1" t="s">
        <v>42</v>
      </c>
      <c r="B66" s="1" t="s">
        <v>43</v>
      </c>
      <c r="C66" s="1" t="s">
        <v>18</v>
      </c>
      <c r="D66" s="1" t="s">
        <v>44</v>
      </c>
      <c r="E66" s="1">
        <v>1</v>
      </c>
      <c r="F66" s="1">
        <v>7730</v>
      </c>
      <c r="G66" s="1">
        <v>5</v>
      </c>
      <c r="H66" s="2">
        <v>46192</v>
      </c>
      <c r="I66" s="2">
        <v>46195</v>
      </c>
      <c r="J66" s="1" t="s">
        <v>51</v>
      </c>
      <c r="K66" s="1">
        <v>1065</v>
      </c>
      <c r="L66" s="1">
        <f t="shared" si="0"/>
        <v>7730</v>
      </c>
    </row>
    <row r="67" spans="1:12" x14ac:dyDescent="0.3">
      <c r="A67" s="1" t="s">
        <v>47</v>
      </c>
      <c r="B67" s="1" t="s">
        <v>25</v>
      </c>
      <c r="C67" s="1" t="s">
        <v>18</v>
      </c>
      <c r="D67" s="1" t="s">
        <v>44</v>
      </c>
      <c r="E67" s="1">
        <v>15</v>
      </c>
      <c r="F67" s="1">
        <v>11987</v>
      </c>
      <c r="G67" s="1">
        <v>5</v>
      </c>
      <c r="H67" s="2">
        <v>46082</v>
      </c>
      <c r="I67" s="2">
        <v>46083</v>
      </c>
      <c r="J67" s="1" t="s">
        <v>15</v>
      </c>
      <c r="K67" s="1">
        <v>1066</v>
      </c>
      <c r="L67" s="1">
        <f t="shared" si="0"/>
        <v>179805</v>
      </c>
    </row>
    <row r="68" spans="1:12" x14ac:dyDescent="0.3">
      <c r="A68" s="1" t="s">
        <v>32</v>
      </c>
      <c r="B68" s="1" t="s">
        <v>43</v>
      </c>
      <c r="C68" s="1" t="s">
        <v>18</v>
      </c>
      <c r="D68" s="1" t="s">
        <v>56</v>
      </c>
      <c r="E68" s="1">
        <v>14</v>
      </c>
      <c r="F68" s="1">
        <v>10869</v>
      </c>
      <c r="G68" s="1">
        <v>0</v>
      </c>
      <c r="H68" s="2">
        <v>46058</v>
      </c>
      <c r="I68" s="2">
        <v>46062</v>
      </c>
      <c r="J68" s="1" t="s">
        <v>29</v>
      </c>
      <c r="K68" s="1">
        <v>1067</v>
      </c>
      <c r="L68" s="1">
        <f t="shared" si="0"/>
        <v>152166</v>
      </c>
    </row>
    <row r="69" spans="1:12" x14ac:dyDescent="0.3">
      <c r="A69" s="1" t="s">
        <v>52</v>
      </c>
      <c r="B69" s="1" t="s">
        <v>43</v>
      </c>
      <c r="C69" s="1" t="s">
        <v>34</v>
      </c>
      <c r="D69" s="1" t="s">
        <v>60</v>
      </c>
      <c r="E69" s="1">
        <v>15</v>
      </c>
      <c r="F69" s="1">
        <v>14534</v>
      </c>
      <c r="G69" s="1">
        <v>5</v>
      </c>
      <c r="H69" s="2">
        <v>46196</v>
      </c>
      <c r="I69" s="2">
        <v>46199</v>
      </c>
      <c r="J69" s="1" t="s">
        <v>29</v>
      </c>
      <c r="K69" s="1">
        <v>1068</v>
      </c>
      <c r="L69" s="1">
        <f t="shared" si="0"/>
        <v>218010</v>
      </c>
    </row>
    <row r="70" spans="1:12" x14ac:dyDescent="0.3">
      <c r="A70" s="1" t="s">
        <v>52</v>
      </c>
      <c r="B70" s="1" t="s">
        <v>31</v>
      </c>
      <c r="C70" s="1" t="s">
        <v>18</v>
      </c>
      <c r="D70" s="1" t="s">
        <v>28</v>
      </c>
      <c r="E70" s="1">
        <v>9</v>
      </c>
      <c r="F70" s="1">
        <v>4415</v>
      </c>
      <c r="G70" s="1">
        <v>5</v>
      </c>
      <c r="H70" s="2">
        <v>46039</v>
      </c>
      <c r="I70" s="2">
        <v>46046</v>
      </c>
      <c r="J70" s="1" t="s">
        <v>15</v>
      </c>
      <c r="K70" s="1">
        <v>1069</v>
      </c>
      <c r="L70" s="1">
        <f t="shared" si="0"/>
        <v>39735</v>
      </c>
    </row>
    <row r="71" spans="1:12" x14ac:dyDescent="0.3">
      <c r="A71" s="1" t="s">
        <v>52</v>
      </c>
      <c r="B71" s="1" t="s">
        <v>43</v>
      </c>
      <c r="C71" s="1" t="s">
        <v>13</v>
      </c>
      <c r="D71" s="1" t="s">
        <v>36</v>
      </c>
      <c r="E71" s="1">
        <v>10</v>
      </c>
      <c r="F71" s="1">
        <v>233</v>
      </c>
      <c r="G71" s="1">
        <v>7</v>
      </c>
      <c r="H71" s="2">
        <v>46076</v>
      </c>
      <c r="I71" s="2">
        <v>46077</v>
      </c>
      <c r="J71" s="1" t="s">
        <v>29</v>
      </c>
      <c r="K71" s="1">
        <v>1070</v>
      </c>
      <c r="L71" s="1">
        <f t="shared" si="0"/>
        <v>2330</v>
      </c>
    </row>
    <row r="72" spans="1:12" x14ac:dyDescent="0.3">
      <c r="A72" s="1" t="s">
        <v>59</v>
      </c>
      <c r="B72" s="1" t="s">
        <v>22</v>
      </c>
      <c r="C72" s="1" t="s">
        <v>34</v>
      </c>
      <c r="D72" s="1" t="s">
        <v>61</v>
      </c>
      <c r="E72" s="1">
        <v>18</v>
      </c>
      <c r="F72" s="1">
        <v>32197</v>
      </c>
      <c r="G72" s="1">
        <v>5</v>
      </c>
      <c r="H72" s="2">
        <v>46129</v>
      </c>
      <c r="I72" s="2">
        <v>46137</v>
      </c>
      <c r="J72" s="1" t="s">
        <v>20</v>
      </c>
      <c r="K72" s="1">
        <v>1071</v>
      </c>
      <c r="L72" s="1">
        <f t="shared" si="0"/>
        <v>579546</v>
      </c>
    </row>
    <row r="73" spans="1:12" x14ac:dyDescent="0.3">
      <c r="A73" s="1" t="s">
        <v>16</v>
      </c>
      <c r="B73" s="1" t="s">
        <v>25</v>
      </c>
      <c r="C73" s="1" t="s">
        <v>34</v>
      </c>
      <c r="D73" s="1" t="s">
        <v>61</v>
      </c>
      <c r="E73" s="1">
        <v>20</v>
      </c>
      <c r="F73" s="1">
        <v>58779</v>
      </c>
      <c r="G73" s="1">
        <v>0</v>
      </c>
      <c r="H73" s="2">
        <v>46035</v>
      </c>
      <c r="I73" s="2">
        <v>46036</v>
      </c>
      <c r="J73" s="1" t="s">
        <v>24</v>
      </c>
      <c r="K73" s="1">
        <v>1072</v>
      </c>
      <c r="L73" s="1">
        <f t="shared" si="0"/>
        <v>1175580</v>
      </c>
    </row>
    <row r="74" spans="1:12" x14ac:dyDescent="0.3">
      <c r="A74" s="1" t="s">
        <v>58</v>
      </c>
      <c r="B74" s="1" t="s">
        <v>17</v>
      </c>
      <c r="C74" s="1" t="s">
        <v>18</v>
      </c>
      <c r="D74" s="1" t="s">
        <v>56</v>
      </c>
      <c r="E74" s="1">
        <v>4</v>
      </c>
      <c r="F74" s="1">
        <v>2453</v>
      </c>
      <c r="G74" s="1">
        <v>7</v>
      </c>
      <c r="H74" s="2">
        <v>46126</v>
      </c>
      <c r="I74" s="2">
        <v>46129</v>
      </c>
      <c r="J74" s="1" t="s">
        <v>51</v>
      </c>
      <c r="K74" s="1">
        <v>1073</v>
      </c>
      <c r="L74" s="1">
        <f t="shared" si="0"/>
        <v>9812</v>
      </c>
    </row>
    <row r="75" spans="1:12" x14ac:dyDescent="0.3">
      <c r="A75" s="1" t="s">
        <v>26</v>
      </c>
      <c r="B75" s="1" t="s">
        <v>31</v>
      </c>
      <c r="C75" s="1" t="s">
        <v>13</v>
      </c>
      <c r="D75" s="1" t="s">
        <v>50</v>
      </c>
      <c r="E75" s="1">
        <v>11</v>
      </c>
      <c r="F75" s="1">
        <v>390</v>
      </c>
      <c r="G75" s="1">
        <v>15</v>
      </c>
      <c r="H75" s="2">
        <v>46114</v>
      </c>
      <c r="I75" s="2">
        <v>46123</v>
      </c>
      <c r="J75" s="1" t="s">
        <v>29</v>
      </c>
      <c r="K75" s="1">
        <v>1074</v>
      </c>
      <c r="L75" s="1">
        <f t="shared" si="0"/>
        <v>4290</v>
      </c>
    </row>
    <row r="76" spans="1:12" x14ac:dyDescent="0.3">
      <c r="A76" s="1" t="s">
        <v>42</v>
      </c>
      <c r="B76" s="1" t="s">
        <v>43</v>
      </c>
      <c r="C76" s="1" t="s">
        <v>34</v>
      </c>
      <c r="D76" s="1" t="s">
        <v>61</v>
      </c>
      <c r="E76" s="1">
        <v>4</v>
      </c>
      <c r="F76" s="1">
        <v>64773</v>
      </c>
      <c r="G76" s="1">
        <v>10</v>
      </c>
      <c r="H76" s="2">
        <v>46185</v>
      </c>
      <c r="I76" s="2">
        <v>46186</v>
      </c>
      <c r="J76" s="1" t="s">
        <v>51</v>
      </c>
      <c r="K76" s="1">
        <v>1075</v>
      </c>
      <c r="L76" s="1">
        <f t="shared" si="0"/>
        <v>259092</v>
      </c>
    </row>
    <row r="77" spans="1:12" x14ac:dyDescent="0.3">
      <c r="A77" s="1" t="s">
        <v>29</v>
      </c>
      <c r="B77" s="1" t="s">
        <v>17</v>
      </c>
      <c r="C77" s="1" t="s">
        <v>34</v>
      </c>
      <c r="D77" s="1" t="s">
        <v>35</v>
      </c>
      <c r="E77" s="1">
        <v>19</v>
      </c>
      <c r="F77" s="1">
        <v>26714</v>
      </c>
      <c r="G77" s="1">
        <v>5</v>
      </c>
      <c r="H77" s="2">
        <v>46045</v>
      </c>
      <c r="I77" s="2">
        <v>46055</v>
      </c>
      <c r="J77" s="1" t="s">
        <v>29</v>
      </c>
      <c r="K77" s="1">
        <v>1076</v>
      </c>
      <c r="L77" s="1">
        <f t="shared" si="0"/>
        <v>507566</v>
      </c>
    </row>
    <row r="78" spans="1:12" x14ac:dyDescent="0.3">
      <c r="A78" s="1" t="s">
        <v>55</v>
      </c>
      <c r="B78" s="1" t="s">
        <v>25</v>
      </c>
      <c r="C78" s="1" t="s">
        <v>13</v>
      </c>
      <c r="D78" s="1" t="s">
        <v>14</v>
      </c>
      <c r="E78" s="1">
        <v>1</v>
      </c>
      <c r="F78" s="1">
        <v>123</v>
      </c>
      <c r="G78" s="1">
        <v>10</v>
      </c>
      <c r="H78" s="2">
        <v>46113</v>
      </c>
      <c r="I78" s="2">
        <v>46121</v>
      </c>
      <c r="J78" s="1" t="s">
        <v>51</v>
      </c>
      <c r="K78" s="1">
        <v>1077</v>
      </c>
      <c r="L78" s="1">
        <f t="shared" si="0"/>
        <v>123</v>
      </c>
    </row>
    <row r="79" spans="1:12" x14ac:dyDescent="0.3">
      <c r="A79" s="1" t="s">
        <v>52</v>
      </c>
      <c r="B79" s="1" t="s">
        <v>17</v>
      </c>
      <c r="C79" s="1" t="s">
        <v>34</v>
      </c>
      <c r="D79" s="1" t="s">
        <v>39</v>
      </c>
      <c r="E79" s="1">
        <v>11</v>
      </c>
      <c r="F79" s="1">
        <v>24278</v>
      </c>
      <c r="G79" s="1">
        <v>12</v>
      </c>
      <c r="H79" s="2">
        <v>46084</v>
      </c>
      <c r="I79" s="2">
        <v>46090</v>
      </c>
      <c r="J79" s="1" t="s">
        <v>29</v>
      </c>
      <c r="K79" s="1">
        <v>1078</v>
      </c>
      <c r="L79" s="1">
        <f t="shared" si="0"/>
        <v>267058</v>
      </c>
    </row>
    <row r="80" spans="1:12" x14ac:dyDescent="0.3">
      <c r="A80" s="1" t="s">
        <v>26</v>
      </c>
      <c r="B80" s="1" t="s">
        <v>38</v>
      </c>
      <c r="C80" s="1" t="s">
        <v>34</v>
      </c>
      <c r="D80" s="1" t="s">
        <v>41</v>
      </c>
      <c r="E80" s="1">
        <v>19</v>
      </c>
      <c r="F80" s="1">
        <v>48956</v>
      </c>
      <c r="G80" s="1">
        <v>12</v>
      </c>
      <c r="H80" s="2">
        <v>46170</v>
      </c>
      <c r="I80" s="2">
        <v>46177</v>
      </c>
      <c r="J80" s="1" t="s">
        <v>51</v>
      </c>
      <c r="K80" s="1">
        <v>1079</v>
      </c>
      <c r="L80" s="1">
        <f t="shared" si="0"/>
        <v>930164</v>
      </c>
    </row>
    <row r="81" spans="1:12" x14ac:dyDescent="0.3">
      <c r="A81" s="1" t="s">
        <v>21</v>
      </c>
      <c r="B81" s="1" t="s">
        <v>22</v>
      </c>
      <c r="C81" s="1" t="s">
        <v>34</v>
      </c>
      <c r="D81" s="1" t="s">
        <v>41</v>
      </c>
      <c r="E81" s="1">
        <v>12</v>
      </c>
      <c r="F81" s="1">
        <v>54161</v>
      </c>
      <c r="G81" s="1">
        <v>15</v>
      </c>
      <c r="H81" s="2">
        <v>46133</v>
      </c>
      <c r="I81" s="2">
        <v>46143</v>
      </c>
      <c r="J81" s="1" t="s">
        <v>24</v>
      </c>
      <c r="K81" s="1">
        <v>1080</v>
      </c>
      <c r="L81" s="1">
        <f t="shared" si="0"/>
        <v>649932</v>
      </c>
    </row>
    <row r="82" spans="1:12" x14ac:dyDescent="0.3">
      <c r="A82" s="1" t="s">
        <v>47</v>
      </c>
      <c r="B82" s="1" t="s">
        <v>12</v>
      </c>
      <c r="C82" s="1" t="s">
        <v>34</v>
      </c>
      <c r="D82" s="1" t="s">
        <v>35</v>
      </c>
      <c r="E82" s="1">
        <v>15</v>
      </c>
      <c r="F82" s="1">
        <v>59912</v>
      </c>
      <c r="G82" s="1">
        <v>7</v>
      </c>
      <c r="H82" s="2">
        <v>46058</v>
      </c>
      <c r="I82" s="2">
        <v>46060</v>
      </c>
      <c r="J82" s="1" t="s">
        <v>51</v>
      </c>
      <c r="K82" s="1">
        <v>1081</v>
      </c>
      <c r="L82" s="1">
        <f t="shared" si="0"/>
        <v>898680</v>
      </c>
    </row>
    <row r="83" spans="1:12" x14ac:dyDescent="0.3">
      <c r="A83" s="1" t="s">
        <v>21</v>
      </c>
      <c r="B83" s="1" t="s">
        <v>12</v>
      </c>
      <c r="C83" s="1" t="s">
        <v>13</v>
      </c>
      <c r="D83" s="1" t="s">
        <v>14</v>
      </c>
      <c r="E83" s="1">
        <v>7</v>
      </c>
      <c r="F83" s="1">
        <v>133</v>
      </c>
      <c r="G83" s="1">
        <v>10</v>
      </c>
      <c r="H83" s="2">
        <v>46075</v>
      </c>
      <c r="I83" s="2">
        <v>46085</v>
      </c>
      <c r="J83" s="1" t="s">
        <v>51</v>
      </c>
      <c r="K83" s="1">
        <v>1082</v>
      </c>
      <c r="L83" s="1">
        <f t="shared" si="0"/>
        <v>931</v>
      </c>
    </row>
    <row r="84" spans="1:12" x14ac:dyDescent="0.3">
      <c r="A84" s="1" t="s">
        <v>55</v>
      </c>
      <c r="B84" s="1" t="s">
        <v>33</v>
      </c>
      <c r="C84" s="1" t="s">
        <v>13</v>
      </c>
      <c r="D84" s="1" t="s">
        <v>53</v>
      </c>
      <c r="E84" s="1">
        <v>4</v>
      </c>
      <c r="F84" s="1">
        <v>397</v>
      </c>
      <c r="G84" s="1">
        <v>7</v>
      </c>
      <c r="H84" s="2">
        <v>46185</v>
      </c>
      <c r="I84" s="2">
        <v>46193</v>
      </c>
      <c r="J84" s="1" t="s">
        <v>15</v>
      </c>
      <c r="K84" s="1">
        <v>1083</v>
      </c>
      <c r="L84" s="1">
        <f t="shared" si="0"/>
        <v>1588</v>
      </c>
    </row>
    <row r="85" spans="1:12" x14ac:dyDescent="0.3">
      <c r="A85" s="1" t="s">
        <v>49</v>
      </c>
      <c r="B85" s="1" t="s">
        <v>31</v>
      </c>
      <c r="C85" s="1" t="s">
        <v>18</v>
      </c>
      <c r="D85" s="1" t="s">
        <v>28</v>
      </c>
      <c r="E85" s="1">
        <v>4</v>
      </c>
      <c r="F85" s="1">
        <v>6901</v>
      </c>
      <c r="G85" s="1">
        <v>10</v>
      </c>
      <c r="H85" s="2">
        <v>46047</v>
      </c>
      <c r="I85" s="2">
        <v>46057</v>
      </c>
      <c r="J85" s="1" t="s">
        <v>20</v>
      </c>
      <c r="K85" s="1">
        <v>1084</v>
      </c>
      <c r="L85" s="1">
        <f t="shared" si="0"/>
        <v>27604</v>
      </c>
    </row>
    <row r="86" spans="1:12" x14ac:dyDescent="0.3">
      <c r="A86" s="1" t="s">
        <v>32</v>
      </c>
      <c r="B86" s="1" t="s">
        <v>38</v>
      </c>
      <c r="C86" s="1" t="s">
        <v>34</v>
      </c>
      <c r="D86" s="1" t="s">
        <v>60</v>
      </c>
      <c r="E86" s="1">
        <v>19</v>
      </c>
      <c r="F86" s="1">
        <v>45307</v>
      </c>
      <c r="G86" s="1">
        <v>12</v>
      </c>
      <c r="H86" s="2">
        <v>46146</v>
      </c>
      <c r="I86" s="2">
        <v>46150</v>
      </c>
      <c r="J86" s="1" t="s">
        <v>24</v>
      </c>
      <c r="K86" s="1">
        <v>1085</v>
      </c>
      <c r="L86" s="1">
        <f t="shared" si="0"/>
        <v>860833</v>
      </c>
    </row>
    <row r="87" spans="1:12" x14ac:dyDescent="0.3">
      <c r="A87" s="1" t="s">
        <v>32</v>
      </c>
      <c r="B87" s="1" t="s">
        <v>12</v>
      </c>
      <c r="C87" s="1" t="s">
        <v>13</v>
      </c>
      <c r="D87" s="1" t="s">
        <v>53</v>
      </c>
      <c r="E87" s="1">
        <v>15</v>
      </c>
      <c r="F87" s="1">
        <v>40</v>
      </c>
      <c r="G87" s="1">
        <v>10</v>
      </c>
      <c r="H87" s="2">
        <v>46045</v>
      </c>
      <c r="I87" s="2">
        <v>46049</v>
      </c>
      <c r="J87" s="1" t="s">
        <v>24</v>
      </c>
      <c r="K87" s="1">
        <v>1086</v>
      </c>
      <c r="L87" s="1">
        <f t="shared" si="0"/>
        <v>600</v>
      </c>
    </row>
    <row r="88" spans="1:12" x14ac:dyDescent="0.3">
      <c r="A88" s="1" t="s">
        <v>11</v>
      </c>
      <c r="B88" s="1" t="s">
        <v>31</v>
      </c>
      <c r="C88" s="1" t="s">
        <v>13</v>
      </c>
      <c r="D88" s="1" t="s">
        <v>37</v>
      </c>
      <c r="E88" s="1">
        <v>13</v>
      </c>
      <c r="F88" s="1">
        <v>387</v>
      </c>
      <c r="G88" s="1">
        <v>7</v>
      </c>
      <c r="H88" s="2">
        <v>46171</v>
      </c>
      <c r="I88" s="2">
        <v>46176</v>
      </c>
      <c r="J88" s="1" t="s">
        <v>24</v>
      </c>
      <c r="K88" s="1">
        <v>1087</v>
      </c>
      <c r="L88" s="1">
        <f t="shared" si="0"/>
        <v>5031</v>
      </c>
    </row>
    <row r="89" spans="1:12" x14ac:dyDescent="0.3">
      <c r="A89" s="1" t="s">
        <v>40</v>
      </c>
      <c r="B89" s="1" t="s">
        <v>33</v>
      </c>
      <c r="C89" s="1" t="s">
        <v>34</v>
      </c>
      <c r="D89" s="1" t="s">
        <v>41</v>
      </c>
      <c r="E89" s="1">
        <v>20</v>
      </c>
      <c r="F89" s="1">
        <v>41165</v>
      </c>
      <c r="G89" s="1">
        <v>0</v>
      </c>
      <c r="H89" s="2">
        <v>46068</v>
      </c>
      <c r="I89" s="2">
        <v>46069</v>
      </c>
      <c r="J89" s="1" t="s">
        <v>20</v>
      </c>
      <c r="K89" s="1">
        <v>1088</v>
      </c>
      <c r="L89" s="1">
        <f t="shared" si="0"/>
        <v>823300</v>
      </c>
    </row>
    <row r="90" spans="1:12" x14ac:dyDescent="0.3">
      <c r="A90" s="1" t="s">
        <v>46</v>
      </c>
      <c r="B90" s="1" t="s">
        <v>12</v>
      </c>
      <c r="C90" s="1" t="s">
        <v>34</v>
      </c>
      <c r="D90" s="1" t="s">
        <v>35</v>
      </c>
      <c r="E90" s="1">
        <v>10</v>
      </c>
      <c r="F90" s="1">
        <v>17041</v>
      </c>
      <c r="G90" s="1">
        <v>2</v>
      </c>
      <c r="H90" s="2">
        <v>46066</v>
      </c>
      <c r="I90" s="2">
        <v>46071</v>
      </c>
      <c r="J90" s="1" t="s">
        <v>24</v>
      </c>
      <c r="K90" s="1">
        <v>1089</v>
      </c>
      <c r="L90" s="1">
        <f t="shared" si="0"/>
        <v>170410</v>
      </c>
    </row>
    <row r="91" spans="1:12" x14ac:dyDescent="0.3">
      <c r="A91" s="1" t="s">
        <v>49</v>
      </c>
      <c r="B91" s="1" t="s">
        <v>31</v>
      </c>
      <c r="C91" s="1" t="s">
        <v>34</v>
      </c>
      <c r="D91" s="1" t="s">
        <v>45</v>
      </c>
      <c r="E91" s="1">
        <v>19</v>
      </c>
      <c r="F91" s="1">
        <v>66139</v>
      </c>
      <c r="G91" s="1">
        <v>5</v>
      </c>
      <c r="H91" s="2">
        <v>46088</v>
      </c>
      <c r="I91" s="2">
        <v>46095</v>
      </c>
      <c r="J91" s="1" t="s">
        <v>24</v>
      </c>
      <c r="K91" s="1">
        <v>1090</v>
      </c>
      <c r="L91" s="1">
        <f t="shared" si="0"/>
        <v>1256641</v>
      </c>
    </row>
    <row r="92" spans="1:12" x14ac:dyDescent="0.3">
      <c r="A92" s="1" t="s">
        <v>55</v>
      </c>
      <c r="B92" s="1" t="s">
        <v>17</v>
      </c>
      <c r="C92" s="1" t="s">
        <v>13</v>
      </c>
      <c r="D92" s="1" t="s">
        <v>53</v>
      </c>
      <c r="E92" s="1">
        <v>2</v>
      </c>
      <c r="F92" s="1">
        <v>305</v>
      </c>
      <c r="G92" s="1">
        <v>0</v>
      </c>
      <c r="H92" s="2">
        <v>46136</v>
      </c>
      <c r="I92" s="2">
        <v>46144</v>
      </c>
      <c r="J92" s="1" t="s">
        <v>15</v>
      </c>
      <c r="K92" s="1">
        <v>1091</v>
      </c>
      <c r="L92" s="1">
        <f t="shared" si="0"/>
        <v>610</v>
      </c>
    </row>
    <row r="93" spans="1:12" x14ac:dyDescent="0.3">
      <c r="A93" s="1" t="s">
        <v>21</v>
      </c>
      <c r="B93" s="1" t="s">
        <v>22</v>
      </c>
      <c r="C93" s="1" t="s">
        <v>34</v>
      </c>
      <c r="D93" s="1" t="s">
        <v>41</v>
      </c>
      <c r="E93" s="1">
        <v>9</v>
      </c>
      <c r="F93" s="1">
        <v>23438</v>
      </c>
      <c r="G93" s="1">
        <v>2</v>
      </c>
      <c r="H93" s="2">
        <v>46049</v>
      </c>
      <c r="I93" s="2">
        <v>46055</v>
      </c>
      <c r="J93" s="1" t="s">
        <v>29</v>
      </c>
      <c r="K93" s="1">
        <v>1092</v>
      </c>
      <c r="L93" s="1">
        <f t="shared" si="0"/>
        <v>210942</v>
      </c>
    </row>
    <row r="94" spans="1:12" x14ac:dyDescent="0.3">
      <c r="A94" s="1" t="s">
        <v>47</v>
      </c>
      <c r="B94" s="1" t="s">
        <v>25</v>
      </c>
      <c r="C94" s="1" t="s">
        <v>18</v>
      </c>
      <c r="D94" s="1" t="s">
        <v>23</v>
      </c>
      <c r="E94" s="1">
        <v>6</v>
      </c>
      <c r="F94" s="1">
        <v>8224</v>
      </c>
      <c r="G94" s="1">
        <v>15</v>
      </c>
      <c r="H94" s="2">
        <v>46175</v>
      </c>
      <c r="I94" s="2">
        <v>46185</v>
      </c>
      <c r="J94" s="1" t="s">
        <v>51</v>
      </c>
      <c r="K94" s="1">
        <v>1093</v>
      </c>
      <c r="L94" s="1">
        <f t="shared" si="0"/>
        <v>49344</v>
      </c>
    </row>
    <row r="95" spans="1:12" x14ac:dyDescent="0.3">
      <c r="A95" s="1" t="s">
        <v>47</v>
      </c>
      <c r="B95" s="1" t="s">
        <v>43</v>
      </c>
      <c r="C95" s="1" t="s">
        <v>34</v>
      </c>
      <c r="D95" s="1" t="s">
        <v>61</v>
      </c>
      <c r="E95" s="1">
        <v>4</v>
      </c>
      <c r="F95" s="1">
        <v>7073</v>
      </c>
      <c r="G95" s="1">
        <v>0</v>
      </c>
      <c r="H95" s="2">
        <v>46101</v>
      </c>
      <c r="I95" s="2">
        <v>46105</v>
      </c>
      <c r="J95" s="1" t="s">
        <v>29</v>
      </c>
      <c r="K95" s="1">
        <v>1094</v>
      </c>
      <c r="L95" s="1">
        <f t="shared" si="0"/>
        <v>28292</v>
      </c>
    </row>
    <row r="96" spans="1:12" x14ac:dyDescent="0.3">
      <c r="A96" s="1" t="s">
        <v>47</v>
      </c>
      <c r="B96" s="1" t="s">
        <v>25</v>
      </c>
      <c r="C96" s="1" t="s">
        <v>34</v>
      </c>
      <c r="D96" s="1" t="s">
        <v>41</v>
      </c>
      <c r="E96" s="1">
        <v>18</v>
      </c>
      <c r="F96" s="1">
        <v>587</v>
      </c>
      <c r="G96" s="1">
        <v>2</v>
      </c>
      <c r="H96" s="2">
        <v>46167</v>
      </c>
      <c r="I96" s="2">
        <v>46171</v>
      </c>
      <c r="J96" s="1" t="s">
        <v>20</v>
      </c>
      <c r="K96" s="1">
        <v>1095</v>
      </c>
      <c r="L96" s="1">
        <f t="shared" si="0"/>
        <v>10566</v>
      </c>
    </row>
    <row r="97" spans="1:12" x14ac:dyDescent="0.3">
      <c r="A97" s="1" t="s">
        <v>49</v>
      </c>
      <c r="B97" s="1" t="s">
        <v>17</v>
      </c>
      <c r="C97" s="1" t="s">
        <v>18</v>
      </c>
      <c r="D97" s="1" t="s">
        <v>23</v>
      </c>
      <c r="E97" s="1">
        <v>15</v>
      </c>
      <c r="F97" s="1">
        <v>14724</v>
      </c>
      <c r="G97" s="1">
        <v>15</v>
      </c>
      <c r="H97" s="2">
        <v>46054</v>
      </c>
      <c r="I97" s="2">
        <v>46061</v>
      </c>
      <c r="J97" s="1" t="s">
        <v>20</v>
      </c>
      <c r="K97" s="1">
        <v>1096</v>
      </c>
      <c r="L97" s="1">
        <f t="shared" si="0"/>
        <v>220860</v>
      </c>
    </row>
    <row r="98" spans="1:12" x14ac:dyDescent="0.3">
      <c r="A98" s="1" t="s">
        <v>52</v>
      </c>
      <c r="B98" s="1" t="s">
        <v>22</v>
      </c>
      <c r="C98" s="1" t="s">
        <v>34</v>
      </c>
      <c r="D98" s="1" t="s">
        <v>61</v>
      </c>
      <c r="E98" s="1">
        <v>10</v>
      </c>
      <c r="F98" s="1">
        <v>28980</v>
      </c>
      <c r="G98" s="1">
        <v>10</v>
      </c>
      <c r="H98" s="2">
        <v>46089</v>
      </c>
      <c r="I98" s="2">
        <v>46094</v>
      </c>
      <c r="J98" s="1" t="s">
        <v>24</v>
      </c>
      <c r="K98" s="1">
        <v>1097</v>
      </c>
      <c r="L98" s="1">
        <f t="shared" si="0"/>
        <v>289800</v>
      </c>
    </row>
    <row r="99" spans="1:12" x14ac:dyDescent="0.3">
      <c r="A99" s="1" t="s">
        <v>26</v>
      </c>
      <c r="B99" s="1" t="s">
        <v>25</v>
      </c>
      <c r="C99" s="1" t="s">
        <v>13</v>
      </c>
      <c r="D99" s="1" t="s">
        <v>53</v>
      </c>
      <c r="E99" s="1">
        <v>17</v>
      </c>
      <c r="F99" s="1">
        <v>345</v>
      </c>
      <c r="G99" s="1">
        <v>2</v>
      </c>
      <c r="H99" s="2">
        <v>46126</v>
      </c>
      <c r="I99" s="2">
        <v>46127</v>
      </c>
      <c r="J99" s="1" t="s">
        <v>51</v>
      </c>
      <c r="K99" s="1">
        <v>1098</v>
      </c>
      <c r="L99" s="1">
        <f t="shared" si="0"/>
        <v>5865</v>
      </c>
    </row>
    <row r="100" spans="1:12" x14ac:dyDescent="0.3">
      <c r="A100" s="1" t="s">
        <v>26</v>
      </c>
      <c r="B100" s="1" t="s">
        <v>31</v>
      </c>
      <c r="C100" s="1" t="s">
        <v>18</v>
      </c>
      <c r="D100" s="1" t="s">
        <v>19</v>
      </c>
      <c r="E100" s="1">
        <v>1</v>
      </c>
      <c r="F100" s="1">
        <v>5165</v>
      </c>
      <c r="G100" s="1">
        <v>2</v>
      </c>
      <c r="H100" s="2">
        <v>46058</v>
      </c>
      <c r="I100" s="2">
        <v>46060</v>
      </c>
      <c r="J100" s="1" t="s">
        <v>15</v>
      </c>
      <c r="K100" s="1">
        <v>1099</v>
      </c>
      <c r="L100" s="1">
        <f t="shared" si="0"/>
        <v>5165</v>
      </c>
    </row>
    <row r="101" spans="1:12" x14ac:dyDescent="0.3">
      <c r="A101" s="1" t="s">
        <v>11</v>
      </c>
      <c r="B101" s="1" t="s">
        <v>31</v>
      </c>
      <c r="C101" s="1" t="s">
        <v>13</v>
      </c>
      <c r="D101" s="1" t="s">
        <v>14</v>
      </c>
      <c r="E101" s="1">
        <v>11</v>
      </c>
      <c r="F101" s="1">
        <v>296</v>
      </c>
      <c r="G101" s="1">
        <v>10</v>
      </c>
      <c r="H101" s="2">
        <v>46027</v>
      </c>
      <c r="I101" s="2">
        <v>46031</v>
      </c>
      <c r="J101" s="1" t="s">
        <v>51</v>
      </c>
      <c r="K101" s="1">
        <v>1100</v>
      </c>
      <c r="L101" s="1">
        <f t="shared" si="0"/>
        <v>3256</v>
      </c>
    </row>
    <row r="102" spans="1:12" x14ac:dyDescent="0.3">
      <c r="A102" s="1" t="s">
        <v>27</v>
      </c>
      <c r="B102" s="1" t="s">
        <v>22</v>
      </c>
      <c r="C102" s="1" t="s">
        <v>34</v>
      </c>
      <c r="D102" s="1" t="s">
        <v>61</v>
      </c>
      <c r="E102" s="1">
        <v>9</v>
      </c>
      <c r="F102" s="1">
        <v>37361</v>
      </c>
      <c r="G102" s="1">
        <v>10</v>
      </c>
      <c r="H102" s="2">
        <v>46141</v>
      </c>
      <c r="I102" s="2">
        <v>46142</v>
      </c>
      <c r="J102" s="1" t="s">
        <v>24</v>
      </c>
      <c r="K102" s="1">
        <v>1101</v>
      </c>
      <c r="L102" s="1">
        <f t="shared" si="0"/>
        <v>336249</v>
      </c>
    </row>
    <row r="103" spans="1:12" x14ac:dyDescent="0.3">
      <c r="A103" s="1" t="s">
        <v>54</v>
      </c>
      <c r="B103" s="1" t="s">
        <v>25</v>
      </c>
      <c r="C103" s="1" t="s">
        <v>34</v>
      </c>
      <c r="D103" s="1" t="s">
        <v>45</v>
      </c>
      <c r="E103" s="1">
        <v>12</v>
      </c>
      <c r="F103" s="1">
        <v>63402</v>
      </c>
      <c r="G103" s="1">
        <v>7</v>
      </c>
      <c r="H103" s="2">
        <v>46106</v>
      </c>
      <c r="I103" s="2">
        <v>46113</v>
      </c>
      <c r="J103" s="1" t="s">
        <v>51</v>
      </c>
      <c r="K103" s="1">
        <v>1102</v>
      </c>
      <c r="L103" s="1">
        <f t="shared" si="0"/>
        <v>760824</v>
      </c>
    </row>
    <row r="104" spans="1:12" x14ac:dyDescent="0.3">
      <c r="A104" s="1" t="s">
        <v>16</v>
      </c>
      <c r="B104" s="1" t="s">
        <v>12</v>
      </c>
      <c r="C104" s="1" t="s">
        <v>18</v>
      </c>
      <c r="D104" s="1" t="s">
        <v>23</v>
      </c>
      <c r="E104" s="1">
        <v>7</v>
      </c>
      <c r="F104" s="1">
        <v>11925</v>
      </c>
      <c r="G104" s="1">
        <v>5</v>
      </c>
      <c r="H104" s="2">
        <v>46040</v>
      </c>
      <c r="I104" s="2">
        <v>46041</v>
      </c>
      <c r="J104" s="1" t="s">
        <v>29</v>
      </c>
      <c r="K104" s="1">
        <v>1103</v>
      </c>
      <c r="L104" s="1">
        <f t="shared" si="0"/>
        <v>83475</v>
      </c>
    </row>
    <row r="105" spans="1:12" x14ac:dyDescent="0.3">
      <c r="A105" s="1" t="s">
        <v>16</v>
      </c>
      <c r="B105" s="1" t="s">
        <v>43</v>
      </c>
      <c r="C105" s="1" t="s">
        <v>18</v>
      </c>
      <c r="D105" s="1" t="s">
        <v>19</v>
      </c>
      <c r="E105" s="1">
        <v>10</v>
      </c>
      <c r="F105" s="1">
        <v>12848</v>
      </c>
      <c r="G105" s="1">
        <v>15</v>
      </c>
      <c r="H105" s="2">
        <v>46060</v>
      </c>
      <c r="I105" s="2">
        <v>46064</v>
      </c>
      <c r="J105" s="1" t="s">
        <v>29</v>
      </c>
      <c r="K105" s="1">
        <v>1104</v>
      </c>
      <c r="L105" s="1">
        <f t="shared" si="0"/>
        <v>128480</v>
      </c>
    </row>
    <row r="106" spans="1:12" x14ac:dyDescent="0.3">
      <c r="A106" s="1" t="s">
        <v>59</v>
      </c>
      <c r="B106" s="1" t="s">
        <v>25</v>
      </c>
      <c r="C106" s="1" t="s">
        <v>13</v>
      </c>
      <c r="D106" s="1" t="s">
        <v>50</v>
      </c>
      <c r="E106" s="1">
        <v>2</v>
      </c>
      <c r="F106" s="1">
        <v>493</v>
      </c>
      <c r="G106" s="1">
        <v>12</v>
      </c>
      <c r="H106" s="2">
        <v>46057</v>
      </c>
      <c r="I106" s="2">
        <v>46066</v>
      </c>
      <c r="J106" s="1" t="s">
        <v>51</v>
      </c>
      <c r="K106" s="1">
        <v>1105</v>
      </c>
      <c r="L106" s="1">
        <f t="shared" si="0"/>
        <v>986</v>
      </c>
    </row>
    <row r="107" spans="1:12" x14ac:dyDescent="0.3">
      <c r="A107" s="1" t="s">
        <v>27</v>
      </c>
      <c r="B107" s="1" t="s">
        <v>43</v>
      </c>
      <c r="C107" s="1" t="s">
        <v>18</v>
      </c>
      <c r="D107" s="1" t="s">
        <v>23</v>
      </c>
      <c r="E107" s="1">
        <v>20</v>
      </c>
      <c r="F107" s="1">
        <v>2141</v>
      </c>
      <c r="G107" s="1">
        <v>2</v>
      </c>
      <c r="H107" s="2">
        <v>46091</v>
      </c>
      <c r="I107" s="2">
        <v>46097</v>
      </c>
      <c r="J107" s="1" t="s">
        <v>29</v>
      </c>
      <c r="K107" s="1">
        <v>1106</v>
      </c>
      <c r="L107" s="1">
        <f t="shared" si="0"/>
        <v>42820</v>
      </c>
    </row>
    <row r="108" spans="1:12" x14ac:dyDescent="0.3">
      <c r="A108" s="1" t="s">
        <v>52</v>
      </c>
      <c r="B108" s="1" t="s">
        <v>17</v>
      </c>
      <c r="C108" s="1" t="s">
        <v>34</v>
      </c>
      <c r="D108" s="1" t="s">
        <v>60</v>
      </c>
      <c r="E108" s="1">
        <v>4</v>
      </c>
      <c r="F108" s="1">
        <v>14291</v>
      </c>
      <c r="G108" s="1">
        <v>2</v>
      </c>
      <c r="H108" s="2">
        <v>46076</v>
      </c>
      <c r="I108" s="2">
        <v>46078</v>
      </c>
      <c r="J108" s="1" t="s">
        <v>15</v>
      </c>
      <c r="K108" s="1">
        <v>1107</v>
      </c>
      <c r="L108" s="1">
        <f t="shared" si="0"/>
        <v>57164</v>
      </c>
    </row>
    <row r="109" spans="1:12" x14ac:dyDescent="0.3">
      <c r="A109" s="1" t="s">
        <v>42</v>
      </c>
      <c r="B109" s="1" t="s">
        <v>33</v>
      </c>
      <c r="C109" s="1" t="s">
        <v>18</v>
      </c>
      <c r="D109" s="1" t="s">
        <v>28</v>
      </c>
      <c r="E109" s="1">
        <v>15</v>
      </c>
      <c r="F109" s="1">
        <v>13843</v>
      </c>
      <c r="G109" s="1">
        <v>7</v>
      </c>
      <c r="H109" s="2">
        <v>46119</v>
      </c>
      <c r="I109" s="2">
        <v>46127</v>
      </c>
      <c r="J109" s="1" t="s">
        <v>20</v>
      </c>
      <c r="K109" s="1">
        <v>1108</v>
      </c>
      <c r="L109" s="1">
        <f t="shared" si="0"/>
        <v>207645</v>
      </c>
    </row>
    <row r="110" spans="1:12" x14ac:dyDescent="0.3">
      <c r="A110" s="1" t="s">
        <v>21</v>
      </c>
      <c r="B110" s="1" t="s">
        <v>31</v>
      </c>
      <c r="C110" s="1" t="s">
        <v>18</v>
      </c>
      <c r="D110" s="1" t="s">
        <v>44</v>
      </c>
      <c r="E110" s="1">
        <v>19</v>
      </c>
      <c r="F110" s="1">
        <v>6512</v>
      </c>
      <c r="G110" s="1">
        <v>10</v>
      </c>
      <c r="H110" s="2">
        <v>46033</v>
      </c>
      <c r="I110" s="2">
        <v>46037</v>
      </c>
      <c r="J110" s="1" t="s">
        <v>20</v>
      </c>
      <c r="K110" s="1">
        <v>1109</v>
      </c>
      <c r="L110" s="1">
        <f t="shared" si="0"/>
        <v>123728</v>
      </c>
    </row>
    <row r="111" spans="1:12" x14ac:dyDescent="0.3">
      <c r="A111" s="1" t="s">
        <v>49</v>
      </c>
      <c r="B111" s="1" t="s">
        <v>38</v>
      </c>
      <c r="C111" s="1" t="s">
        <v>18</v>
      </c>
      <c r="D111" s="1" t="s">
        <v>23</v>
      </c>
      <c r="E111" s="1">
        <v>14</v>
      </c>
      <c r="F111" s="1">
        <v>6793</v>
      </c>
      <c r="G111" s="1">
        <v>7</v>
      </c>
      <c r="H111" s="2">
        <v>46077</v>
      </c>
      <c r="I111" s="2">
        <v>46082</v>
      </c>
      <c r="J111" s="1" t="s">
        <v>29</v>
      </c>
      <c r="K111" s="1">
        <v>1110</v>
      </c>
      <c r="L111" s="1">
        <f t="shared" si="0"/>
        <v>95102</v>
      </c>
    </row>
    <row r="112" spans="1:12" x14ac:dyDescent="0.3">
      <c r="A112" s="1" t="s">
        <v>47</v>
      </c>
      <c r="B112" s="1" t="s">
        <v>17</v>
      </c>
      <c r="C112" s="1" t="s">
        <v>34</v>
      </c>
      <c r="D112" s="1" t="s">
        <v>35</v>
      </c>
      <c r="E112" s="1">
        <v>5</v>
      </c>
      <c r="F112" s="1">
        <v>49945</v>
      </c>
      <c r="G112" s="1">
        <v>12</v>
      </c>
      <c r="H112" s="2">
        <v>46133</v>
      </c>
      <c r="I112" s="2">
        <v>46141</v>
      </c>
      <c r="J112" s="1" t="s">
        <v>29</v>
      </c>
      <c r="K112" s="1">
        <v>1111</v>
      </c>
      <c r="L112" s="1">
        <f t="shared" si="0"/>
        <v>249725</v>
      </c>
    </row>
    <row r="113" spans="1:12" x14ac:dyDescent="0.3">
      <c r="A113" s="1" t="s">
        <v>21</v>
      </c>
      <c r="B113" s="1" t="s">
        <v>43</v>
      </c>
      <c r="C113" s="1" t="s">
        <v>18</v>
      </c>
      <c r="D113" s="1" t="s">
        <v>44</v>
      </c>
      <c r="E113" s="1">
        <v>7</v>
      </c>
      <c r="F113" s="1">
        <v>1959</v>
      </c>
      <c r="G113" s="1">
        <v>15</v>
      </c>
      <c r="H113" s="2">
        <v>46090</v>
      </c>
      <c r="I113" s="2">
        <v>46100</v>
      </c>
      <c r="J113" s="1" t="s">
        <v>15</v>
      </c>
      <c r="K113" s="1">
        <v>1112</v>
      </c>
      <c r="L113" s="1">
        <f t="shared" si="0"/>
        <v>13713</v>
      </c>
    </row>
    <row r="114" spans="1:12" x14ac:dyDescent="0.3">
      <c r="A114" s="1" t="s">
        <v>26</v>
      </c>
      <c r="B114" s="1" t="s">
        <v>43</v>
      </c>
      <c r="C114" s="1" t="s">
        <v>18</v>
      </c>
      <c r="D114" s="1" t="s">
        <v>56</v>
      </c>
      <c r="E114" s="1">
        <v>13</v>
      </c>
      <c r="F114" s="1">
        <v>6719</v>
      </c>
      <c r="G114" s="1">
        <v>15</v>
      </c>
      <c r="H114" s="2">
        <v>46076</v>
      </c>
      <c r="I114" s="2">
        <v>46081</v>
      </c>
      <c r="J114" s="1" t="s">
        <v>24</v>
      </c>
      <c r="K114" s="1">
        <v>1113</v>
      </c>
      <c r="L114" s="1">
        <f t="shared" si="0"/>
        <v>87347</v>
      </c>
    </row>
    <row r="115" spans="1:12" x14ac:dyDescent="0.3">
      <c r="A115" s="1" t="s">
        <v>16</v>
      </c>
      <c r="B115" s="1" t="s">
        <v>25</v>
      </c>
      <c r="C115" s="1" t="s">
        <v>13</v>
      </c>
      <c r="D115" s="1" t="s">
        <v>50</v>
      </c>
      <c r="E115" s="1">
        <v>13</v>
      </c>
      <c r="F115" s="1">
        <v>32</v>
      </c>
      <c r="G115" s="1">
        <v>15</v>
      </c>
      <c r="H115" s="2">
        <v>46066</v>
      </c>
      <c r="I115" s="2">
        <v>46069</v>
      </c>
      <c r="J115" s="1" t="s">
        <v>15</v>
      </c>
      <c r="K115" s="1">
        <v>1114</v>
      </c>
      <c r="L115" s="1">
        <f t="shared" si="0"/>
        <v>416</v>
      </c>
    </row>
    <row r="116" spans="1:12" x14ac:dyDescent="0.3">
      <c r="A116" s="1" t="s">
        <v>59</v>
      </c>
      <c r="B116" s="1" t="s">
        <v>43</v>
      </c>
      <c r="C116" s="1" t="s">
        <v>13</v>
      </c>
      <c r="D116" s="1" t="s">
        <v>50</v>
      </c>
      <c r="E116" s="1">
        <v>9</v>
      </c>
      <c r="F116" s="1">
        <v>303</v>
      </c>
      <c r="G116" s="1">
        <v>10</v>
      </c>
      <c r="H116" s="2">
        <v>46149</v>
      </c>
      <c r="I116" s="2">
        <v>46157</v>
      </c>
      <c r="J116" s="1" t="s">
        <v>29</v>
      </c>
      <c r="K116" s="1">
        <v>1115</v>
      </c>
      <c r="L116" s="1">
        <f t="shared" si="0"/>
        <v>2727</v>
      </c>
    </row>
    <row r="117" spans="1:12" x14ac:dyDescent="0.3">
      <c r="A117" s="1" t="s">
        <v>16</v>
      </c>
      <c r="B117" s="1" t="s">
        <v>25</v>
      </c>
      <c r="C117" s="1" t="s">
        <v>18</v>
      </c>
      <c r="D117" s="1" t="s">
        <v>56</v>
      </c>
      <c r="E117" s="1">
        <v>2</v>
      </c>
      <c r="F117" s="1">
        <v>12692</v>
      </c>
      <c r="G117" s="1">
        <v>15</v>
      </c>
      <c r="H117" s="2">
        <v>46049</v>
      </c>
      <c r="I117" s="2">
        <v>46051</v>
      </c>
      <c r="J117" s="1" t="s">
        <v>15</v>
      </c>
      <c r="K117" s="1">
        <v>1116</v>
      </c>
      <c r="L117" s="1">
        <f t="shared" si="0"/>
        <v>25384</v>
      </c>
    </row>
    <row r="118" spans="1:12" x14ac:dyDescent="0.3">
      <c r="A118" s="1" t="s">
        <v>55</v>
      </c>
      <c r="B118" s="1" t="s">
        <v>43</v>
      </c>
      <c r="C118" s="1" t="s">
        <v>34</v>
      </c>
      <c r="D118" s="1" t="s">
        <v>39</v>
      </c>
      <c r="E118" s="1">
        <v>16</v>
      </c>
      <c r="F118" s="1">
        <v>33162</v>
      </c>
      <c r="G118" s="1">
        <v>7</v>
      </c>
      <c r="H118" s="2">
        <v>46147</v>
      </c>
      <c r="I118" s="2">
        <v>46155</v>
      </c>
      <c r="J118" s="1" t="s">
        <v>29</v>
      </c>
      <c r="K118" s="1">
        <v>1117</v>
      </c>
      <c r="L118" s="1">
        <f t="shared" si="0"/>
        <v>530592</v>
      </c>
    </row>
    <row r="119" spans="1:12" x14ac:dyDescent="0.3">
      <c r="A119" s="1" t="s">
        <v>21</v>
      </c>
      <c r="B119" s="1" t="s">
        <v>22</v>
      </c>
      <c r="C119" s="1" t="s">
        <v>18</v>
      </c>
      <c r="D119" s="1" t="s">
        <v>23</v>
      </c>
      <c r="E119" s="1">
        <v>18</v>
      </c>
      <c r="F119" s="1">
        <v>9118</v>
      </c>
      <c r="G119" s="1">
        <v>5</v>
      </c>
      <c r="H119" s="2">
        <v>46178</v>
      </c>
      <c r="I119" s="2">
        <v>46187</v>
      </c>
      <c r="J119" s="1" t="s">
        <v>29</v>
      </c>
      <c r="K119" s="1">
        <v>1118</v>
      </c>
      <c r="L119" s="1">
        <f t="shared" si="0"/>
        <v>164124</v>
      </c>
    </row>
    <row r="120" spans="1:12" x14ac:dyDescent="0.3">
      <c r="A120" s="1" t="s">
        <v>30</v>
      </c>
      <c r="B120" s="1" t="s">
        <v>43</v>
      </c>
      <c r="C120" s="1" t="s">
        <v>18</v>
      </c>
      <c r="D120" s="1" t="s">
        <v>28</v>
      </c>
      <c r="E120" s="1">
        <v>2</v>
      </c>
      <c r="F120" s="1">
        <v>3706</v>
      </c>
      <c r="G120" s="1">
        <v>5</v>
      </c>
      <c r="H120" s="2">
        <v>46184</v>
      </c>
      <c r="I120" s="2">
        <v>46192</v>
      </c>
      <c r="J120" s="1" t="s">
        <v>51</v>
      </c>
      <c r="K120" s="1">
        <v>1119</v>
      </c>
      <c r="L120" s="1">
        <f t="shared" si="0"/>
        <v>7412</v>
      </c>
    </row>
    <row r="121" spans="1:12" x14ac:dyDescent="0.3">
      <c r="A121" s="1" t="s">
        <v>32</v>
      </c>
      <c r="B121" s="1" t="s">
        <v>38</v>
      </c>
      <c r="C121" s="1" t="s">
        <v>13</v>
      </c>
      <c r="D121" s="1" t="s">
        <v>36</v>
      </c>
      <c r="E121" s="1">
        <v>10</v>
      </c>
      <c r="F121" s="1">
        <v>438</v>
      </c>
      <c r="G121" s="1">
        <v>10</v>
      </c>
      <c r="H121" s="2">
        <v>46061</v>
      </c>
      <c r="I121" s="2">
        <v>46065</v>
      </c>
      <c r="J121" s="1" t="s">
        <v>51</v>
      </c>
      <c r="K121" s="1">
        <v>1120</v>
      </c>
      <c r="L121" s="1">
        <f t="shared" si="0"/>
        <v>4380</v>
      </c>
    </row>
    <row r="122" spans="1:12" x14ac:dyDescent="0.3">
      <c r="A122" s="1" t="s">
        <v>29</v>
      </c>
      <c r="B122" s="1" t="s">
        <v>12</v>
      </c>
      <c r="C122" s="1" t="s">
        <v>34</v>
      </c>
      <c r="D122" s="1" t="s">
        <v>39</v>
      </c>
      <c r="E122" s="1">
        <v>4</v>
      </c>
      <c r="F122" s="1">
        <v>55809</v>
      </c>
      <c r="G122" s="1">
        <v>2</v>
      </c>
      <c r="H122" s="2">
        <v>46103</v>
      </c>
      <c r="I122" s="2">
        <v>46108</v>
      </c>
      <c r="J122" s="1" t="s">
        <v>29</v>
      </c>
      <c r="K122" s="1">
        <v>1121</v>
      </c>
      <c r="L122" s="1">
        <f t="shared" si="0"/>
        <v>223236</v>
      </c>
    </row>
    <row r="123" spans="1:12" x14ac:dyDescent="0.3">
      <c r="A123" s="1" t="s">
        <v>40</v>
      </c>
      <c r="B123" s="1" t="s">
        <v>22</v>
      </c>
      <c r="C123" s="1" t="s">
        <v>34</v>
      </c>
      <c r="D123" s="1" t="s">
        <v>39</v>
      </c>
      <c r="E123" s="1">
        <v>14</v>
      </c>
      <c r="F123" s="1">
        <v>49990</v>
      </c>
      <c r="G123" s="1">
        <v>10</v>
      </c>
      <c r="H123" s="2">
        <v>46132</v>
      </c>
      <c r="I123" s="2">
        <v>46135</v>
      </c>
      <c r="J123" s="1" t="s">
        <v>29</v>
      </c>
      <c r="K123" s="1">
        <v>1122</v>
      </c>
      <c r="L123" s="1">
        <f t="shared" si="0"/>
        <v>699860</v>
      </c>
    </row>
    <row r="124" spans="1:12" x14ac:dyDescent="0.3">
      <c r="A124" s="1" t="s">
        <v>32</v>
      </c>
      <c r="B124" s="1" t="s">
        <v>31</v>
      </c>
      <c r="C124" s="1" t="s">
        <v>34</v>
      </c>
      <c r="D124" s="1" t="s">
        <v>45</v>
      </c>
      <c r="E124" s="1">
        <v>16</v>
      </c>
      <c r="F124" s="1">
        <v>1332</v>
      </c>
      <c r="G124" s="1">
        <v>7</v>
      </c>
      <c r="H124" s="2">
        <v>46107</v>
      </c>
      <c r="I124" s="2">
        <v>46109</v>
      </c>
      <c r="J124" s="1" t="s">
        <v>29</v>
      </c>
      <c r="K124" s="1">
        <v>1123</v>
      </c>
      <c r="L124" s="1">
        <f t="shared" si="0"/>
        <v>21312</v>
      </c>
    </row>
    <row r="125" spans="1:12" x14ac:dyDescent="0.3">
      <c r="A125" s="1" t="s">
        <v>27</v>
      </c>
      <c r="B125" s="1" t="s">
        <v>38</v>
      </c>
      <c r="C125" s="1" t="s">
        <v>18</v>
      </c>
      <c r="D125" s="1" t="s">
        <v>56</v>
      </c>
      <c r="E125" s="1">
        <v>4</v>
      </c>
      <c r="F125" s="1">
        <v>14195</v>
      </c>
      <c r="G125" s="1">
        <v>15</v>
      </c>
      <c r="H125" s="2">
        <v>46182</v>
      </c>
      <c r="I125" s="2">
        <v>46189</v>
      </c>
      <c r="J125" s="1" t="s">
        <v>51</v>
      </c>
      <c r="K125" s="1">
        <v>1124</v>
      </c>
      <c r="L125" s="1">
        <f t="shared" si="0"/>
        <v>56780</v>
      </c>
    </row>
    <row r="126" spans="1:12" x14ac:dyDescent="0.3">
      <c r="A126" s="1" t="s">
        <v>49</v>
      </c>
      <c r="B126" s="1" t="s">
        <v>33</v>
      </c>
      <c r="C126" s="1" t="s">
        <v>13</v>
      </c>
      <c r="D126" s="1" t="s">
        <v>14</v>
      </c>
      <c r="E126" s="1">
        <v>6</v>
      </c>
      <c r="F126" s="1">
        <v>30</v>
      </c>
      <c r="G126" s="1">
        <v>2</v>
      </c>
      <c r="H126" s="2">
        <v>46133</v>
      </c>
      <c r="I126" s="2">
        <v>46138</v>
      </c>
      <c r="J126" s="1" t="s">
        <v>24</v>
      </c>
      <c r="K126" s="1">
        <v>1125</v>
      </c>
      <c r="L126" s="1">
        <f t="shared" si="0"/>
        <v>180</v>
      </c>
    </row>
    <row r="127" spans="1:12" x14ac:dyDescent="0.3">
      <c r="A127" s="1" t="s">
        <v>46</v>
      </c>
      <c r="B127" s="1" t="s">
        <v>22</v>
      </c>
      <c r="C127" s="1" t="s">
        <v>34</v>
      </c>
      <c r="D127" s="1" t="s">
        <v>39</v>
      </c>
      <c r="E127" s="1">
        <v>17</v>
      </c>
      <c r="F127" s="1">
        <v>19390</v>
      </c>
      <c r="G127" s="1">
        <v>12</v>
      </c>
      <c r="H127" s="2">
        <v>46201</v>
      </c>
      <c r="I127" s="2">
        <v>46206</v>
      </c>
      <c r="J127" s="1" t="s">
        <v>29</v>
      </c>
      <c r="K127" s="1">
        <v>1126</v>
      </c>
      <c r="L127" s="1">
        <f t="shared" si="0"/>
        <v>329630</v>
      </c>
    </row>
    <row r="128" spans="1:12" x14ac:dyDescent="0.3">
      <c r="A128" s="1" t="s">
        <v>26</v>
      </c>
      <c r="B128" s="1" t="s">
        <v>33</v>
      </c>
      <c r="C128" s="1" t="s">
        <v>18</v>
      </c>
      <c r="D128" s="1" t="s">
        <v>28</v>
      </c>
      <c r="E128" s="1">
        <v>15</v>
      </c>
      <c r="F128" s="1">
        <v>11694</v>
      </c>
      <c r="G128" s="1">
        <v>12</v>
      </c>
      <c r="H128" s="2">
        <v>46170</v>
      </c>
      <c r="I128" s="2">
        <v>46179</v>
      </c>
      <c r="J128" s="1" t="s">
        <v>29</v>
      </c>
      <c r="K128" s="1">
        <v>1127</v>
      </c>
      <c r="L128" s="1">
        <f t="shared" si="0"/>
        <v>175410</v>
      </c>
    </row>
    <row r="129" spans="1:12" x14ac:dyDescent="0.3">
      <c r="A129" s="1" t="s">
        <v>30</v>
      </c>
      <c r="B129" s="1" t="s">
        <v>22</v>
      </c>
      <c r="C129" s="1" t="s">
        <v>34</v>
      </c>
      <c r="D129" s="1" t="s">
        <v>61</v>
      </c>
      <c r="E129" s="1">
        <v>6</v>
      </c>
      <c r="F129" s="1">
        <v>5001</v>
      </c>
      <c r="G129" s="1">
        <v>7</v>
      </c>
      <c r="H129" s="2">
        <v>46044</v>
      </c>
      <c r="I129" s="2">
        <v>46050</v>
      </c>
      <c r="J129" s="1" t="s">
        <v>29</v>
      </c>
      <c r="K129" s="1">
        <v>1128</v>
      </c>
      <c r="L129" s="1">
        <f t="shared" si="0"/>
        <v>30006</v>
      </c>
    </row>
    <row r="130" spans="1:12" x14ac:dyDescent="0.3">
      <c r="A130" s="1" t="s">
        <v>58</v>
      </c>
      <c r="B130" s="1" t="s">
        <v>17</v>
      </c>
      <c r="C130" s="1" t="s">
        <v>13</v>
      </c>
      <c r="D130" s="1" t="s">
        <v>50</v>
      </c>
      <c r="E130" s="1">
        <v>15</v>
      </c>
      <c r="F130" s="1">
        <v>75</v>
      </c>
      <c r="G130" s="1">
        <v>7</v>
      </c>
      <c r="H130" s="2">
        <v>46160</v>
      </c>
      <c r="I130" s="2">
        <v>46164</v>
      </c>
      <c r="J130" s="1" t="s">
        <v>29</v>
      </c>
      <c r="K130" s="1">
        <v>1129</v>
      </c>
      <c r="L130" s="1">
        <f t="shared" si="0"/>
        <v>1125</v>
      </c>
    </row>
    <row r="131" spans="1:12" x14ac:dyDescent="0.3">
      <c r="A131" s="1" t="s">
        <v>48</v>
      </c>
      <c r="B131" s="1" t="s">
        <v>33</v>
      </c>
      <c r="C131" s="1" t="s">
        <v>13</v>
      </c>
      <c r="D131" s="1" t="s">
        <v>14</v>
      </c>
      <c r="E131" s="1">
        <v>12</v>
      </c>
      <c r="F131" s="1">
        <v>50</v>
      </c>
      <c r="G131" s="1">
        <v>2</v>
      </c>
      <c r="H131" s="2">
        <v>46125</v>
      </c>
      <c r="I131" s="2">
        <v>46131</v>
      </c>
      <c r="J131" s="1" t="s">
        <v>24</v>
      </c>
      <c r="K131" s="1">
        <v>1130</v>
      </c>
      <c r="L131" s="1">
        <f t="shared" si="0"/>
        <v>600</v>
      </c>
    </row>
    <row r="132" spans="1:12" x14ac:dyDescent="0.3">
      <c r="A132" s="1" t="s">
        <v>21</v>
      </c>
      <c r="B132" s="1" t="s">
        <v>31</v>
      </c>
      <c r="C132" s="1" t="s">
        <v>18</v>
      </c>
      <c r="D132" s="1" t="s">
        <v>23</v>
      </c>
      <c r="E132" s="1">
        <v>13</v>
      </c>
      <c r="F132" s="1">
        <v>3083</v>
      </c>
      <c r="G132" s="1">
        <v>7</v>
      </c>
      <c r="H132" s="2">
        <v>46168</v>
      </c>
      <c r="I132" s="2">
        <v>46173</v>
      </c>
      <c r="J132" s="1" t="s">
        <v>51</v>
      </c>
      <c r="K132" s="1">
        <v>1131</v>
      </c>
      <c r="L132" s="1">
        <f t="shared" si="0"/>
        <v>40079</v>
      </c>
    </row>
    <row r="133" spans="1:12" x14ac:dyDescent="0.3">
      <c r="A133" s="1" t="s">
        <v>11</v>
      </c>
      <c r="B133" s="1" t="s">
        <v>31</v>
      </c>
      <c r="C133" s="1" t="s">
        <v>13</v>
      </c>
      <c r="D133" s="1" t="s">
        <v>50</v>
      </c>
      <c r="E133" s="1">
        <v>10</v>
      </c>
      <c r="F133" s="1">
        <v>270</v>
      </c>
      <c r="G133" s="1">
        <v>7</v>
      </c>
      <c r="H133" s="2">
        <v>46024</v>
      </c>
      <c r="I133" s="2">
        <v>46034</v>
      </c>
      <c r="J133" s="1" t="s">
        <v>24</v>
      </c>
      <c r="K133" s="1">
        <v>1132</v>
      </c>
      <c r="L133" s="1">
        <f t="shared" si="0"/>
        <v>2700</v>
      </c>
    </row>
    <row r="134" spans="1:12" x14ac:dyDescent="0.3">
      <c r="A134" s="1" t="s">
        <v>11</v>
      </c>
      <c r="B134" s="1" t="s">
        <v>12</v>
      </c>
      <c r="C134" s="1" t="s">
        <v>18</v>
      </c>
      <c r="D134" s="1" t="s">
        <v>56</v>
      </c>
      <c r="E134" s="1">
        <v>6</v>
      </c>
      <c r="F134" s="1">
        <v>9037</v>
      </c>
      <c r="G134" s="1">
        <v>2</v>
      </c>
      <c r="H134" s="2">
        <v>46112</v>
      </c>
      <c r="I134" s="2">
        <v>46121</v>
      </c>
      <c r="J134" s="1" t="s">
        <v>51</v>
      </c>
      <c r="K134" s="1">
        <v>1133</v>
      </c>
      <c r="L134" s="1">
        <f t="shared" si="0"/>
        <v>54222</v>
      </c>
    </row>
    <row r="135" spans="1:12" x14ac:dyDescent="0.3">
      <c r="A135" s="1" t="s">
        <v>57</v>
      </c>
      <c r="B135" s="1" t="s">
        <v>31</v>
      </c>
      <c r="C135" s="1" t="s">
        <v>34</v>
      </c>
      <c r="D135" s="1" t="s">
        <v>61</v>
      </c>
      <c r="E135" s="1">
        <v>10</v>
      </c>
      <c r="F135" s="1">
        <v>29217</v>
      </c>
      <c r="G135" s="1">
        <v>15</v>
      </c>
      <c r="H135" s="2">
        <v>46148</v>
      </c>
      <c r="I135" s="2">
        <v>46150</v>
      </c>
      <c r="J135" s="1" t="s">
        <v>24</v>
      </c>
      <c r="K135" s="1">
        <v>1134</v>
      </c>
      <c r="L135" s="1">
        <f t="shared" si="0"/>
        <v>292170</v>
      </c>
    </row>
    <row r="136" spans="1:12" x14ac:dyDescent="0.3">
      <c r="A136" s="1" t="s">
        <v>49</v>
      </c>
      <c r="B136" s="1" t="s">
        <v>43</v>
      </c>
      <c r="C136" s="1" t="s">
        <v>34</v>
      </c>
      <c r="D136" s="1" t="s">
        <v>39</v>
      </c>
      <c r="E136" s="1">
        <v>14</v>
      </c>
      <c r="F136" s="1">
        <v>68534</v>
      </c>
      <c r="G136" s="1">
        <v>0</v>
      </c>
      <c r="H136" s="2">
        <v>46041</v>
      </c>
      <c r="I136" s="2">
        <v>46042</v>
      </c>
      <c r="J136" s="1" t="s">
        <v>15</v>
      </c>
      <c r="K136" s="1">
        <v>1135</v>
      </c>
      <c r="L136" s="1">
        <f t="shared" si="0"/>
        <v>959476</v>
      </c>
    </row>
    <row r="137" spans="1:12" x14ac:dyDescent="0.3">
      <c r="A137" s="1" t="s">
        <v>27</v>
      </c>
      <c r="B137" s="1" t="s">
        <v>43</v>
      </c>
      <c r="C137" s="1" t="s">
        <v>18</v>
      </c>
      <c r="D137" s="1" t="s">
        <v>56</v>
      </c>
      <c r="E137" s="1">
        <v>19</v>
      </c>
      <c r="F137" s="1">
        <v>14528</v>
      </c>
      <c r="G137" s="1">
        <v>12</v>
      </c>
      <c r="H137" s="2">
        <v>46056</v>
      </c>
      <c r="I137" s="2">
        <v>46062</v>
      </c>
      <c r="J137" s="1" t="s">
        <v>24</v>
      </c>
      <c r="K137" s="1">
        <v>1136</v>
      </c>
      <c r="L137" s="1">
        <f t="shared" si="0"/>
        <v>276032</v>
      </c>
    </row>
    <row r="138" spans="1:12" x14ac:dyDescent="0.3">
      <c r="A138" s="1" t="s">
        <v>52</v>
      </c>
      <c r="B138" s="1" t="s">
        <v>12</v>
      </c>
      <c r="C138" s="1" t="s">
        <v>13</v>
      </c>
      <c r="D138" s="1" t="s">
        <v>37</v>
      </c>
      <c r="E138" s="1">
        <v>16</v>
      </c>
      <c r="F138" s="1">
        <v>270</v>
      </c>
      <c r="G138" s="1">
        <v>10</v>
      </c>
      <c r="H138" s="2">
        <v>46184</v>
      </c>
      <c r="I138" s="2">
        <v>46190</v>
      </c>
      <c r="J138" s="1" t="s">
        <v>29</v>
      </c>
      <c r="K138" s="1">
        <v>1137</v>
      </c>
      <c r="L138" s="1">
        <f t="shared" si="0"/>
        <v>4320</v>
      </c>
    </row>
    <row r="139" spans="1:12" x14ac:dyDescent="0.3">
      <c r="A139" s="1" t="s">
        <v>55</v>
      </c>
      <c r="B139" s="1" t="s">
        <v>43</v>
      </c>
      <c r="C139" s="1" t="s">
        <v>18</v>
      </c>
      <c r="D139" s="1" t="s">
        <v>19</v>
      </c>
      <c r="E139" s="1">
        <v>5</v>
      </c>
      <c r="F139" s="1">
        <v>14466</v>
      </c>
      <c r="G139" s="1">
        <v>2</v>
      </c>
      <c r="H139" s="2">
        <v>46084</v>
      </c>
      <c r="I139" s="2">
        <v>46092</v>
      </c>
      <c r="J139" s="1" t="s">
        <v>51</v>
      </c>
      <c r="K139" s="1">
        <v>1138</v>
      </c>
      <c r="L139" s="1">
        <f t="shared" si="0"/>
        <v>72330</v>
      </c>
    </row>
    <row r="140" spans="1:12" x14ac:dyDescent="0.3">
      <c r="A140" s="1" t="s">
        <v>55</v>
      </c>
      <c r="B140" s="1" t="s">
        <v>33</v>
      </c>
      <c r="C140" s="1" t="s">
        <v>34</v>
      </c>
      <c r="D140" s="1" t="s">
        <v>61</v>
      </c>
      <c r="E140" s="1">
        <v>17</v>
      </c>
      <c r="F140" s="1">
        <v>28839</v>
      </c>
      <c r="G140" s="1">
        <v>10</v>
      </c>
      <c r="H140" s="2">
        <v>46093</v>
      </c>
      <c r="I140" s="2">
        <v>46099</v>
      </c>
      <c r="J140" s="1" t="s">
        <v>15</v>
      </c>
      <c r="K140" s="1">
        <v>1139</v>
      </c>
      <c r="L140" s="1">
        <f t="shared" si="0"/>
        <v>490263</v>
      </c>
    </row>
    <row r="141" spans="1:12" x14ac:dyDescent="0.3">
      <c r="A141" s="1" t="s">
        <v>57</v>
      </c>
      <c r="B141" s="1" t="s">
        <v>38</v>
      </c>
      <c r="C141" s="1" t="s">
        <v>34</v>
      </c>
      <c r="D141" s="1" t="s">
        <v>41</v>
      </c>
      <c r="E141" s="1">
        <v>5</v>
      </c>
      <c r="F141" s="1">
        <v>68012</v>
      </c>
      <c r="G141" s="1">
        <v>5</v>
      </c>
      <c r="H141" s="2">
        <v>46061</v>
      </c>
      <c r="I141" s="2">
        <v>46065</v>
      </c>
      <c r="J141" s="1" t="s">
        <v>15</v>
      </c>
      <c r="K141" s="1">
        <v>1140</v>
      </c>
      <c r="L141" s="1">
        <f t="shared" si="0"/>
        <v>340060</v>
      </c>
    </row>
    <row r="142" spans="1:12" x14ac:dyDescent="0.3">
      <c r="A142" s="1" t="s">
        <v>11</v>
      </c>
      <c r="B142" s="1" t="s">
        <v>17</v>
      </c>
      <c r="C142" s="1" t="s">
        <v>18</v>
      </c>
      <c r="D142" s="1" t="s">
        <v>44</v>
      </c>
      <c r="E142" s="1">
        <v>20</v>
      </c>
      <c r="F142" s="1">
        <v>6835</v>
      </c>
      <c r="G142" s="1">
        <v>2</v>
      </c>
      <c r="H142" s="2">
        <v>46043</v>
      </c>
      <c r="I142" s="2">
        <v>46053</v>
      </c>
      <c r="J142" s="1" t="s">
        <v>15</v>
      </c>
      <c r="K142" s="1">
        <v>1141</v>
      </c>
      <c r="L142" s="1">
        <f t="shared" si="0"/>
        <v>136700</v>
      </c>
    </row>
    <row r="143" spans="1:12" x14ac:dyDescent="0.3">
      <c r="A143" s="1" t="s">
        <v>40</v>
      </c>
      <c r="B143" s="1" t="s">
        <v>25</v>
      </c>
      <c r="C143" s="1" t="s">
        <v>34</v>
      </c>
      <c r="D143" s="1" t="s">
        <v>60</v>
      </c>
      <c r="E143" s="1">
        <v>9</v>
      </c>
      <c r="F143" s="1">
        <v>59788</v>
      </c>
      <c r="G143" s="1">
        <v>7</v>
      </c>
      <c r="H143" s="2">
        <v>46064</v>
      </c>
      <c r="I143" s="2">
        <v>46071</v>
      </c>
      <c r="J143" s="1" t="s">
        <v>29</v>
      </c>
      <c r="K143" s="1">
        <v>1142</v>
      </c>
      <c r="L143" s="1">
        <f t="shared" si="0"/>
        <v>538092</v>
      </c>
    </row>
    <row r="144" spans="1:12" x14ac:dyDescent="0.3">
      <c r="A144" s="1" t="s">
        <v>29</v>
      </c>
      <c r="B144" s="1" t="s">
        <v>17</v>
      </c>
      <c r="C144" s="1" t="s">
        <v>13</v>
      </c>
      <c r="D144" s="1" t="s">
        <v>37</v>
      </c>
      <c r="E144" s="1">
        <v>13</v>
      </c>
      <c r="F144" s="1">
        <v>456</v>
      </c>
      <c r="G144" s="1">
        <v>2</v>
      </c>
      <c r="H144" s="2">
        <v>46160</v>
      </c>
      <c r="I144" s="2">
        <v>46167</v>
      </c>
      <c r="J144" s="1" t="s">
        <v>24</v>
      </c>
      <c r="K144" s="1">
        <v>1143</v>
      </c>
      <c r="L144" s="1">
        <f t="shared" si="0"/>
        <v>5928</v>
      </c>
    </row>
    <row r="145" spans="1:12" x14ac:dyDescent="0.3">
      <c r="A145" s="1" t="s">
        <v>42</v>
      </c>
      <c r="B145" s="1" t="s">
        <v>25</v>
      </c>
      <c r="C145" s="1" t="s">
        <v>13</v>
      </c>
      <c r="D145" s="1" t="s">
        <v>14</v>
      </c>
      <c r="E145" s="1">
        <v>16</v>
      </c>
      <c r="F145" s="1">
        <v>219</v>
      </c>
      <c r="G145" s="1">
        <v>7</v>
      </c>
      <c r="H145" s="2">
        <v>46138</v>
      </c>
      <c r="I145" s="2">
        <v>46140</v>
      </c>
      <c r="J145" s="1" t="s">
        <v>20</v>
      </c>
      <c r="K145" s="1">
        <v>1144</v>
      </c>
      <c r="L145" s="1">
        <f t="shared" si="0"/>
        <v>3504</v>
      </c>
    </row>
    <row r="146" spans="1:12" x14ac:dyDescent="0.3">
      <c r="A146" s="1" t="s">
        <v>42</v>
      </c>
      <c r="B146" s="1" t="s">
        <v>33</v>
      </c>
      <c r="C146" s="1" t="s">
        <v>34</v>
      </c>
      <c r="D146" s="1" t="s">
        <v>39</v>
      </c>
      <c r="E146" s="1">
        <v>2</v>
      </c>
      <c r="F146" s="1">
        <v>34429</v>
      </c>
      <c r="G146" s="1">
        <v>12</v>
      </c>
      <c r="H146" s="2">
        <v>46102</v>
      </c>
      <c r="I146" s="2">
        <v>46112</v>
      </c>
      <c r="J146" s="1" t="s">
        <v>24</v>
      </c>
      <c r="K146" s="1">
        <v>1145</v>
      </c>
      <c r="L146" s="1">
        <f t="shared" si="0"/>
        <v>68858</v>
      </c>
    </row>
    <row r="147" spans="1:12" x14ac:dyDescent="0.3">
      <c r="A147" s="1" t="s">
        <v>16</v>
      </c>
      <c r="B147" s="1" t="s">
        <v>43</v>
      </c>
      <c r="C147" s="1" t="s">
        <v>34</v>
      </c>
      <c r="D147" s="1" t="s">
        <v>45</v>
      </c>
      <c r="E147" s="1">
        <v>7</v>
      </c>
      <c r="F147" s="1">
        <v>68217</v>
      </c>
      <c r="G147" s="1">
        <v>0</v>
      </c>
      <c r="H147" s="2">
        <v>46190</v>
      </c>
      <c r="I147" s="2">
        <v>46197</v>
      </c>
      <c r="J147" s="1" t="s">
        <v>29</v>
      </c>
      <c r="K147" s="1">
        <v>1146</v>
      </c>
      <c r="L147" s="1">
        <f t="shared" si="0"/>
        <v>477519</v>
      </c>
    </row>
    <row r="148" spans="1:12" x14ac:dyDescent="0.3">
      <c r="A148" s="1" t="s">
        <v>11</v>
      </c>
      <c r="B148" s="1" t="s">
        <v>22</v>
      </c>
      <c r="C148" s="1" t="s">
        <v>18</v>
      </c>
      <c r="D148" s="1" t="s">
        <v>28</v>
      </c>
      <c r="E148" s="1">
        <v>7</v>
      </c>
      <c r="F148" s="1">
        <v>9581</v>
      </c>
      <c r="G148" s="1">
        <v>5</v>
      </c>
      <c r="H148" s="2">
        <v>46154</v>
      </c>
      <c r="I148" s="2">
        <v>46155</v>
      </c>
      <c r="J148" s="1" t="s">
        <v>20</v>
      </c>
      <c r="K148" s="1">
        <v>1147</v>
      </c>
      <c r="L148" s="1">
        <f t="shared" si="0"/>
        <v>67067</v>
      </c>
    </row>
    <row r="149" spans="1:12" x14ac:dyDescent="0.3">
      <c r="A149" s="1" t="s">
        <v>59</v>
      </c>
      <c r="B149" s="1" t="s">
        <v>33</v>
      </c>
      <c r="C149" s="1" t="s">
        <v>18</v>
      </c>
      <c r="D149" s="1" t="s">
        <v>28</v>
      </c>
      <c r="E149" s="1">
        <v>11</v>
      </c>
      <c r="F149" s="1">
        <v>3023</v>
      </c>
      <c r="G149" s="1">
        <v>7</v>
      </c>
      <c r="H149" s="2">
        <v>46030</v>
      </c>
      <c r="I149" s="2">
        <v>46032</v>
      </c>
      <c r="J149" s="1" t="s">
        <v>24</v>
      </c>
      <c r="K149" s="1">
        <v>1148</v>
      </c>
      <c r="L149" s="1">
        <f t="shared" si="0"/>
        <v>33253</v>
      </c>
    </row>
    <row r="150" spans="1:12" x14ac:dyDescent="0.3">
      <c r="A150" s="1" t="s">
        <v>26</v>
      </c>
      <c r="B150" s="1" t="s">
        <v>38</v>
      </c>
      <c r="C150" s="1" t="s">
        <v>34</v>
      </c>
      <c r="D150" s="1" t="s">
        <v>35</v>
      </c>
      <c r="E150" s="1">
        <v>10</v>
      </c>
      <c r="F150" s="1">
        <v>22853</v>
      </c>
      <c r="G150" s="1">
        <v>7</v>
      </c>
      <c r="H150" s="2">
        <v>46053</v>
      </c>
      <c r="I150" s="2">
        <v>46054</v>
      </c>
      <c r="J150" s="1" t="s">
        <v>29</v>
      </c>
      <c r="K150" s="1">
        <v>1149</v>
      </c>
      <c r="L150" s="1">
        <f t="shared" si="0"/>
        <v>228530</v>
      </c>
    </row>
    <row r="151" spans="1:12" x14ac:dyDescent="0.3">
      <c r="A151" s="1" t="s">
        <v>42</v>
      </c>
      <c r="B151" s="1" t="s">
        <v>12</v>
      </c>
      <c r="C151" s="1" t="s">
        <v>18</v>
      </c>
      <c r="D151" s="1" t="s">
        <v>56</v>
      </c>
      <c r="E151" s="1">
        <v>10</v>
      </c>
      <c r="F151" s="1">
        <v>5323</v>
      </c>
      <c r="G151" s="1">
        <v>7</v>
      </c>
      <c r="H151" s="2">
        <v>46143</v>
      </c>
      <c r="I151" s="2">
        <v>46153</v>
      </c>
      <c r="J151" s="1" t="s">
        <v>24</v>
      </c>
      <c r="K151" s="1">
        <v>1150</v>
      </c>
      <c r="L151" s="1">
        <f t="shared" si="0"/>
        <v>53230</v>
      </c>
    </row>
    <row r="152" spans="1:12" x14ac:dyDescent="0.3">
      <c r="A152" s="1" t="s">
        <v>46</v>
      </c>
      <c r="B152" s="1" t="s">
        <v>43</v>
      </c>
      <c r="C152" s="1" t="s">
        <v>13</v>
      </c>
      <c r="D152" s="1" t="s">
        <v>50</v>
      </c>
      <c r="E152" s="1">
        <v>20</v>
      </c>
      <c r="F152" s="1">
        <v>272</v>
      </c>
      <c r="G152" s="1">
        <v>15</v>
      </c>
      <c r="H152" s="2">
        <v>46024</v>
      </c>
      <c r="I152" s="2">
        <v>46029</v>
      </c>
      <c r="J152" s="1" t="s">
        <v>51</v>
      </c>
      <c r="K152" s="1">
        <v>1151</v>
      </c>
      <c r="L152" s="1">
        <f t="shared" si="0"/>
        <v>5440</v>
      </c>
    </row>
    <row r="153" spans="1:12" x14ac:dyDescent="0.3">
      <c r="A153" s="1" t="s">
        <v>27</v>
      </c>
      <c r="B153" s="1" t="s">
        <v>31</v>
      </c>
      <c r="C153" s="1" t="s">
        <v>34</v>
      </c>
      <c r="D153" s="1" t="s">
        <v>61</v>
      </c>
      <c r="E153" s="1">
        <v>14</v>
      </c>
      <c r="F153" s="1">
        <v>8150</v>
      </c>
      <c r="G153" s="1">
        <v>10</v>
      </c>
      <c r="H153" s="2">
        <v>46062</v>
      </c>
      <c r="I153" s="2">
        <v>46070</v>
      </c>
      <c r="J153" s="1" t="s">
        <v>15</v>
      </c>
      <c r="K153" s="1">
        <v>1152</v>
      </c>
      <c r="L153" s="1">
        <f t="shared" si="0"/>
        <v>114100</v>
      </c>
    </row>
    <row r="154" spans="1:12" x14ac:dyDescent="0.3">
      <c r="A154" s="1" t="s">
        <v>42</v>
      </c>
      <c r="B154" s="1" t="s">
        <v>25</v>
      </c>
      <c r="C154" s="1" t="s">
        <v>18</v>
      </c>
      <c r="D154" s="1" t="s">
        <v>23</v>
      </c>
      <c r="E154" s="1">
        <v>19</v>
      </c>
      <c r="F154" s="1">
        <v>10273</v>
      </c>
      <c r="G154" s="1">
        <v>12</v>
      </c>
      <c r="H154" s="2">
        <v>46069</v>
      </c>
      <c r="I154" s="2">
        <v>46072</v>
      </c>
      <c r="J154" s="1" t="s">
        <v>29</v>
      </c>
      <c r="K154" s="1">
        <v>1153</v>
      </c>
      <c r="L154" s="1">
        <f t="shared" si="0"/>
        <v>195187</v>
      </c>
    </row>
    <row r="155" spans="1:12" x14ac:dyDescent="0.3">
      <c r="A155" s="1" t="s">
        <v>32</v>
      </c>
      <c r="B155" s="1" t="s">
        <v>17</v>
      </c>
      <c r="C155" s="1" t="s">
        <v>18</v>
      </c>
      <c r="D155" s="1" t="s">
        <v>56</v>
      </c>
      <c r="E155" s="1">
        <v>15</v>
      </c>
      <c r="F155" s="1">
        <v>6101</v>
      </c>
      <c r="G155" s="1">
        <v>0</v>
      </c>
      <c r="H155" s="2">
        <v>46178</v>
      </c>
      <c r="I155" s="2">
        <v>46183</v>
      </c>
      <c r="J155" s="1" t="s">
        <v>51</v>
      </c>
      <c r="K155" s="1">
        <v>1154</v>
      </c>
      <c r="L155" s="1">
        <f t="shared" si="0"/>
        <v>91515</v>
      </c>
    </row>
    <row r="156" spans="1:12" x14ac:dyDescent="0.3">
      <c r="A156" s="1" t="s">
        <v>11</v>
      </c>
      <c r="B156" s="1" t="s">
        <v>31</v>
      </c>
      <c r="C156" s="1" t="s">
        <v>18</v>
      </c>
      <c r="D156" s="1" t="s">
        <v>28</v>
      </c>
      <c r="E156" s="1">
        <v>13</v>
      </c>
      <c r="F156" s="1">
        <v>4341</v>
      </c>
      <c r="G156" s="1">
        <v>15</v>
      </c>
      <c r="H156" s="2">
        <v>46093</v>
      </c>
      <c r="I156" s="2">
        <v>46096</v>
      </c>
      <c r="J156" s="1" t="s">
        <v>24</v>
      </c>
      <c r="K156" s="1">
        <v>1155</v>
      </c>
      <c r="L156" s="1">
        <f t="shared" si="0"/>
        <v>56433</v>
      </c>
    </row>
    <row r="157" spans="1:12" x14ac:dyDescent="0.3">
      <c r="A157" s="1" t="s">
        <v>54</v>
      </c>
      <c r="B157" s="1" t="s">
        <v>38</v>
      </c>
      <c r="C157" s="1" t="s">
        <v>13</v>
      </c>
      <c r="D157" s="1" t="s">
        <v>36</v>
      </c>
      <c r="E157" s="1">
        <v>5</v>
      </c>
      <c r="F157" s="1">
        <v>466</v>
      </c>
      <c r="G157" s="1">
        <v>15</v>
      </c>
      <c r="H157" s="2">
        <v>46025</v>
      </c>
      <c r="I157" s="2">
        <v>46029</v>
      </c>
      <c r="J157" s="1" t="s">
        <v>15</v>
      </c>
      <c r="K157" s="1">
        <v>1156</v>
      </c>
      <c r="L157" s="1">
        <f t="shared" si="0"/>
        <v>2330</v>
      </c>
    </row>
    <row r="158" spans="1:12" x14ac:dyDescent="0.3">
      <c r="A158" s="1" t="s">
        <v>52</v>
      </c>
      <c r="B158" s="1" t="s">
        <v>33</v>
      </c>
      <c r="C158" s="1" t="s">
        <v>13</v>
      </c>
      <c r="D158" s="1" t="s">
        <v>50</v>
      </c>
      <c r="E158" s="1">
        <v>3</v>
      </c>
      <c r="F158" s="1">
        <v>203</v>
      </c>
      <c r="G158" s="1">
        <v>15</v>
      </c>
      <c r="H158" s="2">
        <v>46076</v>
      </c>
      <c r="I158" s="2">
        <v>46080</v>
      </c>
      <c r="J158" s="1" t="s">
        <v>29</v>
      </c>
      <c r="K158" s="1">
        <v>1157</v>
      </c>
      <c r="L158" s="1">
        <f t="shared" si="0"/>
        <v>609</v>
      </c>
    </row>
    <row r="159" spans="1:12" x14ac:dyDescent="0.3">
      <c r="A159" s="1" t="s">
        <v>26</v>
      </c>
      <c r="B159" s="1" t="s">
        <v>38</v>
      </c>
      <c r="C159" s="1" t="s">
        <v>34</v>
      </c>
      <c r="D159" s="1" t="s">
        <v>41</v>
      </c>
      <c r="E159" s="1">
        <v>13</v>
      </c>
      <c r="F159" s="1">
        <v>12518</v>
      </c>
      <c r="G159" s="1">
        <v>2</v>
      </c>
      <c r="H159" s="2">
        <v>46079</v>
      </c>
      <c r="I159" s="2">
        <v>46082</v>
      </c>
      <c r="J159" s="1" t="s">
        <v>51</v>
      </c>
      <c r="K159" s="1">
        <v>1158</v>
      </c>
      <c r="L159" s="1">
        <f t="shared" si="0"/>
        <v>162734</v>
      </c>
    </row>
    <row r="160" spans="1:12" x14ac:dyDescent="0.3">
      <c r="A160" s="1" t="s">
        <v>32</v>
      </c>
      <c r="B160" s="1" t="s">
        <v>43</v>
      </c>
      <c r="C160" s="1" t="s">
        <v>18</v>
      </c>
      <c r="D160" s="1" t="s">
        <v>28</v>
      </c>
      <c r="E160" s="1">
        <v>20</v>
      </c>
      <c r="F160" s="1">
        <v>14000</v>
      </c>
      <c r="G160" s="1">
        <v>15</v>
      </c>
      <c r="H160" s="2">
        <v>46184</v>
      </c>
      <c r="I160" s="2">
        <v>46187</v>
      </c>
      <c r="J160" s="1" t="s">
        <v>15</v>
      </c>
      <c r="K160" s="1">
        <v>1159</v>
      </c>
      <c r="L160" s="1">
        <f t="shared" si="0"/>
        <v>280000</v>
      </c>
    </row>
    <row r="161" spans="1:12" x14ac:dyDescent="0.3">
      <c r="A161" s="1" t="s">
        <v>59</v>
      </c>
      <c r="B161" s="1" t="s">
        <v>22</v>
      </c>
      <c r="C161" s="1" t="s">
        <v>34</v>
      </c>
      <c r="D161" s="1" t="s">
        <v>39</v>
      </c>
      <c r="E161" s="1">
        <v>7</v>
      </c>
      <c r="F161" s="1">
        <v>53986</v>
      </c>
      <c r="G161" s="1">
        <v>10</v>
      </c>
      <c r="H161" s="2">
        <v>46142</v>
      </c>
      <c r="I161" s="2">
        <v>46147</v>
      </c>
      <c r="J161" s="1" t="s">
        <v>51</v>
      </c>
      <c r="K161" s="1">
        <v>1160</v>
      </c>
      <c r="L161" s="1">
        <f t="shared" si="0"/>
        <v>377902</v>
      </c>
    </row>
    <row r="162" spans="1:12" x14ac:dyDescent="0.3">
      <c r="A162" s="1" t="s">
        <v>27</v>
      </c>
      <c r="B162" s="1" t="s">
        <v>25</v>
      </c>
      <c r="C162" s="1" t="s">
        <v>34</v>
      </c>
      <c r="D162" s="1" t="s">
        <v>39</v>
      </c>
      <c r="E162" s="1">
        <v>4</v>
      </c>
      <c r="F162" s="1">
        <v>54659</v>
      </c>
      <c r="G162" s="1">
        <v>7</v>
      </c>
      <c r="H162" s="2">
        <v>46105</v>
      </c>
      <c r="I162" s="2">
        <v>46109</v>
      </c>
      <c r="J162" s="1" t="s">
        <v>20</v>
      </c>
      <c r="K162" s="1">
        <v>1161</v>
      </c>
      <c r="L162" s="1">
        <f t="shared" si="0"/>
        <v>218636</v>
      </c>
    </row>
    <row r="163" spans="1:12" x14ac:dyDescent="0.3">
      <c r="A163" s="1" t="s">
        <v>57</v>
      </c>
      <c r="B163" s="1" t="s">
        <v>31</v>
      </c>
      <c r="C163" s="1" t="s">
        <v>34</v>
      </c>
      <c r="D163" s="1" t="s">
        <v>45</v>
      </c>
      <c r="E163" s="1">
        <v>2</v>
      </c>
      <c r="F163" s="1">
        <v>28176</v>
      </c>
      <c r="G163" s="1">
        <v>10</v>
      </c>
      <c r="H163" s="2">
        <v>46100</v>
      </c>
      <c r="I163" s="2">
        <v>46101</v>
      </c>
      <c r="J163" s="1" t="s">
        <v>20</v>
      </c>
      <c r="K163" s="1">
        <v>1162</v>
      </c>
      <c r="L163" s="1">
        <f t="shared" si="0"/>
        <v>56352</v>
      </c>
    </row>
    <row r="164" spans="1:12" x14ac:dyDescent="0.3">
      <c r="A164" s="1" t="s">
        <v>29</v>
      </c>
      <c r="B164" s="1" t="s">
        <v>38</v>
      </c>
      <c r="C164" s="1" t="s">
        <v>34</v>
      </c>
      <c r="D164" s="1" t="s">
        <v>39</v>
      </c>
      <c r="E164" s="1">
        <v>9</v>
      </c>
      <c r="F164" s="1">
        <v>62440</v>
      </c>
      <c r="G164" s="1">
        <v>2</v>
      </c>
      <c r="H164" s="2">
        <v>46081</v>
      </c>
      <c r="I164" s="2">
        <v>46086</v>
      </c>
      <c r="J164" s="1" t="s">
        <v>29</v>
      </c>
      <c r="K164" s="1">
        <v>1163</v>
      </c>
      <c r="L164" s="1">
        <f t="shared" si="0"/>
        <v>561960</v>
      </c>
    </row>
    <row r="165" spans="1:12" x14ac:dyDescent="0.3">
      <c r="A165" s="1" t="s">
        <v>40</v>
      </c>
      <c r="B165" s="1" t="s">
        <v>43</v>
      </c>
      <c r="C165" s="1" t="s">
        <v>34</v>
      </c>
      <c r="D165" s="1" t="s">
        <v>61</v>
      </c>
      <c r="E165" s="1">
        <v>7</v>
      </c>
      <c r="F165" s="1">
        <v>24615</v>
      </c>
      <c r="G165" s="1">
        <v>12</v>
      </c>
      <c r="H165" s="2">
        <v>46196</v>
      </c>
      <c r="I165" s="2">
        <v>46203</v>
      </c>
      <c r="J165" s="1" t="s">
        <v>51</v>
      </c>
      <c r="K165" s="1">
        <v>1164</v>
      </c>
      <c r="L165" s="1">
        <f t="shared" si="0"/>
        <v>172305</v>
      </c>
    </row>
    <row r="166" spans="1:12" x14ac:dyDescent="0.3">
      <c r="A166" s="1" t="s">
        <v>48</v>
      </c>
      <c r="B166" s="1" t="s">
        <v>25</v>
      </c>
      <c r="C166" s="1" t="s">
        <v>13</v>
      </c>
      <c r="D166" s="1" t="s">
        <v>37</v>
      </c>
      <c r="E166" s="1">
        <v>1</v>
      </c>
      <c r="F166" s="1">
        <v>427</v>
      </c>
      <c r="G166" s="1">
        <v>0</v>
      </c>
      <c r="H166" s="2">
        <v>46042</v>
      </c>
      <c r="I166" s="2">
        <v>46050</v>
      </c>
      <c r="J166" s="1" t="s">
        <v>51</v>
      </c>
      <c r="K166" s="1">
        <v>1165</v>
      </c>
      <c r="L166" s="1">
        <f t="shared" si="0"/>
        <v>427</v>
      </c>
    </row>
    <row r="167" spans="1:12" x14ac:dyDescent="0.3">
      <c r="A167" s="1" t="s">
        <v>32</v>
      </c>
      <c r="B167" s="1" t="s">
        <v>31</v>
      </c>
      <c r="C167" s="1" t="s">
        <v>13</v>
      </c>
      <c r="D167" s="1" t="s">
        <v>37</v>
      </c>
      <c r="E167" s="1">
        <v>1</v>
      </c>
      <c r="F167" s="1">
        <v>396</v>
      </c>
      <c r="G167" s="1">
        <v>5</v>
      </c>
      <c r="H167" s="2">
        <v>46092</v>
      </c>
      <c r="I167" s="2">
        <v>46093</v>
      </c>
      <c r="J167" s="1" t="s">
        <v>20</v>
      </c>
      <c r="K167" s="1">
        <v>1166</v>
      </c>
      <c r="L167" s="1">
        <f t="shared" si="0"/>
        <v>396</v>
      </c>
    </row>
    <row r="168" spans="1:12" x14ac:dyDescent="0.3">
      <c r="A168" s="1" t="s">
        <v>48</v>
      </c>
      <c r="B168" s="1" t="s">
        <v>17</v>
      </c>
      <c r="C168" s="1" t="s">
        <v>13</v>
      </c>
      <c r="D168" s="1" t="s">
        <v>37</v>
      </c>
      <c r="E168" s="1">
        <v>20</v>
      </c>
      <c r="F168" s="1">
        <v>251</v>
      </c>
      <c r="G168" s="1">
        <v>5</v>
      </c>
      <c r="H168" s="2">
        <v>46160</v>
      </c>
      <c r="I168" s="2">
        <v>46170</v>
      </c>
      <c r="J168" s="1" t="s">
        <v>29</v>
      </c>
      <c r="K168" s="1">
        <v>1167</v>
      </c>
      <c r="L168" s="1">
        <f t="shared" si="0"/>
        <v>5020</v>
      </c>
    </row>
    <row r="169" spans="1:12" x14ac:dyDescent="0.3">
      <c r="A169" s="1" t="s">
        <v>54</v>
      </c>
      <c r="B169" s="1" t="s">
        <v>12</v>
      </c>
      <c r="C169" s="1" t="s">
        <v>13</v>
      </c>
      <c r="D169" s="1" t="s">
        <v>37</v>
      </c>
      <c r="E169" s="1">
        <v>18</v>
      </c>
      <c r="F169" s="1">
        <v>335</v>
      </c>
      <c r="G169" s="1">
        <v>15</v>
      </c>
      <c r="H169" s="2">
        <v>46130</v>
      </c>
      <c r="I169" s="2">
        <v>46140</v>
      </c>
      <c r="J169" s="1" t="s">
        <v>29</v>
      </c>
      <c r="K169" s="1">
        <v>1168</v>
      </c>
      <c r="L169" s="1">
        <f t="shared" si="0"/>
        <v>6030</v>
      </c>
    </row>
    <row r="170" spans="1:12" x14ac:dyDescent="0.3">
      <c r="A170" s="1" t="s">
        <v>47</v>
      </c>
      <c r="B170" s="1" t="s">
        <v>12</v>
      </c>
      <c r="C170" s="1" t="s">
        <v>18</v>
      </c>
      <c r="D170" s="1" t="s">
        <v>56</v>
      </c>
      <c r="E170" s="1">
        <v>12</v>
      </c>
      <c r="F170" s="1">
        <v>12104</v>
      </c>
      <c r="G170" s="1">
        <v>7</v>
      </c>
      <c r="H170" s="2">
        <v>46121</v>
      </c>
      <c r="I170" s="2">
        <v>46130</v>
      </c>
      <c r="J170" s="1" t="s">
        <v>24</v>
      </c>
      <c r="K170" s="1">
        <v>1169</v>
      </c>
      <c r="L170" s="1">
        <f t="shared" si="0"/>
        <v>145248</v>
      </c>
    </row>
    <row r="171" spans="1:12" x14ac:dyDescent="0.3">
      <c r="A171" s="1" t="s">
        <v>49</v>
      </c>
      <c r="B171" s="1" t="s">
        <v>38</v>
      </c>
      <c r="C171" s="1" t="s">
        <v>13</v>
      </c>
      <c r="D171" s="1" t="s">
        <v>14</v>
      </c>
      <c r="E171" s="1">
        <v>6</v>
      </c>
      <c r="F171" s="1">
        <v>339</v>
      </c>
      <c r="G171" s="1">
        <v>12</v>
      </c>
      <c r="H171" s="2">
        <v>46105</v>
      </c>
      <c r="I171" s="2">
        <v>46106</v>
      </c>
      <c r="J171" s="1" t="s">
        <v>24</v>
      </c>
      <c r="K171" s="1">
        <v>1170</v>
      </c>
      <c r="L171" s="1">
        <f t="shared" si="0"/>
        <v>2034</v>
      </c>
    </row>
    <row r="172" spans="1:12" x14ac:dyDescent="0.3">
      <c r="A172" s="1" t="s">
        <v>57</v>
      </c>
      <c r="B172" s="1" t="s">
        <v>25</v>
      </c>
      <c r="C172" s="1" t="s">
        <v>13</v>
      </c>
      <c r="D172" s="1" t="s">
        <v>50</v>
      </c>
      <c r="E172" s="1">
        <v>17</v>
      </c>
      <c r="F172" s="1">
        <v>147</v>
      </c>
      <c r="G172" s="1">
        <v>12</v>
      </c>
      <c r="H172" s="2">
        <v>46155</v>
      </c>
      <c r="I172" s="2">
        <v>46160</v>
      </c>
      <c r="J172" s="1" t="s">
        <v>20</v>
      </c>
      <c r="K172" s="1">
        <v>1171</v>
      </c>
      <c r="L172" s="1">
        <f t="shared" si="0"/>
        <v>2499</v>
      </c>
    </row>
    <row r="173" spans="1:12" x14ac:dyDescent="0.3">
      <c r="A173" s="1" t="s">
        <v>16</v>
      </c>
      <c r="B173" s="1" t="s">
        <v>12</v>
      </c>
      <c r="C173" s="1" t="s">
        <v>34</v>
      </c>
      <c r="D173" s="1" t="s">
        <v>45</v>
      </c>
      <c r="E173" s="1">
        <v>13</v>
      </c>
      <c r="F173" s="1">
        <v>43163</v>
      </c>
      <c r="G173" s="1">
        <v>12</v>
      </c>
      <c r="H173" s="2">
        <v>46120</v>
      </c>
      <c r="I173" s="2">
        <v>46129</v>
      </c>
      <c r="J173" s="1" t="s">
        <v>24</v>
      </c>
      <c r="K173" s="1">
        <v>1172</v>
      </c>
      <c r="L173" s="1">
        <f t="shared" si="0"/>
        <v>561119</v>
      </c>
    </row>
    <row r="174" spans="1:12" x14ac:dyDescent="0.3">
      <c r="A174" s="1" t="s">
        <v>40</v>
      </c>
      <c r="B174" s="1" t="s">
        <v>17</v>
      </c>
      <c r="C174" s="1" t="s">
        <v>13</v>
      </c>
      <c r="D174" s="1" t="s">
        <v>37</v>
      </c>
      <c r="E174" s="1">
        <v>15</v>
      </c>
      <c r="F174" s="1">
        <v>214</v>
      </c>
      <c r="G174" s="1">
        <v>10</v>
      </c>
      <c r="H174" s="2">
        <v>46050</v>
      </c>
      <c r="I174" s="2">
        <v>46060</v>
      </c>
      <c r="J174" s="1" t="s">
        <v>51</v>
      </c>
      <c r="K174" s="1">
        <v>1173</v>
      </c>
      <c r="L174" s="1">
        <f t="shared" si="0"/>
        <v>3210</v>
      </c>
    </row>
    <row r="175" spans="1:12" x14ac:dyDescent="0.3">
      <c r="A175" s="1" t="s">
        <v>58</v>
      </c>
      <c r="B175" s="1" t="s">
        <v>38</v>
      </c>
      <c r="C175" s="1" t="s">
        <v>13</v>
      </c>
      <c r="D175" s="1" t="s">
        <v>14</v>
      </c>
      <c r="E175" s="1">
        <v>13</v>
      </c>
      <c r="F175" s="1">
        <v>155</v>
      </c>
      <c r="G175" s="1">
        <v>2</v>
      </c>
      <c r="H175" s="2">
        <v>46066</v>
      </c>
      <c r="I175" s="2">
        <v>46069</v>
      </c>
      <c r="J175" s="1" t="s">
        <v>24</v>
      </c>
      <c r="K175" s="1">
        <v>1174</v>
      </c>
      <c r="L175" s="1">
        <f t="shared" si="0"/>
        <v>2015</v>
      </c>
    </row>
    <row r="176" spans="1:12" x14ac:dyDescent="0.3">
      <c r="A176" s="1" t="s">
        <v>26</v>
      </c>
      <c r="B176" s="1" t="s">
        <v>17</v>
      </c>
      <c r="C176" s="1" t="s">
        <v>34</v>
      </c>
      <c r="D176" s="1" t="s">
        <v>41</v>
      </c>
      <c r="E176" s="1">
        <v>10</v>
      </c>
      <c r="F176" s="1">
        <v>20339</v>
      </c>
      <c r="G176" s="1">
        <v>2</v>
      </c>
      <c r="H176" s="2">
        <v>46088</v>
      </c>
      <c r="I176" s="2">
        <v>46094</v>
      </c>
      <c r="J176" s="1" t="s">
        <v>20</v>
      </c>
      <c r="K176" s="1">
        <v>1175</v>
      </c>
      <c r="L176" s="1">
        <f t="shared" si="0"/>
        <v>203390</v>
      </c>
    </row>
    <row r="177" spans="1:12" x14ac:dyDescent="0.3">
      <c r="A177" s="1" t="s">
        <v>58</v>
      </c>
      <c r="B177" s="1" t="s">
        <v>38</v>
      </c>
      <c r="C177" s="1" t="s">
        <v>34</v>
      </c>
      <c r="D177" s="1" t="s">
        <v>41</v>
      </c>
      <c r="E177" s="1">
        <v>17</v>
      </c>
      <c r="F177" s="1">
        <v>46937</v>
      </c>
      <c r="G177" s="1">
        <v>12</v>
      </c>
      <c r="H177" s="2">
        <v>46048</v>
      </c>
      <c r="I177" s="2">
        <v>46056</v>
      </c>
      <c r="J177" s="1" t="s">
        <v>29</v>
      </c>
      <c r="K177" s="1">
        <v>1176</v>
      </c>
      <c r="L177" s="1">
        <f t="shared" si="0"/>
        <v>797929</v>
      </c>
    </row>
    <row r="178" spans="1:12" x14ac:dyDescent="0.3">
      <c r="A178" s="1" t="s">
        <v>29</v>
      </c>
      <c r="B178" s="1" t="s">
        <v>22</v>
      </c>
      <c r="C178" s="1" t="s">
        <v>18</v>
      </c>
      <c r="D178" s="1" t="s">
        <v>19</v>
      </c>
      <c r="E178" s="1">
        <v>14</v>
      </c>
      <c r="F178" s="1">
        <v>7501</v>
      </c>
      <c r="G178" s="1">
        <v>7</v>
      </c>
      <c r="H178" s="2">
        <v>46169</v>
      </c>
      <c r="I178" s="2">
        <v>46179</v>
      </c>
      <c r="J178" s="1" t="s">
        <v>20</v>
      </c>
      <c r="K178" s="1">
        <v>1177</v>
      </c>
      <c r="L178" s="1">
        <f t="shared" si="0"/>
        <v>105014</v>
      </c>
    </row>
    <row r="179" spans="1:12" x14ac:dyDescent="0.3">
      <c r="A179" s="1" t="s">
        <v>57</v>
      </c>
      <c r="B179" s="1" t="s">
        <v>17</v>
      </c>
      <c r="C179" s="1" t="s">
        <v>13</v>
      </c>
      <c r="D179" s="1" t="s">
        <v>50</v>
      </c>
      <c r="E179" s="1">
        <v>5</v>
      </c>
      <c r="F179" s="1">
        <v>50</v>
      </c>
      <c r="G179" s="1">
        <v>0</v>
      </c>
      <c r="H179" s="2">
        <v>46111</v>
      </c>
      <c r="I179" s="2">
        <v>46117</v>
      </c>
      <c r="J179" s="1" t="s">
        <v>20</v>
      </c>
      <c r="K179" s="1">
        <v>1178</v>
      </c>
      <c r="L179" s="1">
        <f t="shared" si="0"/>
        <v>250</v>
      </c>
    </row>
    <row r="180" spans="1:12" x14ac:dyDescent="0.3">
      <c r="A180" s="1" t="s">
        <v>47</v>
      </c>
      <c r="B180" s="1" t="s">
        <v>17</v>
      </c>
      <c r="C180" s="1" t="s">
        <v>34</v>
      </c>
      <c r="D180" s="1" t="s">
        <v>39</v>
      </c>
      <c r="E180" s="1">
        <v>6</v>
      </c>
      <c r="F180" s="1">
        <v>10400</v>
      </c>
      <c r="G180" s="1">
        <v>2</v>
      </c>
      <c r="H180" s="2">
        <v>46155</v>
      </c>
      <c r="I180" s="2">
        <v>46158</v>
      </c>
      <c r="J180" s="1" t="s">
        <v>15</v>
      </c>
      <c r="K180" s="1">
        <v>1179</v>
      </c>
      <c r="L180" s="1">
        <f t="shared" si="0"/>
        <v>62400</v>
      </c>
    </row>
    <row r="181" spans="1:12" x14ac:dyDescent="0.3">
      <c r="A181" s="1" t="s">
        <v>40</v>
      </c>
      <c r="B181" s="1" t="s">
        <v>31</v>
      </c>
      <c r="C181" s="1" t="s">
        <v>18</v>
      </c>
      <c r="D181" s="1" t="s">
        <v>28</v>
      </c>
      <c r="E181" s="1">
        <v>2</v>
      </c>
      <c r="F181" s="1">
        <v>2076</v>
      </c>
      <c r="G181" s="1">
        <v>2</v>
      </c>
      <c r="H181" s="2">
        <v>46111</v>
      </c>
      <c r="I181" s="2">
        <v>46121</v>
      </c>
      <c r="J181" s="1" t="s">
        <v>29</v>
      </c>
      <c r="K181" s="1">
        <v>1180</v>
      </c>
      <c r="L181" s="1">
        <f t="shared" si="0"/>
        <v>4152</v>
      </c>
    </row>
    <row r="182" spans="1:12" x14ac:dyDescent="0.3">
      <c r="A182" s="1" t="s">
        <v>58</v>
      </c>
      <c r="B182" s="1" t="s">
        <v>33</v>
      </c>
      <c r="C182" s="1" t="s">
        <v>13</v>
      </c>
      <c r="D182" s="1" t="s">
        <v>36</v>
      </c>
      <c r="E182" s="1">
        <v>4</v>
      </c>
      <c r="F182" s="1">
        <v>357</v>
      </c>
      <c r="G182" s="1">
        <v>2</v>
      </c>
      <c r="H182" s="2">
        <v>46033</v>
      </c>
      <c r="I182" s="2">
        <v>46035</v>
      </c>
      <c r="J182" s="1" t="s">
        <v>15</v>
      </c>
      <c r="K182" s="1">
        <v>1181</v>
      </c>
      <c r="L182" s="1">
        <f t="shared" si="0"/>
        <v>1428</v>
      </c>
    </row>
    <row r="183" spans="1:12" x14ac:dyDescent="0.3">
      <c r="A183" s="1" t="s">
        <v>42</v>
      </c>
      <c r="B183" s="1" t="s">
        <v>12</v>
      </c>
      <c r="C183" s="1" t="s">
        <v>34</v>
      </c>
      <c r="D183" s="1" t="s">
        <v>39</v>
      </c>
      <c r="E183" s="1">
        <v>8</v>
      </c>
      <c r="F183" s="1">
        <v>66022</v>
      </c>
      <c r="G183" s="1">
        <v>12</v>
      </c>
      <c r="H183" s="2">
        <v>46108</v>
      </c>
      <c r="I183" s="2">
        <v>46114</v>
      </c>
      <c r="J183" s="1" t="s">
        <v>24</v>
      </c>
      <c r="K183" s="1">
        <v>1182</v>
      </c>
      <c r="L183" s="1">
        <f t="shared" si="0"/>
        <v>528176</v>
      </c>
    </row>
    <row r="184" spans="1:12" x14ac:dyDescent="0.3">
      <c r="A184" s="1" t="s">
        <v>52</v>
      </c>
      <c r="B184" s="1" t="s">
        <v>43</v>
      </c>
      <c r="C184" s="1" t="s">
        <v>13</v>
      </c>
      <c r="D184" s="1" t="s">
        <v>14</v>
      </c>
      <c r="E184" s="1">
        <v>2</v>
      </c>
      <c r="F184" s="1">
        <v>309</v>
      </c>
      <c r="G184" s="1">
        <v>2</v>
      </c>
      <c r="H184" s="2">
        <v>46109</v>
      </c>
      <c r="I184" s="2">
        <v>46111</v>
      </c>
      <c r="J184" s="1" t="s">
        <v>20</v>
      </c>
      <c r="K184" s="1">
        <v>1183</v>
      </c>
      <c r="L184" s="1">
        <f t="shared" si="0"/>
        <v>618</v>
      </c>
    </row>
    <row r="185" spans="1:12" x14ac:dyDescent="0.3">
      <c r="A185" s="1" t="s">
        <v>40</v>
      </c>
      <c r="B185" s="1" t="s">
        <v>31</v>
      </c>
      <c r="C185" s="1" t="s">
        <v>34</v>
      </c>
      <c r="D185" s="1" t="s">
        <v>39</v>
      </c>
      <c r="E185" s="1">
        <v>12</v>
      </c>
      <c r="F185" s="1">
        <v>50517</v>
      </c>
      <c r="G185" s="1">
        <v>15</v>
      </c>
      <c r="H185" s="2">
        <v>46145</v>
      </c>
      <c r="I185" s="2">
        <v>46153</v>
      </c>
      <c r="J185" s="1" t="s">
        <v>29</v>
      </c>
      <c r="K185" s="1">
        <v>1184</v>
      </c>
      <c r="L185" s="1">
        <f t="shared" si="0"/>
        <v>606204</v>
      </c>
    </row>
    <row r="186" spans="1:12" x14ac:dyDescent="0.3">
      <c r="A186" s="1" t="s">
        <v>58</v>
      </c>
      <c r="B186" s="1" t="s">
        <v>22</v>
      </c>
      <c r="C186" s="1" t="s">
        <v>34</v>
      </c>
      <c r="D186" s="1" t="s">
        <v>60</v>
      </c>
      <c r="E186" s="1">
        <v>16</v>
      </c>
      <c r="F186" s="1">
        <v>15536</v>
      </c>
      <c r="G186" s="1">
        <v>2</v>
      </c>
      <c r="H186" s="2">
        <v>46153</v>
      </c>
      <c r="I186" s="2">
        <v>46156</v>
      </c>
      <c r="J186" s="1" t="s">
        <v>15</v>
      </c>
      <c r="K186" s="1">
        <v>1185</v>
      </c>
      <c r="L186" s="1">
        <f t="shared" si="0"/>
        <v>248576</v>
      </c>
    </row>
    <row r="187" spans="1:12" x14ac:dyDescent="0.3">
      <c r="A187" s="1" t="s">
        <v>16</v>
      </c>
      <c r="B187" s="1" t="s">
        <v>25</v>
      </c>
      <c r="C187" s="1" t="s">
        <v>18</v>
      </c>
      <c r="D187" s="1" t="s">
        <v>44</v>
      </c>
      <c r="E187" s="1">
        <v>10</v>
      </c>
      <c r="F187" s="1">
        <v>14951</v>
      </c>
      <c r="G187" s="1">
        <v>2</v>
      </c>
      <c r="H187" s="2">
        <v>46188</v>
      </c>
      <c r="I187" s="2">
        <v>46196</v>
      </c>
      <c r="J187" s="1" t="s">
        <v>24</v>
      </c>
      <c r="K187" s="1">
        <v>1186</v>
      </c>
      <c r="L187" s="1">
        <f t="shared" si="0"/>
        <v>149510</v>
      </c>
    </row>
    <row r="188" spans="1:12" x14ac:dyDescent="0.3">
      <c r="A188" s="1" t="s">
        <v>54</v>
      </c>
      <c r="B188" s="1" t="s">
        <v>22</v>
      </c>
      <c r="C188" s="1" t="s">
        <v>34</v>
      </c>
      <c r="D188" s="1" t="s">
        <v>45</v>
      </c>
      <c r="E188" s="1">
        <v>18</v>
      </c>
      <c r="F188" s="1">
        <v>68527</v>
      </c>
      <c r="G188" s="1">
        <v>12</v>
      </c>
      <c r="H188" s="2">
        <v>46178</v>
      </c>
      <c r="I188" s="2">
        <v>46184</v>
      </c>
      <c r="J188" s="1" t="s">
        <v>51</v>
      </c>
      <c r="K188" s="1">
        <v>1187</v>
      </c>
      <c r="L188" s="1">
        <f t="shared" si="0"/>
        <v>1233486</v>
      </c>
    </row>
    <row r="189" spans="1:12" x14ac:dyDescent="0.3">
      <c r="A189" s="1" t="s">
        <v>29</v>
      </c>
      <c r="B189" s="1" t="s">
        <v>22</v>
      </c>
      <c r="C189" s="1" t="s">
        <v>18</v>
      </c>
      <c r="D189" s="1" t="s">
        <v>56</v>
      </c>
      <c r="E189" s="1">
        <v>6</v>
      </c>
      <c r="F189" s="1">
        <v>10368</v>
      </c>
      <c r="G189" s="1">
        <v>7</v>
      </c>
      <c r="H189" s="2">
        <v>46137</v>
      </c>
      <c r="I189" s="2">
        <v>46142</v>
      </c>
      <c r="J189" s="1" t="s">
        <v>15</v>
      </c>
      <c r="K189" s="1">
        <v>1188</v>
      </c>
      <c r="L189" s="1">
        <f t="shared" si="0"/>
        <v>62208</v>
      </c>
    </row>
    <row r="190" spans="1:12" x14ac:dyDescent="0.3">
      <c r="A190" s="1" t="s">
        <v>49</v>
      </c>
      <c r="B190" s="1" t="s">
        <v>31</v>
      </c>
      <c r="C190" s="1" t="s">
        <v>18</v>
      </c>
      <c r="D190" s="1" t="s">
        <v>56</v>
      </c>
      <c r="E190" s="1">
        <v>12</v>
      </c>
      <c r="F190" s="1">
        <v>8327</v>
      </c>
      <c r="G190" s="1">
        <v>10</v>
      </c>
      <c r="H190" s="2">
        <v>46184</v>
      </c>
      <c r="I190" s="2">
        <v>46185</v>
      </c>
      <c r="J190" s="1" t="s">
        <v>29</v>
      </c>
      <c r="K190" s="1">
        <v>1189</v>
      </c>
      <c r="L190" s="1">
        <f t="shared" si="0"/>
        <v>99924</v>
      </c>
    </row>
    <row r="191" spans="1:12" x14ac:dyDescent="0.3">
      <c r="A191" s="1" t="s">
        <v>57</v>
      </c>
      <c r="B191" s="1" t="s">
        <v>17</v>
      </c>
      <c r="C191" s="1" t="s">
        <v>18</v>
      </c>
      <c r="D191" s="1" t="s">
        <v>28</v>
      </c>
      <c r="E191" s="1">
        <v>4</v>
      </c>
      <c r="F191" s="1">
        <v>10154</v>
      </c>
      <c r="G191" s="1">
        <v>7</v>
      </c>
      <c r="H191" s="2">
        <v>46052</v>
      </c>
      <c r="I191" s="2">
        <v>46062</v>
      </c>
      <c r="J191" s="1" t="s">
        <v>20</v>
      </c>
      <c r="K191" s="1">
        <v>1190</v>
      </c>
      <c r="L191" s="1">
        <f t="shared" si="0"/>
        <v>40616</v>
      </c>
    </row>
    <row r="192" spans="1:12" x14ac:dyDescent="0.3">
      <c r="A192" s="1" t="s">
        <v>52</v>
      </c>
      <c r="B192" s="1" t="s">
        <v>33</v>
      </c>
      <c r="C192" s="1" t="s">
        <v>18</v>
      </c>
      <c r="D192" s="1" t="s">
        <v>56</v>
      </c>
      <c r="E192" s="1">
        <v>9</v>
      </c>
      <c r="F192" s="1">
        <v>8631</v>
      </c>
      <c r="G192" s="1">
        <v>10</v>
      </c>
      <c r="H192" s="2">
        <v>46149</v>
      </c>
      <c r="I192" s="2">
        <v>46156</v>
      </c>
      <c r="J192" s="1" t="s">
        <v>20</v>
      </c>
      <c r="K192" s="1">
        <v>1191</v>
      </c>
      <c r="L192" s="1">
        <f t="shared" si="0"/>
        <v>77679</v>
      </c>
    </row>
    <row r="193" spans="1:12" x14ac:dyDescent="0.3">
      <c r="A193" s="1" t="s">
        <v>21</v>
      </c>
      <c r="B193" s="1" t="s">
        <v>33</v>
      </c>
      <c r="C193" s="1" t="s">
        <v>13</v>
      </c>
      <c r="D193" s="1" t="s">
        <v>53</v>
      </c>
      <c r="E193" s="1">
        <v>18</v>
      </c>
      <c r="F193" s="1">
        <v>49</v>
      </c>
      <c r="G193" s="1">
        <v>12</v>
      </c>
      <c r="H193" s="2">
        <v>46089</v>
      </c>
      <c r="I193" s="2">
        <v>46095</v>
      </c>
      <c r="J193" s="1" t="s">
        <v>24</v>
      </c>
      <c r="K193" s="1">
        <v>1192</v>
      </c>
      <c r="L193" s="1">
        <f t="shared" si="0"/>
        <v>882</v>
      </c>
    </row>
    <row r="194" spans="1:12" x14ac:dyDescent="0.3">
      <c r="A194" s="1" t="s">
        <v>57</v>
      </c>
      <c r="B194" s="1" t="s">
        <v>12</v>
      </c>
      <c r="C194" s="1" t="s">
        <v>18</v>
      </c>
      <c r="D194" s="1" t="s">
        <v>23</v>
      </c>
      <c r="E194" s="1">
        <v>19</v>
      </c>
      <c r="F194" s="1">
        <v>2699</v>
      </c>
      <c r="G194" s="1">
        <v>7</v>
      </c>
      <c r="H194" s="2">
        <v>46110</v>
      </c>
      <c r="I194" s="2">
        <v>46112</v>
      </c>
      <c r="J194" s="1" t="s">
        <v>29</v>
      </c>
      <c r="K194" s="1">
        <v>1193</v>
      </c>
      <c r="L194" s="1">
        <f t="shared" si="0"/>
        <v>51281</v>
      </c>
    </row>
    <row r="195" spans="1:12" x14ac:dyDescent="0.3">
      <c r="A195" s="1" t="s">
        <v>57</v>
      </c>
      <c r="B195" s="1" t="s">
        <v>43</v>
      </c>
      <c r="C195" s="1" t="s">
        <v>18</v>
      </c>
      <c r="D195" s="1" t="s">
        <v>28</v>
      </c>
      <c r="E195" s="1">
        <v>13</v>
      </c>
      <c r="F195" s="1">
        <v>12856</v>
      </c>
      <c r="G195" s="1">
        <v>15</v>
      </c>
      <c r="H195" s="2">
        <v>46129</v>
      </c>
      <c r="I195" s="2">
        <v>46133</v>
      </c>
      <c r="J195" s="1" t="s">
        <v>51</v>
      </c>
      <c r="K195" s="1">
        <v>1194</v>
      </c>
      <c r="L195" s="1">
        <f t="shared" si="0"/>
        <v>167128</v>
      </c>
    </row>
    <row r="196" spans="1:12" x14ac:dyDescent="0.3">
      <c r="A196" s="1" t="s">
        <v>59</v>
      </c>
      <c r="B196" s="1" t="s">
        <v>17</v>
      </c>
      <c r="C196" s="1" t="s">
        <v>13</v>
      </c>
      <c r="D196" s="1" t="s">
        <v>50</v>
      </c>
      <c r="E196" s="1">
        <v>19</v>
      </c>
      <c r="F196" s="1">
        <v>313</v>
      </c>
      <c r="G196" s="1">
        <v>2</v>
      </c>
      <c r="H196" s="2">
        <v>46198</v>
      </c>
      <c r="I196" s="2">
        <v>46206</v>
      </c>
      <c r="J196" s="1" t="s">
        <v>51</v>
      </c>
      <c r="K196" s="1">
        <v>1195</v>
      </c>
      <c r="L196" s="1">
        <f t="shared" si="0"/>
        <v>5947</v>
      </c>
    </row>
    <row r="197" spans="1:12" x14ac:dyDescent="0.3">
      <c r="A197" s="1" t="s">
        <v>48</v>
      </c>
      <c r="B197" s="1" t="s">
        <v>22</v>
      </c>
      <c r="C197" s="1" t="s">
        <v>34</v>
      </c>
      <c r="D197" s="1" t="s">
        <v>35</v>
      </c>
      <c r="E197" s="1">
        <v>20</v>
      </c>
      <c r="F197" s="1">
        <v>3172</v>
      </c>
      <c r="G197" s="1">
        <v>5</v>
      </c>
      <c r="H197" s="2">
        <v>46155</v>
      </c>
      <c r="I197" s="2">
        <v>46159</v>
      </c>
      <c r="J197" s="1" t="s">
        <v>20</v>
      </c>
      <c r="K197" s="1">
        <v>1196</v>
      </c>
      <c r="L197" s="1">
        <f t="shared" si="0"/>
        <v>63440</v>
      </c>
    </row>
    <row r="198" spans="1:12" x14ac:dyDescent="0.3">
      <c r="A198" s="1" t="s">
        <v>52</v>
      </c>
      <c r="B198" s="1" t="s">
        <v>31</v>
      </c>
      <c r="C198" s="1" t="s">
        <v>34</v>
      </c>
      <c r="D198" s="1" t="s">
        <v>35</v>
      </c>
      <c r="E198" s="1">
        <v>5</v>
      </c>
      <c r="F198" s="1">
        <v>45352</v>
      </c>
      <c r="G198" s="1">
        <v>12</v>
      </c>
      <c r="H198" s="2">
        <v>46045</v>
      </c>
      <c r="I198" s="2">
        <v>46048</v>
      </c>
      <c r="J198" s="1" t="s">
        <v>15</v>
      </c>
      <c r="K198" s="1">
        <v>1197</v>
      </c>
      <c r="L198" s="1">
        <f t="shared" si="0"/>
        <v>226760</v>
      </c>
    </row>
    <row r="199" spans="1:12" x14ac:dyDescent="0.3">
      <c r="A199" s="1" t="s">
        <v>58</v>
      </c>
      <c r="B199" s="1" t="s">
        <v>12</v>
      </c>
      <c r="C199" s="1" t="s">
        <v>13</v>
      </c>
      <c r="D199" s="1" t="s">
        <v>14</v>
      </c>
      <c r="E199" s="1">
        <v>12</v>
      </c>
      <c r="F199" s="1">
        <v>491</v>
      </c>
      <c r="G199" s="1">
        <v>2</v>
      </c>
      <c r="H199" s="2">
        <v>46106</v>
      </c>
      <c r="I199" s="2">
        <v>46109</v>
      </c>
      <c r="J199" s="1" t="s">
        <v>51</v>
      </c>
      <c r="K199" s="1">
        <v>1198</v>
      </c>
      <c r="L199" s="1">
        <f t="shared" si="0"/>
        <v>5892</v>
      </c>
    </row>
    <row r="200" spans="1:12" x14ac:dyDescent="0.3">
      <c r="A200" s="1" t="s">
        <v>11</v>
      </c>
      <c r="B200" s="1" t="s">
        <v>25</v>
      </c>
      <c r="C200" s="1" t="s">
        <v>34</v>
      </c>
      <c r="D200" s="1" t="s">
        <v>45</v>
      </c>
      <c r="E200" s="1">
        <v>2</v>
      </c>
      <c r="F200" s="1">
        <v>4375</v>
      </c>
      <c r="G200" s="1">
        <v>7</v>
      </c>
      <c r="H200" s="2">
        <v>46178</v>
      </c>
      <c r="I200" s="2">
        <v>46180</v>
      </c>
      <c r="J200" s="1" t="s">
        <v>24</v>
      </c>
      <c r="K200" s="1">
        <v>1199</v>
      </c>
      <c r="L200" s="1">
        <f t="shared" si="0"/>
        <v>8750</v>
      </c>
    </row>
    <row r="201" spans="1:12" x14ac:dyDescent="0.3">
      <c r="A201" s="1" t="s">
        <v>29</v>
      </c>
      <c r="B201" s="1" t="s">
        <v>31</v>
      </c>
      <c r="C201" s="1" t="s">
        <v>34</v>
      </c>
      <c r="D201" s="1" t="s">
        <v>45</v>
      </c>
      <c r="E201" s="1">
        <v>13</v>
      </c>
      <c r="F201" s="1">
        <v>69422</v>
      </c>
      <c r="G201" s="1">
        <v>0</v>
      </c>
      <c r="H201" s="2">
        <v>46134</v>
      </c>
      <c r="I201" s="2">
        <v>46143</v>
      </c>
      <c r="J201" s="1" t="s">
        <v>29</v>
      </c>
      <c r="K201" s="1">
        <v>1200</v>
      </c>
      <c r="L201" s="1">
        <f t="shared" si="0"/>
        <v>902486</v>
      </c>
    </row>
    <row r="202" spans="1:12" x14ac:dyDescent="0.3">
      <c r="A202" s="1" t="s">
        <v>54</v>
      </c>
      <c r="B202" s="1" t="s">
        <v>31</v>
      </c>
      <c r="C202" s="1" t="s">
        <v>13</v>
      </c>
      <c r="D202" s="1" t="s">
        <v>53</v>
      </c>
      <c r="E202" s="1">
        <v>18</v>
      </c>
      <c r="F202" s="1">
        <v>139</v>
      </c>
      <c r="G202" s="1">
        <v>12</v>
      </c>
      <c r="H202" s="2">
        <v>46075</v>
      </c>
      <c r="I202" s="2">
        <v>46076</v>
      </c>
      <c r="J202" s="1" t="s">
        <v>20</v>
      </c>
      <c r="K202" s="1">
        <v>1201</v>
      </c>
      <c r="L202" s="1">
        <f t="shared" si="0"/>
        <v>2502</v>
      </c>
    </row>
    <row r="203" spans="1:12" x14ac:dyDescent="0.3">
      <c r="A203" s="1" t="s">
        <v>57</v>
      </c>
      <c r="B203" s="1" t="s">
        <v>22</v>
      </c>
      <c r="C203" s="1" t="s">
        <v>34</v>
      </c>
      <c r="D203" s="1" t="s">
        <v>35</v>
      </c>
      <c r="E203" s="1">
        <v>2</v>
      </c>
      <c r="F203" s="1">
        <v>20312</v>
      </c>
      <c r="G203" s="1">
        <v>12</v>
      </c>
      <c r="H203" s="2">
        <v>46082</v>
      </c>
      <c r="I203" s="2">
        <v>46091</v>
      </c>
      <c r="J203" s="1" t="s">
        <v>15</v>
      </c>
      <c r="K203" s="1">
        <v>1202</v>
      </c>
      <c r="L203" s="1">
        <f t="shared" si="0"/>
        <v>40624</v>
      </c>
    </row>
    <row r="204" spans="1:12" x14ac:dyDescent="0.3">
      <c r="A204" s="1" t="s">
        <v>40</v>
      </c>
      <c r="B204" s="1" t="s">
        <v>22</v>
      </c>
      <c r="C204" s="1" t="s">
        <v>18</v>
      </c>
      <c r="D204" s="1" t="s">
        <v>23</v>
      </c>
      <c r="E204" s="1">
        <v>17</v>
      </c>
      <c r="F204" s="1">
        <v>6695</v>
      </c>
      <c r="G204" s="1">
        <v>2</v>
      </c>
      <c r="H204" s="2">
        <v>46119</v>
      </c>
      <c r="I204" s="2">
        <v>46122</v>
      </c>
      <c r="J204" s="1" t="s">
        <v>51</v>
      </c>
      <c r="K204" s="1">
        <v>1203</v>
      </c>
      <c r="L204" s="1">
        <f t="shared" si="0"/>
        <v>113815</v>
      </c>
    </row>
    <row r="205" spans="1:12" x14ac:dyDescent="0.3">
      <c r="A205" s="1" t="s">
        <v>16</v>
      </c>
      <c r="B205" s="1" t="s">
        <v>31</v>
      </c>
      <c r="C205" s="1" t="s">
        <v>13</v>
      </c>
      <c r="D205" s="1" t="s">
        <v>37</v>
      </c>
      <c r="E205" s="1">
        <v>13</v>
      </c>
      <c r="F205" s="1">
        <v>416</v>
      </c>
      <c r="G205" s="1">
        <v>10</v>
      </c>
      <c r="H205" s="2">
        <v>46123</v>
      </c>
      <c r="I205" s="2">
        <v>46132</v>
      </c>
      <c r="J205" s="1" t="s">
        <v>20</v>
      </c>
      <c r="K205" s="1">
        <v>1204</v>
      </c>
      <c r="L205" s="1">
        <f t="shared" si="0"/>
        <v>5408</v>
      </c>
    </row>
    <row r="206" spans="1:12" x14ac:dyDescent="0.3">
      <c r="A206" s="1" t="s">
        <v>21</v>
      </c>
      <c r="B206" s="1" t="s">
        <v>38</v>
      </c>
      <c r="C206" s="1" t="s">
        <v>13</v>
      </c>
      <c r="D206" s="1" t="s">
        <v>36</v>
      </c>
      <c r="E206" s="1">
        <v>1</v>
      </c>
      <c r="F206" s="1">
        <v>112</v>
      </c>
      <c r="G206" s="1">
        <v>7</v>
      </c>
      <c r="H206" s="2">
        <v>46033</v>
      </c>
      <c r="I206" s="2">
        <v>46040</v>
      </c>
      <c r="J206" s="1" t="s">
        <v>51</v>
      </c>
      <c r="K206" s="1">
        <v>1205</v>
      </c>
      <c r="L206" s="1">
        <f t="shared" si="0"/>
        <v>112</v>
      </c>
    </row>
    <row r="207" spans="1:12" x14ac:dyDescent="0.3">
      <c r="A207" s="1" t="s">
        <v>55</v>
      </c>
      <c r="B207" s="1" t="s">
        <v>33</v>
      </c>
      <c r="C207" s="1" t="s">
        <v>13</v>
      </c>
      <c r="D207" s="1" t="s">
        <v>14</v>
      </c>
      <c r="E207" s="1">
        <v>9</v>
      </c>
      <c r="F207" s="1">
        <v>60</v>
      </c>
      <c r="G207" s="1">
        <v>0</v>
      </c>
      <c r="H207" s="2">
        <v>46166</v>
      </c>
      <c r="I207" s="2">
        <v>46174</v>
      </c>
      <c r="J207" s="1" t="s">
        <v>15</v>
      </c>
      <c r="K207" s="1">
        <v>1206</v>
      </c>
      <c r="L207" s="1">
        <f t="shared" si="0"/>
        <v>540</v>
      </c>
    </row>
    <row r="208" spans="1:12" x14ac:dyDescent="0.3">
      <c r="A208" s="1" t="s">
        <v>55</v>
      </c>
      <c r="B208" s="1" t="s">
        <v>25</v>
      </c>
      <c r="C208" s="1" t="s">
        <v>13</v>
      </c>
      <c r="D208" s="1" t="s">
        <v>53</v>
      </c>
      <c r="E208" s="1">
        <v>7</v>
      </c>
      <c r="F208" s="1">
        <v>244</v>
      </c>
      <c r="G208" s="1">
        <v>2</v>
      </c>
      <c r="H208" s="2">
        <v>46164</v>
      </c>
      <c r="I208" s="2">
        <v>46173</v>
      </c>
      <c r="J208" s="1" t="s">
        <v>24</v>
      </c>
      <c r="K208" s="1">
        <v>1207</v>
      </c>
      <c r="L208" s="1">
        <f t="shared" si="0"/>
        <v>1708</v>
      </c>
    </row>
    <row r="209" spans="1:12" x14ac:dyDescent="0.3">
      <c r="A209" s="1" t="s">
        <v>54</v>
      </c>
      <c r="B209" s="1" t="s">
        <v>43</v>
      </c>
      <c r="C209" s="1" t="s">
        <v>18</v>
      </c>
      <c r="D209" s="1" t="s">
        <v>44</v>
      </c>
      <c r="E209" s="1">
        <v>6</v>
      </c>
      <c r="F209" s="1">
        <v>7627</v>
      </c>
      <c r="G209" s="1">
        <v>10</v>
      </c>
      <c r="H209" s="2">
        <v>46042</v>
      </c>
      <c r="I209" s="2">
        <v>46047</v>
      </c>
      <c r="J209" s="1" t="s">
        <v>20</v>
      </c>
      <c r="K209" s="1">
        <v>1208</v>
      </c>
      <c r="L209" s="1">
        <f t="shared" si="0"/>
        <v>45762</v>
      </c>
    </row>
    <row r="210" spans="1:12" x14ac:dyDescent="0.3">
      <c r="A210" s="1" t="s">
        <v>48</v>
      </c>
      <c r="B210" s="1" t="s">
        <v>38</v>
      </c>
      <c r="C210" s="1" t="s">
        <v>34</v>
      </c>
      <c r="D210" s="1" t="s">
        <v>35</v>
      </c>
      <c r="E210" s="1">
        <v>19</v>
      </c>
      <c r="F210" s="1">
        <v>20284</v>
      </c>
      <c r="G210" s="1">
        <v>10</v>
      </c>
      <c r="H210" s="2">
        <v>46103</v>
      </c>
      <c r="I210" s="2">
        <v>46110</v>
      </c>
      <c r="J210" s="1" t="s">
        <v>20</v>
      </c>
      <c r="K210" s="1">
        <v>1209</v>
      </c>
      <c r="L210" s="1">
        <f t="shared" si="0"/>
        <v>385396</v>
      </c>
    </row>
    <row r="211" spans="1:12" x14ac:dyDescent="0.3">
      <c r="A211" s="1" t="s">
        <v>30</v>
      </c>
      <c r="B211" s="1" t="s">
        <v>31</v>
      </c>
      <c r="C211" s="1" t="s">
        <v>13</v>
      </c>
      <c r="D211" s="1" t="s">
        <v>53</v>
      </c>
      <c r="E211" s="1">
        <v>10</v>
      </c>
      <c r="F211" s="1">
        <v>349</v>
      </c>
      <c r="G211" s="1">
        <v>0</v>
      </c>
      <c r="H211" s="2">
        <v>46052</v>
      </c>
      <c r="I211" s="2">
        <v>46060</v>
      </c>
      <c r="J211" s="1" t="s">
        <v>29</v>
      </c>
      <c r="K211" s="1">
        <v>1210</v>
      </c>
      <c r="L211" s="1">
        <f t="shared" si="0"/>
        <v>3490</v>
      </c>
    </row>
    <row r="212" spans="1:12" x14ac:dyDescent="0.3">
      <c r="A212" s="1" t="s">
        <v>48</v>
      </c>
      <c r="B212" s="1" t="s">
        <v>17</v>
      </c>
      <c r="C212" s="1" t="s">
        <v>34</v>
      </c>
      <c r="D212" s="1" t="s">
        <v>35</v>
      </c>
      <c r="E212" s="1">
        <v>3</v>
      </c>
      <c r="F212" s="1">
        <v>5962</v>
      </c>
      <c r="G212" s="1">
        <v>7</v>
      </c>
      <c r="H212" s="2">
        <v>46175</v>
      </c>
      <c r="I212" s="2">
        <v>46183</v>
      </c>
      <c r="J212" s="1" t="s">
        <v>15</v>
      </c>
      <c r="K212" s="1">
        <v>1211</v>
      </c>
      <c r="L212" s="1">
        <f t="shared" si="0"/>
        <v>17886</v>
      </c>
    </row>
    <row r="213" spans="1:12" x14ac:dyDescent="0.3">
      <c r="A213" s="1" t="s">
        <v>59</v>
      </c>
      <c r="B213" s="1" t="s">
        <v>25</v>
      </c>
      <c r="C213" s="1" t="s">
        <v>34</v>
      </c>
      <c r="D213" s="1" t="s">
        <v>60</v>
      </c>
      <c r="E213" s="1">
        <v>10</v>
      </c>
      <c r="F213" s="1">
        <v>34380</v>
      </c>
      <c r="G213" s="1">
        <v>7</v>
      </c>
      <c r="H213" s="2">
        <v>46194</v>
      </c>
      <c r="I213" s="2">
        <v>46195</v>
      </c>
      <c r="J213" s="1" t="s">
        <v>29</v>
      </c>
      <c r="K213" s="1">
        <v>1212</v>
      </c>
      <c r="L213" s="1">
        <f t="shared" si="0"/>
        <v>343800</v>
      </c>
    </row>
    <row r="214" spans="1:12" x14ac:dyDescent="0.3">
      <c r="A214" s="1" t="s">
        <v>32</v>
      </c>
      <c r="B214" s="1" t="s">
        <v>38</v>
      </c>
      <c r="C214" s="1" t="s">
        <v>34</v>
      </c>
      <c r="D214" s="1" t="s">
        <v>45</v>
      </c>
      <c r="E214" s="1">
        <v>16</v>
      </c>
      <c r="F214" s="1">
        <v>27741</v>
      </c>
      <c r="G214" s="1">
        <v>12</v>
      </c>
      <c r="H214" s="2">
        <v>46116</v>
      </c>
      <c r="I214" s="2">
        <v>46119</v>
      </c>
      <c r="J214" s="1" t="s">
        <v>15</v>
      </c>
      <c r="K214" s="1">
        <v>1213</v>
      </c>
      <c r="L214" s="1">
        <f t="shared" si="0"/>
        <v>443856</v>
      </c>
    </row>
    <row r="215" spans="1:12" x14ac:dyDescent="0.3">
      <c r="A215" s="1" t="s">
        <v>42</v>
      </c>
      <c r="B215" s="1" t="s">
        <v>25</v>
      </c>
      <c r="C215" s="1" t="s">
        <v>18</v>
      </c>
      <c r="D215" s="1" t="s">
        <v>28</v>
      </c>
      <c r="E215" s="1">
        <v>19</v>
      </c>
      <c r="F215" s="1">
        <v>13832</v>
      </c>
      <c r="G215" s="1">
        <v>0</v>
      </c>
      <c r="H215" s="2">
        <v>46140</v>
      </c>
      <c r="I215" s="2">
        <v>46145</v>
      </c>
      <c r="J215" s="1" t="s">
        <v>51</v>
      </c>
      <c r="K215" s="1">
        <v>1214</v>
      </c>
      <c r="L215" s="1">
        <f t="shared" si="0"/>
        <v>262808</v>
      </c>
    </row>
    <row r="216" spans="1:12" x14ac:dyDescent="0.3">
      <c r="A216" s="1" t="s">
        <v>27</v>
      </c>
      <c r="B216" s="1" t="s">
        <v>12</v>
      </c>
      <c r="C216" s="1" t="s">
        <v>18</v>
      </c>
      <c r="D216" s="1" t="s">
        <v>28</v>
      </c>
      <c r="E216" s="1">
        <v>6</v>
      </c>
      <c r="F216" s="1">
        <v>1254</v>
      </c>
      <c r="G216" s="1">
        <v>0</v>
      </c>
      <c r="H216" s="2">
        <v>46131</v>
      </c>
      <c r="I216" s="2">
        <v>46136</v>
      </c>
      <c r="J216" s="1" t="s">
        <v>29</v>
      </c>
      <c r="K216" s="1">
        <v>1215</v>
      </c>
      <c r="L216" s="1">
        <f t="shared" si="0"/>
        <v>7524</v>
      </c>
    </row>
    <row r="217" spans="1:12" x14ac:dyDescent="0.3">
      <c r="A217" s="1" t="s">
        <v>40</v>
      </c>
      <c r="B217" s="1" t="s">
        <v>22</v>
      </c>
      <c r="C217" s="1" t="s">
        <v>34</v>
      </c>
      <c r="D217" s="1" t="s">
        <v>45</v>
      </c>
      <c r="E217" s="1">
        <v>10</v>
      </c>
      <c r="F217" s="1">
        <v>56709</v>
      </c>
      <c r="G217" s="1">
        <v>15</v>
      </c>
      <c r="H217" s="2">
        <v>46135</v>
      </c>
      <c r="I217" s="2">
        <v>46139</v>
      </c>
      <c r="J217" s="1" t="s">
        <v>29</v>
      </c>
      <c r="K217" s="1">
        <v>1216</v>
      </c>
      <c r="L217" s="1">
        <f t="shared" si="0"/>
        <v>567090</v>
      </c>
    </row>
    <row r="218" spans="1:12" x14ac:dyDescent="0.3">
      <c r="A218" s="1" t="s">
        <v>30</v>
      </c>
      <c r="B218" s="1" t="s">
        <v>22</v>
      </c>
      <c r="C218" s="1" t="s">
        <v>13</v>
      </c>
      <c r="D218" s="1" t="s">
        <v>50</v>
      </c>
      <c r="E218" s="1">
        <v>18</v>
      </c>
      <c r="F218" s="1">
        <v>60</v>
      </c>
      <c r="G218" s="1">
        <v>0</v>
      </c>
      <c r="H218" s="2">
        <v>46171</v>
      </c>
      <c r="I218" s="2">
        <v>46172</v>
      </c>
      <c r="J218" s="1" t="s">
        <v>29</v>
      </c>
      <c r="K218" s="1">
        <v>1217</v>
      </c>
      <c r="L218" s="1">
        <f t="shared" si="0"/>
        <v>1080</v>
      </c>
    </row>
    <row r="219" spans="1:12" x14ac:dyDescent="0.3">
      <c r="A219" s="1" t="s">
        <v>55</v>
      </c>
      <c r="B219" s="1" t="s">
        <v>38</v>
      </c>
      <c r="C219" s="1" t="s">
        <v>13</v>
      </c>
      <c r="D219" s="1" t="s">
        <v>14</v>
      </c>
      <c r="E219" s="1">
        <v>1</v>
      </c>
      <c r="F219" s="1">
        <v>134</v>
      </c>
      <c r="G219" s="1">
        <v>10</v>
      </c>
      <c r="H219" s="2">
        <v>46143</v>
      </c>
      <c r="I219" s="2">
        <v>46151</v>
      </c>
      <c r="J219" s="1" t="s">
        <v>51</v>
      </c>
      <c r="K219" s="1">
        <v>1218</v>
      </c>
      <c r="L219" s="1">
        <f t="shared" si="0"/>
        <v>134</v>
      </c>
    </row>
    <row r="220" spans="1:12" x14ac:dyDescent="0.3">
      <c r="A220" s="1" t="s">
        <v>46</v>
      </c>
      <c r="B220" s="1" t="s">
        <v>22</v>
      </c>
      <c r="C220" s="1" t="s">
        <v>13</v>
      </c>
      <c r="D220" s="1" t="s">
        <v>14</v>
      </c>
      <c r="E220" s="1">
        <v>4</v>
      </c>
      <c r="F220" s="1">
        <v>117</v>
      </c>
      <c r="G220" s="1">
        <v>15</v>
      </c>
      <c r="H220" s="2">
        <v>46202</v>
      </c>
      <c r="I220" s="2">
        <v>46206</v>
      </c>
      <c r="J220" s="1" t="s">
        <v>29</v>
      </c>
      <c r="K220" s="1">
        <v>1219</v>
      </c>
      <c r="L220" s="1">
        <f t="shared" si="0"/>
        <v>468</v>
      </c>
    </row>
    <row r="221" spans="1:12" x14ac:dyDescent="0.3">
      <c r="A221" s="1" t="s">
        <v>11</v>
      </c>
      <c r="B221" s="1" t="s">
        <v>25</v>
      </c>
      <c r="C221" s="1" t="s">
        <v>18</v>
      </c>
      <c r="D221" s="1" t="s">
        <v>56</v>
      </c>
      <c r="E221" s="1">
        <v>2</v>
      </c>
      <c r="F221" s="1">
        <v>8861</v>
      </c>
      <c r="G221" s="1">
        <v>2</v>
      </c>
      <c r="H221" s="2">
        <v>46170</v>
      </c>
      <c r="I221" s="2">
        <v>46174</v>
      </c>
      <c r="J221" s="1" t="s">
        <v>24</v>
      </c>
      <c r="K221" s="1">
        <v>1220</v>
      </c>
      <c r="L221" s="1">
        <f t="shared" si="0"/>
        <v>17722</v>
      </c>
    </row>
    <row r="222" spans="1:12" x14ac:dyDescent="0.3">
      <c r="A222" s="1" t="s">
        <v>11</v>
      </c>
      <c r="B222" s="1" t="s">
        <v>31</v>
      </c>
      <c r="C222" s="1" t="s">
        <v>18</v>
      </c>
      <c r="D222" s="1" t="s">
        <v>56</v>
      </c>
      <c r="E222" s="1">
        <v>18</v>
      </c>
      <c r="F222" s="1">
        <v>2681</v>
      </c>
      <c r="G222" s="1">
        <v>10</v>
      </c>
      <c r="H222" s="2">
        <v>46122</v>
      </c>
      <c r="I222" s="2">
        <v>46125</v>
      </c>
      <c r="J222" s="1" t="s">
        <v>51</v>
      </c>
      <c r="K222" s="1">
        <v>1221</v>
      </c>
      <c r="L222" s="1">
        <f t="shared" si="0"/>
        <v>48258</v>
      </c>
    </row>
    <row r="223" spans="1:12" x14ac:dyDescent="0.3">
      <c r="A223" s="1" t="s">
        <v>30</v>
      </c>
      <c r="B223" s="1" t="s">
        <v>33</v>
      </c>
      <c r="C223" s="1" t="s">
        <v>18</v>
      </c>
      <c r="D223" s="1" t="s">
        <v>23</v>
      </c>
      <c r="E223" s="1">
        <v>9</v>
      </c>
      <c r="F223" s="1">
        <v>2712</v>
      </c>
      <c r="G223" s="1">
        <v>12</v>
      </c>
      <c r="H223" s="2">
        <v>46154</v>
      </c>
      <c r="I223" s="2">
        <v>46163</v>
      </c>
      <c r="J223" s="1" t="s">
        <v>15</v>
      </c>
      <c r="K223" s="1">
        <v>1222</v>
      </c>
      <c r="L223" s="1">
        <f t="shared" si="0"/>
        <v>24408</v>
      </c>
    </row>
    <row r="224" spans="1:12" x14ac:dyDescent="0.3">
      <c r="A224" s="1" t="s">
        <v>59</v>
      </c>
      <c r="B224" s="1" t="s">
        <v>17</v>
      </c>
      <c r="C224" s="1" t="s">
        <v>18</v>
      </c>
      <c r="D224" s="1" t="s">
        <v>23</v>
      </c>
      <c r="E224" s="1">
        <v>4</v>
      </c>
      <c r="F224" s="1">
        <v>2249</v>
      </c>
      <c r="G224" s="1">
        <v>7</v>
      </c>
      <c r="H224" s="2">
        <v>46077</v>
      </c>
      <c r="I224" s="2">
        <v>46084</v>
      </c>
      <c r="J224" s="1" t="s">
        <v>15</v>
      </c>
      <c r="K224" s="1">
        <v>1223</v>
      </c>
      <c r="L224" s="1">
        <f t="shared" si="0"/>
        <v>8996</v>
      </c>
    </row>
    <row r="225" spans="1:12" x14ac:dyDescent="0.3">
      <c r="A225" s="1" t="s">
        <v>30</v>
      </c>
      <c r="B225" s="1" t="s">
        <v>38</v>
      </c>
      <c r="C225" s="1" t="s">
        <v>34</v>
      </c>
      <c r="D225" s="1" t="s">
        <v>45</v>
      </c>
      <c r="E225" s="1">
        <v>16</v>
      </c>
      <c r="F225" s="1">
        <v>18378</v>
      </c>
      <c r="G225" s="1">
        <v>10</v>
      </c>
      <c r="H225" s="2">
        <v>46045</v>
      </c>
      <c r="I225" s="2">
        <v>46052</v>
      </c>
      <c r="J225" s="1" t="s">
        <v>24</v>
      </c>
      <c r="K225" s="1">
        <v>1224</v>
      </c>
      <c r="L225" s="1">
        <f t="shared" si="0"/>
        <v>294048</v>
      </c>
    </row>
    <row r="226" spans="1:12" x14ac:dyDescent="0.3">
      <c r="A226" s="1" t="s">
        <v>42</v>
      </c>
      <c r="B226" s="1" t="s">
        <v>31</v>
      </c>
      <c r="C226" s="1" t="s">
        <v>34</v>
      </c>
      <c r="D226" s="1" t="s">
        <v>35</v>
      </c>
      <c r="E226" s="1">
        <v>16</v>
      </c>
      <c r="F226" s="1">
        <v>32262</v>
      </c>
      <c r="G226" s="1">
        <v>12</v>
      </c>
      <c r="H226" s="2">
        <v>46125</v>
      </c>
      <c r="I226" s="2">
        <v>46126</v>
      </c>
      <c r="J226" s="1" t="s">
        <v>20</v>
      </c>
      <c r="K226" s="1">
        <v>1225</v>
      </c>
      <c r="L226" s="1">
        <f t="shared" si="0"/>
        <v>516192</v>
      </c>
    </row>
    <row r="227" spans="1:12" x14ac:dyDescent="0.3">
      <c r="A227" s="1" t="s">
        <v>29</v>
      </c>
      <c r="B227" s="1" t="s">
        <v>31</v>
      </c>
      <c r="C227" s="1" t="s">
        <v>34</v>
      </c>
      <c r="D227" s="1" t="s">
        <v>41</v>
      </c>
      <c r="E227" s="1">
        <v>13</v>
      </c>
      <c r="F227" s="1">
        <v>21332</v>
      </c>
      <c r="G227" s="1">
        <v>0</v>
      </c>
      <c r="H227" s="2">
        <v>46044</v>
      </c>
      <c r="I227" s="2">
        <v>46048</v>
      </c>
      <c r="J227" s="1" t="s">
        <v>29</v>
      </c>
      <c r="K227" s="1">
        <v>1226</v>
      </c>
      <c r="L227" s="1">
        <f t="shared" si="0"/>
        <v>277316</v>
      </c>
    </row>
    <row r="228" spans="1:12" x14ac:dyDescent="0.3">
      <c r="A228" s="1" t="s">
        <v>58</v>
      </c>
      <c r="B228" s="1" t="s">
        <v>22</v>
      </c>
      <c r="C228" s="1" t="s">
        <v>34</v>
      </c>
      <c r="D228" s="1" t="s">
        <v>45</v>
      </c>
      <c r="E228" s="1">
        <v>16</v>
      </c>
      <c r="F228" s="1">
        <v>1321</v>
      </c>
      <c r="G228" s="1">
        <v>12</v>
      </c>
      <c r="H228" s="2">
        <v>46113</v>
      </c>
      <c r="I228" s="2">
        <v>46116</v>
      </c>
      <c r="J228" s="1" t="s">
        <v>15</v>
      </c>
      <c r="K228" s="1">
        <v>1227</v>
      </c>
      <c r="L228" s="1">
        <f t="shared" si="0"/>
        <v>21136</v>
      </c>
    </row>
    <row r="229" spans="1:12" x14ac:dyDescent="0.3">
      <c r="A229" s="1" t="s">
        <v>29</v>
      </c>
      <c r="B229" s="1" t="s">
        <v>25</v>
      </c>
      <c r="C229" s="1" t="s">
        <v>34</v>
      </c>
      <c r="D229" s="1" t="s">
        <v>45</v>
      </c>
      <c r="E229" s="1">
        <v>16</v>
      </c>
      <c r="F229" s="1">
        <v>17477</v>
      </c>
      <c r="G229" s="1">
        <v>10</v>
      </c>
      <c r="H229" s="2">
        <v>46041</v>
      </c>
      <c r="I229" s="2">
        <v>46043</v>
      </c>
      <c r="J229" s="1" t="s">
        <v>24</v>
      </c>
      <c r="K229" s="1">
        <v>1228</v>
      </c>
      <c r="L229" s="1">
        <f t="shared" si="0"/>
        <v>279632</v>
      </c>
    </row>
    <row r="230" spans="1:12" x14ac:dyDescent="0.3">
      <c r="A230" s="1" t="s">
        <v>57</v>
      </c>
      <c r="B230" s="1" t="s">
        <v>12</v>
      </c>
      <c r="C230" s="1" t="s">
        <v>18</v>
      </c>
      <c r="D230" s="1" t="s">
        <v>56</v>
      </c>
      <c r="E230" s="1">
        <v>14</v>
      </c>
      <c r="F230" s="1">
        <v>5859</v>
      </c>
      <c r="G230" s="1">
        <v>12</v>
      </c>
      <c r="H230" s="2">
        <v>46027</v>
      </c>
      <c r="I230" s="2">
        <v>46036</v>
      </c>
      <c r="J230" s="1" t="s">
        <v>20</v>
      </c>
      <c r="K230" s="1">
        <v>1229</v>
      </c>
      <c r="L230" s="1">
        <f t="shared" si="0"/>
        <v>82026</v>
      </c>
    </row>
    <row r="231" spans="1:12" x14ac:dyDescent="0.3">
      <c r="A231" s="1" t="s">
        <v>59</v>
      </c>
      <c r="B231" s="1" t="s">
        <v>33</v>
      </c>
      <c r="C231" s="1" t="s">
        <v>34</v>
      </c>
      <c r="D231" s="1" t="s">
        <v>60</v>
      </c>
      <c r="E231" s="1">
        <v>7</v>
      </c>
      <c r="F231" s="1">
        <v>2932</v>
      </c>
      <c r="G231" s="1">
        <v>7</v>
      </c>
      <c r="H231" s="2">
        <v>46050</v>
      </c>
      <c r="I231" s="2">
        <v>46059</v>
      </c>
      <c r="J231" s="1" t="s">
        <v>24</v>
      </c>
      <c r="K231" s="1">
        <v>1230</v>
      </c>
      <c r="L231" s="1">
        <f t="shared" si="0"/>
        <v>20524</v>
      </c>
    </row>
    <row r="232" spans="1:12" x14ac:dyDescent="0.3">
      <c r="A232" s="1" t="s">
        <v>48</v>
      </c>
      <c r="B232" s="1" t="s">
        <v>38</v>
      </c>
      <c r="C232" s="1" t="s">
        <v>18</v>
      </c>
      <c r="D232" s="1" t="s">
        <v>19</v>
      </c>
      <c r="E232" s="1">
        <v>13</v>
      </c>
      <c r="F232" s="1">
        <v>10297</v>
      </c>
      <c r="G232" s="1">
        <v>12</v>
      </c>
      <c r="H232" s="2">
        <v>46178</v>
      </c>
      <c r="I232" s="2">
        <v>46186</v>
      </c>
      <c r="J232" s="1" t="s">
        <v>20</v>
      </c>
      <c r="K232" s="1">
        <v>1231</v>
      </c>
      <c r="L232" s="1">
        <f t="shared" si="0"/>
        <v>133861</v>
      </c>
    </row>
    <row r="233" spans="1:12" x14ac:dyDescent="0.3">
      <c r="A233" s="1" t="s">
        <v>21</v>
      </c>
      <c r="B233" s="1" t="s">
        <v>12</v>
      </c>
      <c r="C233" s="1" t="s">
        <v>34</v>
      </c>
      <c r="D233" s="1" t="s">
        <v>60</v>
      </c>
      <c r="E233" s="1">
        <v>3</v>
      </c>
      <c r="F233" s="1">
        <v>13272</v>
      </c>
      <c r="G233" s="1">
        <v>2</v>
      </c>
      <c r="H233" s="2">
        <v>46060</v>
      </c>
      <c r="I233" s="2">
        <v>46065</v>
      </c>
      <c r="J233" s="1" t="s">
        <v>15</v>
      </c>
      <c r="K233" s="1">
        <v>1232</v>
      </c>
      <c r="L233" s="1">
        <f t="shared" si="0"/>
        <v>39816</v>
      </c>
    </row>
    <row r="234" spans="1:12" x14ac:dyDescent="0.3">
      <c r="A234" s="1" t="s">
        <v>58</v>
      </c>
      <c r="B234" s="1" t="s">
        <v>22</v>
      </c>
      <c r="C234" s="1" t="s">
        <v>18</v>
      </c>
      <c r="D234" s="1" t="s">
        <v>19</v>
      </c>
      <c r="E234" s="1">
        <v>20</v>
      </c>
      <c r="F234" s="1">
        <v>13941</v>
      </c>
      <c r="G234" s="1">
        <v>15</v>
      </c>
      <c r="H234" s="2">
        <v>46198</v>
      </c>
      <c r="I234" s="2">
        <v>46202</v>
      </c>
      <c r="J234" s="1" t="s">
        <v>24</v>
      </c>
      <c r="K234" s="1">
        <v>1233</v>
      </c>
      <c r="L234" s="1">
        <f t="shared" si="0"/>
        <v>278820</v>
      </c>
    </row>
    <row r="235" spans="1:12" x14ac:dyDescent="0.3">
      <c r="A235" s="1" t="s">
        <v>11</v>
      </c>
      <c r="B235" s="1" t="s">
        <v>25</v>
      </c>
      <c r="C235" s="1" t="s">
        <v>18</v>
      </c>
      <c r="D235" s="1" t="s">
        <v>28</v>
      </c>
      <c r="E235" s="1">
        <v>1</v>
      </c>
      <c r="F235" s="1">
        <v>14320</v>
      </c>
      <c r="G235" s="1">
        <v>12</v>
      </c>
      <c r="H235" s="2">
        <v>46114</v>
      </c>
      <c r="I235" s="2">
        <v>46121</v>
      </c>
      <c r="J235" s="1" t="s">
        <v>51</v>
      </c>
      <c r="K235" s="1">
        <v>1234</v>
      </c>
      <c r="L235" s="1">
        <f t="shared" si="0"/>
        <v>14320</v>
      </c>
    </row>
    <row r="236" spans="1:12" x14ac:dyDescent="0.3">
      <c r="A236" s="1" t="s">
        <v>57</v>
      </c>
      <c r="B236" s="1" t="s">
        <v>25</v>
      </c>
      <c r="C236" s="1" t="s">
        <v>13</v>
      </c>
      <c r="D236" s="1" t="s">
        <v>50</v>
      </c>
      <c r="E236" s="1">
        <v>15</v>
      </c>
      <c r="F236" s="1">
        <v>267</v>
      </c>
      <c r="G236" s="1">
        <v>15</v>
      </c>
      <c r="H236" s="2">
        <v>46172</v>
      </c>
      <c r="I236" s="2">
        <v>46177</v>
      </c>
      <c r="J236" s="1" t="s">
        <v>29</v>
      </c>
      <c r="K236" s="1">
        <v>1235</v>
      </c>
      <c r="L236" s="1">
        <f t="shared" si="0"/>
        <v>4005</v>
      </c>
    </row>
    <row r="237" spans="1:12" x14ac:dyDescent="0.3">
      <c r="A237" s="1" t="s">
        <v>54</v>
      </c>
      <c r="B237" s="1" t="s">
        <v>43</v>
      </c>
      <c r="C237" s="1" t="s">
        <v>13</v>
      </c>
      <c r="D237" s="1" t="s">
        <v>37</v>
      </c>
      <c r="E237" s="1">
        <v>12</v>
      </c>
      <c r="F237" s="1">
        <v>189</v>
      </c>
      <c r="G237" s="1">
        <v>7</v>
      </c>
      <c r="H237" s="2">
        <v>46164</v>
      </c>
      <c r="I237" s="2">
        <v>46169</v>
      </c>
      <c r="J237" s="1" t="s">
        <v>29</v>
      </c>
      <c r="K237" s="1">
        <v>1236</v>
      </c>
      <c r="L237" s="1">
        <f t="shared" si="0"/>
        <v>2268</v>
      </c>
    </row>
    <row r="238" spans="1:12" x14ac:dyDescent="0.3">
      <c r="A238" s="1" t="s">
        <v>46</v>
      </c>
      <c r="B238" s="1" t="s">
        <v>38</v>
      </c>
      <c r="C238" s="1" t="s">
        <v>18</v>
      </c>
      <c r="D238" s="1" t="s">
        <v>56</v>
      </c>
      <c r="E238" s="1">
        <v>8</v>
      </c>
      <c r="F238" s="1">
        <v>12123</v>
      </c>
      <c r="G238" s="1">
        <v>2</v>
      </c>
      <c r="H238" s="2">
        <v>46137</v>
      </c>
      <c r="I238" s="2">
        <v>46145</v>
      </c>
      <c r="J238" s="1" t="s">
        <v>15</v>
      </c>
      <c r="K238" s="1">
        <v>1237</v>
      </c>
      <c r="L238" s="1">
        <f t="shared" si="0"/>
        <v>96984</v>
      </c>
    </row>
    <row r="239" spans="1:12" x14ac:dyDescent="0.3">
      <c r="A239" s="1" t="s">
        <v>30</v>
      </c>
      <c r="B239" s="1" t="s">
        <v>31</v>
      </c>
      <c r="C239" s="1" t="s">
        <v>13</v>
      </c>
      <c r="D239" s="1" t="s">
        <v>14</v>
      </c>
      <c r="E239" s="1">
        <v>6</v>
      </c>
      <c r="F239" s="1">
        <v>180</v>
      </c>
      <c r="G239" s="1">
        <v>12</v>
      </c>
      <c r="H239" s="2">
        <v>46096</v>
      </c>
      <c r="I239" s="2">
        <v>46097</v>
      </c>
      <c r="J239" s="1" t="s">
        <v>51</v>
      </c>
      <c r="K239" s="1">
        <v>1238</v>
      </c>
      <c r="L239" s="1">
        <f t="shared" si="0"/>
        <v>1080</v>
      </c>
    </row>
    <row r="240" spans="1:12" x14ac:dyDescent="0.3">
      <c r="A240" s="1" t="s">
        <v>48</v>
      </c>
      <c r="B240" s="1" t="s">
        <v>17</v>
      </c>
      <c r="C240" s="1" t="s">
        <v>18</v>
      </c>
      <c r="D240" s="1" t="s">
        <v>56</v>
      </c>
      <c r="E240" s="1">
        <v>2</v>
      </c>
      <c r="F240" s="1">
        <v>12330</v>
      </c>
      <c r="G240" s="1">
        <v>12</v>
      </c>
      <c r="H240" s="2">
        <v>46122</v>
      </c>
      <c r="I240" s="2">
        <v>46125</v>
      </c>
      <c r="J240" s="1" t="s">
        <v>15</v>
      </c>
      <c r="K240" s="1">
        <v>1239</v>
      </c>
      <c r="L240" s="1">
        <f t="shared" si="0"/>
        <v>24660</v>
      </c>
    </row>
    <row r="241" spans="1:12" x14ac:dyDescent="0.3">
      <c r="A241" s="1" t="s">
        <v>55</v>
      </c>
      <c r="B241" s="1" t="s">
        <v>33</v>
      </c>
      <c r="C241" s="1" t="s">
        <v>18</v>
      </c>
      <c r="D241" s="1" t="s">
        <v>23</v>
      </c>
      <c r="E241" s="1">
        <v>2</v>
      </c>
      <c r="F241" s="1">
        <v>5475</v>
      </c>
      <c r="G241" s="1">
        <v>2</v>
      </c>
      <c r="H241" s="2">
        <v>46142</v>
      </c>
      <c r="I241" s="2">
        <v>46146</v>
      </c>
      <c r="J241" s="1" t="s">
        <v>29</v>
      </c>
      <c r="K241" s="1">
        <v>1240</v>
      </c>
      <c r="L241" s="1">
        <f t="shared" si="0"/>
        <v>10950</v>
      </c>
    </row>
    <row r="242" spans="1:12" x14ac:dyDescent="0.3">
      <c r="A242" s="1" t="s">
        <v>46</v>
      </c>
      <c r="B242" s="1" t="s">
        <v>31</v>
      </c>
      <c r="C242" s="1" t="s">
        <v>18</v>
      </c>
      <c r="D242" s="1" t="s">
        <v>44</v>
      </c>
      <c r="E242" s="1">
        <v>1</v>
      </c>
      <c r="F242" s="1">
        <v>12537</v>
      </c>
      <c r="G242" s="1">
        <v>0</v>
      </c>
      <c r="H242" s="2">
        <v>46119</v>
      </c>
      <c r="I242" s="2">
        <v>46122</v>
      </c>
      <c r="J242" s="1" t="s">
        <v>15</v>
      </c>
      <c r="K242" s="1">
        <v>1241</v>
      </c>
      <c r="L242" s="1">
        <f t="shared" si="0"/>
        <v>12537</v>
      </c>
    </row>
    <row r="243" spans="1:12" x14ac:dyDescent="0.3">
      <c r="A243" s="1" t="s">
        <v>54</v>
      </c>
      <c r="B243" s="1" t="s">
        <v>38</v>
      </c>
      <c r="C243" s="1" t="s">
        <v>13</v>
      </c>
      <c r="D243" s="1" t="s">
        <v>50</v>
      </c>
      <c r="E243" s="1">
        <v>7</v>
      </c>
      <c r="F243" s="1">
        <v>168</v>
      </c>
      <c r="G243" s="1">
        <v>10</v>
      </c>
      <c r="H243" s="2">
        <v>46191</v>
      </c>
      <c r="I243" s="2">
        <v>46196</v>
      </c>
      <c r="J243" s="1" t="s">
        <v>51</v>
      </c>
      <c r="K243" s="1">
        <v>1242</v>
      </c>
      <c r="L243" s="1">
        <f t="shared" si="0"/>
        <v>1176</v>
      </c>
    </row>
    <row r="244" spans="1:12" x14ac:dyDescent="0.3">
      <c r="A244" s="1" t="s">
        <v>30</v>
      </c>
      <c r="B244" s="1" t="s">
        <v>31</v>
      </c>
      <c r="C244" s="1" t="s">
        <v>34</v>
      </c>
      <c r="D244" s="1" t="s">
        <v>41</v>
      </c>
      <c r="E244" s="1">
        <v>5</v>
      </c>
      <c r="F244" s="1">
        <v>11570</v>
      </c>
      <c r="G244" s="1">
        <v>15</v>
      </c>
      <c r="H244" s="2">
        <v>46069</v>
      </c>
      <c r="I244" s="2">
        <v>46077</v>
      </c>
      <c r="J244" s="1" t="s">
        <v>24</v>
      </c>
      <c r="K244" s="1">
        <v>1243</v>
      </c>
      <c r="L244" s="1">
        <f t="shared" si="0"/>
        <v>57850</v>
      </c>
    </row>
    <row r="245" spans="1:12" x14ac:dyDescent="0.3">
      <c r="A245" s="1" t="s">
        <v>57</v>
      </c>
      <c r="B245" s="1" t="s">
        <v>38</v>
      </c>
      <c r="C245" s="1" t="s">
        <v>18</v>
      </c>
      <c r="D245" s="1" t="s">
        <v>28</v>
      </c>
      <c r="E245" s="1">
        <v>10</v>
      </c>
      <c r="F245" s="1">
        <v>6339</v>
      </c>
      <c r="G245" s="1">
        <v>12</v>
      </c>
      <c r="H245" s="2">
        <v>46200</v>
      </c>
      <c r="I245" s="2">
        <v>46205</v>
      </c>
      <c r="J245" s="1" t="s">
        <v>15</v>
      </c>
      <c r="K245" s="1">
        <v>1244</v>
      </c>
      <c r="L245" s="1">
        <f t="shared" si="0"/>
        <v>63390</v>
      </c>
    </row>
    <row r="246" spans="1:12" x14ac:dyDescent="0.3">
      <c r="A246" s="1" t="s">
        <v>55</v>
      </c>
      <c r="B246" s="1" t="s">
        <v>43</v>
      </c>
      <c r="C246" s="1" t="s">
        <v>34</v>
      </c>
      <c r="D246" s="1" t="s">
        <v>41</v>
      </c>
      <c r="E246" s="1">
        <v>19</v>
      </c>
      <c r="F246" s="1">
        <v>69029</v>
      </c>
      <c r="G246" s="1">
        <v>7</v>
      </c>
      <c r="H246" s="2">
        <v>46176</v>
      </c>
      <c r="I246" s="2">
        <v>46179</v>
      </c>
      <c r="J246" s="1" t="s">
        <v>29</v>
      </c>
      <c r="K246" s="1">
        <v>1245</v>
      </c>
      <c r="L246" s="1">
        <f t="shared" si="0"/>
        <v>1311551</v>
      </c>
    </row>
    <row r="247" spans="1:12" x14ac:dyDescent="0.3">
      <c r="A247" s="1" t="s">
        <v>55</v>
      </c>
      <c r="B247" s="1" t="s">
        <v>22</v>
      </c>
      <c r="C247" s="1" t="s">
        <v>34</v>
      </c>
      <c r="D247" s="1" t="s">
        <v>35</v>
      </c>
      <c r="E247" s="1">
        <v>13</v>
      </c>
      <c r="F247" s="1">
        <v>1825</v>
      </c>
      <c r="G247" s="1">
        <v>2</v>
      </c>
      <c r="H247" s="2">
        <v>46039</v>
      </c>
      <c r="I247" s="2">
        <v>46045</v>
      </c>
      <c r="J247" s="1" t="s">
        <v>51</v>
      </c>
      <c r="K247" s="1">
        <v>1246</v>
      </c>
      <c r="L247" s="1">
        <f t="shared" si="0"/>
        <v>23725</v>
      </c>
    </row>
    <row r="248" spans="1:12" x14ac:dyDescent="0.3">
      <c r="A248" s="1" t="s">
        <v>26</v>
      </c>
      <c r="B248" s="1" t="s">
        <v>12</v>
      </c>
      <c r="C248" s="1" t="s">
        <v>13</v>
      </c>
      <c r="D248" s="1" t="s">
        <v>50</v>
      </c>
      <c r="E248" s="1">
        <v>10</v>
      </c>
      <c r="F248" s="1">
        <v>336</v>
      </c>
      <c r="G248" s="1">
        <v>7</v>
      </c>
      <c r="H248" s="2">
        <v>46173</v>
      </c>
      <c r="I248" s="2">
        <v>46175</v>
      </c>
      <c r="J248" s="1" t="s">
        <v>20</v>
      </c>
      <c r="K248" s="1">
        <v>1247</v>
      </c>
      <c r="L248" s="1">
        <f t="shared" si="0"/>
        <v>3360</v>
      </c>
    </row>
    <row r="249" spans="1:12" x14ac:dyDescent="0.3">
      <c r="A249" s="1" t="s">
        <v>27</v>
      </c>
      <c r="B249" s="1" t="s">
        <v>43</v>
      </c>
      <c r="C249" s="1" t="s">
        <v>13</v>
      </c>
      <c r="D249" s="1" t="s">
        <v>37</v>
      </c>
      <c r="E249" s="1">
        <v>5</v>
      </c>
      <c r="F249" s="1">
        <v>398</v>
      </c>
      <c r="G249" s="1">
        <v>7</v>
      </c>
      <c r="H249" s="2">
        <v>46161</v>
      </c>
      <c r="I249" s="2">
        <v>46171</v>
      </c>
      <c r="J249" s="1" t="s">
        <v>29</v>
      </c>
      <c r="K249" s="1">
        <v>1248</v>
      </c>
      <c r="L249" s="1">
        <f t="shared" si="0"/>
        <v>1990</v>
      </c>
    </row>
    <row r="250" spans="1:12" x14ac:dyDescent="0.3">
      <c r="A250" s="1" t="s">
        <v>16</v>
      </c>
      <c r="B250" s="1" t="s">
        <v>25</v>
      </c>
      <c r="C250" s="1" t="s">
        <v>34</v>
      </c>
      <c r="D250" s="1" t="s">
        <v>41</v>
      </c>
      <c r="E250" s="1">
        <v>18</v>
      </c>
      <c r="F250" s="1">
        <v>6360</v>
      </c>
      <c r="G250" s="1">
        <v>12</v>
      </c>
      <c r="H250" s="2">
        <v>46163</v>
      </c>
      <c r="I250" s="2">
        <v>46165</v>
      </c>
      <c r="J250" s="1" t="s">
        <v>20</v>
      </c>
      <c r="K250" s="1">
        <v>1249</v>
      </c>
      <c r="L250" s="1">
        <f t="shared" si="0"/>
        <v>114480</v>
      </c>
    </row>
    <row r="251" spans="1:12" x14ac:dyDescent="0.3">
      <c r="A251" s="1" t="s">
        <v>11</v>
      </c>
      <c r="B251" s="1" t="s">
        <v>17</v>
      </c>
      <c r="C251" s="1" t="s">
        <v>34</v>
      </c>
      <c r="D251" s="1" t="s">
        <v>45</v>
      </c>
      <c r="E251" s="1">
        <v>2</v>
      </c>
      <c r="F251" s="1">
        <v>65953</v>
      </c>
      <c r="G251" s="1">
        <v>7</v>
      </c>
      <c r="H251" s="2">
        <v>46051</v>
      </c>
      <c r="I251" s="2">
        <v>46053</v>
      </c>
      <c r="J251" s="1" t="s">
        <v>29</v>
      </c>
      <c r="K251" s="1">
        <v>1250</v>
      </c>
      <c r="L251" s="1">
        <f t="shared" si="0"/>
        <v>131906</v>
      </c>
    </row>
    <row r="252" spans="1:12" x14ac:dyDescent="0.3">
      <c r="A252" s="1" t="s">
        <v>55</v>
      </c>
      <c r="B252" s="1" t="s">
        <v>38</v>
      </c>
      <c r="C252" s="1" t="s">
        <v>34</v>
      </c>
      <c r="D252" s="1" t="s">
        <v>61</v>
      </c>
      <c r="E252" s="1">
        <v>19</v>
      </c>
      <c r="F252" s="1">
        <v>48548</v>
      </c>
      <c r="G252" s="1">
        <v>0</v>
      </c>
      <c r="H252" s="2">
        <v>46112</v>
      </c>
      <c r="I252" s="2">
        <v>46121</v>
      </c>
      <c r="J252" s="1" t="s">
        <v>51</v>
      </c>
      <c r="K252" s="1">
        <v>1251</v>
      </c>
      <c r="L252" s="1">
        <f t="shared" si="0"/>
        <v>922412</v>
      </c>
    </row>
    <row r="253" spans="1:12" x14ac:dyDescent="0.3">
      <c r="A253" s="1" t="s">
        <v>47</v>
      </c>
      <c r="B253" s="1" t="s">
        <v>25</v>
      </c>
      <c r="C253" s="1" t="s">
        <v>13</v>
      </c>
      <c r="D253" s="1" t="s">
        <v>36</v>
      </c>
      <c r="E253" s="1">
        <v>15</v>
      </c>
      <c r="F253" s="1">
        <v>257</v>
      </c>
      <c r="G253" s="1">
        <v>5</v>
      </c>
      <c r="H253" s="2">
        <v>46166</v>
      </c>
      <c r="I253" s="2">
        <v>46173</v>
      </c>
      <c r="J253" s="1" t="s">
        <v>20</v>
      </c>
      <c r="K253" s="1">
        <v>1252</v>
      </c>
      <c r="L253" s="1">
        <f t="shared" si="0"/>
        <v>3855</v>
      </c>
    </row>
    <row r="254" spans="1:12" x14ac:dyDescent="0.3">
      <c r="A254" s="1" t="s">
        <v>21</v>
      </c>
      <c r="B254" s="1" t="s">
        <v>31</v>
      </c>
      <c r="C254" s="1" t="s">
        <v>34</v>
      </c>
      <c r="D254" s="1" t="s">
        <v>45</v>
      </c>
      <c r="E254" s="1">
        <v>20</v>
      </c>
      <c r="F254" s="1">
        <v>47880</v>
      </c>
      <c r="G254" s="1">
        <v>7</v>
      </c>
      <c r="H254" s="2">
        <v>46074</v>
      </c>
      <c r="I254" s="2">
        <v>46075</v>
      </c>
      <c r="J254" s="1" t="s">
        <v>29</v>
      </c>
      <c r="K254" s="1">
        <v>1253</v>
      </c>
      <c r="L254" s="1">
        <f t="shared" si="0"/>
        <v>957600</v>
      </c>
    </row>
    <row r="255" spans="1:12" x14ac:dyDescent="0.3">
      <c r="A255" s="1" t="s">
        <v>52</v>
      </c>
      <c r="B255" s="1" t="s">
        <v>22</v>
      </c>
      <c r="C255" s="1" t="s">
        <v>13</v>
      </c>
      <c r="D255" s="1" t="s">
        <v>50</v>
      </c>
      <c r="E255" s="1">
        <v>18</v>
      </c>
      <c r="F255" s="1">
        <v>447</v>
      </c>
      <c r="G255" s="1">
        <v>15</v>
      </c>
      <c r="H255" s="2">
        <v>46141</v>
      </c>
      <c r="I255" s="2">
        <v>46149</v>
      </c>
      <c r="J255" s="1" t="s">
        <v>24</v>
      </c>
      <c r="K255" s="1">
        <v>1254</v>
      </c>
      <c r="L255" s="1">
        <f t="shared" si="0"/>
        <v>8046</v>
      </c>
    </row>
    <row r="256" spans="1:12" x14ac:dyDescent="0.3">
      <c r="A256" s="1" t="s">
        <v>32</v>
      </c>
      <c r="B256" s="1" t="s">
        <v>17</v>
      </c>
      <c r="C256" s="1" t="s">
        <v>18</v>
      </c>
      <c r="D256" s="1" t="s">
        <v>19</v>
      </c>
      <c r="E256" s="1">
        <v>1</v>
      </c>
      <c r="F256" s="1">
        <v>2240</v>
      </c>
      <c r="G256" s="1">
        <v>5</v>
      </c>
      <c r="H256" s="2">
        <v>46091</v>
      </c>
      <c r="I256" s="2">
        <v>46095</v>
      </c>
      <c r="J256" s="1" t="s">
        <v>20</v>
      </c>
      <c r="K256" s="1">
        <v>1255</v>
      </c>
      <c r="L256" s="1">
        <f t="shared" si="0"/>
        <v>2240</v>
      </c>
    </row>
    <row r="257" spans="1:12" x14ac:dyDescent="0.3">
      <c r="A257" s="1" t="s">
        <v>48</v>
      </c>
      <c r="B257" s="1" t="s">
        <v>31</v>
      </c>
      <c r="C257" s="1" t="s">
        <v>13</v>
      </c>
      <c r="D257" s="1" t="s">
        <v>50</v>
      </c>
      <c r="E257" s="1">
        <v>19</v>
      </c>
      <c r="F257" s="1">
        <v>406</v>
      </c>
      <c r="G257" s="1">
        <v>7</v>
      </c>
      <c r="H257" s="2">
        <v>46057</v>
      </c>
      <c r="I257" s="2">
        <v>46061</v>
      </c>
      <c r="J257" s="1" t="s">
        <v>15</v>
      </c>
      <c r="K257" s="1">
        <v>1256</v>
      </c>
      <c r="L257" s="1">
        <f t="shared" ref="L257:L401" si="1">E257*F257</f>
        <v>7714</v>
      </c>
    </row>
    <row r="258" spans="1:12" x14ac:dyDescent="0.3">
      <c r="A258" s="1" t="s">
        <v>54</v>
      </c>
      <c r="B258" s="1" t="s">
        <v>25</v>
      </c>
      <c r="C258" s="1" t="s">
        <v>34</v>
      </c>
      <c r="D258" s="1" t="s">
        <v>61</v>
      </c>
      <c r="E258" s="1">
        <v>7</v>
      </c>
      <c r="F258" s="1">
        <v>53243</v>
      </c>
      <c r="G258" s="1">
        <v>12</v>
      </c>
      <c r="H258" s="2">
        <v>46161</v>
      </c>
      <c r="I258" s="2">
        <v>46171</v>
      </c>
      <c r="J258" s="1" t="s">
        <v>15</v>
      </c>
      <c r="K258" s="1">
        <v>1257</v>
      </c>
      <c r="L258" s="1">
        <f t="shared" si="1"/>
        <v>372701</v>
      </c>
    </row>
    <row r="259" spans="1:12" x14ac:dyDescent="0.3">
      <c r="A259" s="1" t="s">
        <v>32</v>
      </c>
      <c r="B259" s="1" t="s">
        <v>31</v>
      </c>
      <c r="C259" s="1" t="s">
        <v>34</v>
      </c>
      <c r="D259" s="1" t="s">
        <v>60</v>
      </c>
      <c r="E259" s="1">
        <v>1</v>
      </c>
      <c r="F259" s="1">
        <v>10600</v>
      </c>
      <c r="G259" s="1">
        <v>5</v>
      </c>
      <c r="H259" s="2">
        <v>46137</v>
      </c>
      <c r="I259" s="2">
        <v>46138</v>
      </c>
      <c r="J259" s="1" t="s">
        <v>29</v>
      </c>
      <c r="K259" s="1">
        <v>1258</v>
      </c>
      <c r="L259" s="1">
        <f t="shared" si="1"/>
        <v>10600</v>
      </c>
    </row>
    <row r="260" spans="1:12" x14ac:dyDescent="0.3">
      <c r="A260" s="1" t="s">
        <v>42</v>
      </c>
      <c r="B260" s="1" t="s">
        <v>22</v>
      </c>
      <c r="C260" s="1" t="s">
        <v>34</v>
      </c>
      <c r="D260" s="1" t="s">
        <v>45</v>
      </c>
      <c r="E260" s="1">
        <v>10</v>
      </c>
      <c r="F260" s="1">
        <v>38771</v>
      </c>
      <c r="G260" s="1">
        <v>15</v>
      </c>
      <c r="H260" s="2">
        <v>46172</v>
      </c>
      <c r="I260" s="2">
        <v>46182</v>
      </c>
      <c r="J260" s="1" t="s">
        <v>15</v>
      </c>
      <c r="K260" s="1">
        <v>1259</v>
      </c>
      <c r="L260" s="1">
        <f t="shared" si="1"/>
        <v>387710</v>
      </c>
    </row>
    <row r="261" spans="1:12" x14ac:dyDescent="0.3">
      <c r="A261" s="1" t="s">
        <v>54</v>
      </c>
      <c r="B261" s="1" t="s">
        <v>38</v>
      </c>
      <c r="C261" s="1" t="s">
        <v>34</v>
      </c>
      <c r="D261" s="1" t="s">
        <v>41</v>
      </c>
      <c r="E261" s="1">
        <v>19</v>
      </c>
      <c r="F261" s="1">
        <v>54981</v>
      </c>
      <c r="G261" s="1">
        <v>10</v>
      </c>
      <c r="H261" s="2">
        <v>46040</v>
      </c>
      <c r="I261" s="2">
        <v>46045</v>
      </c>
      <c r="J261" s="1" t="s">
        <v>29</v>
      </c>
      <c r="K261" s="1">
        <v>1260</v>
      </c>
      <c r="L261" s="1">
        <f t="shared" si="1"/>
        <v>1044639</v>
      </c>
    </row>
    <row r="262" spans="1:12" x14ac:dyDescent="0.3">
      <c r="A262" s="1" t="s">
        <v>40</v>
      </c>
      <c r="B262" s="1" t="s">
        <v>17</v>
      </c>
      <c r="C262" s="1" t="s">
        <v>13</v>
      </c>
      <c r="D262" s="1" t="s">
        <v>50</v>
      </c>
      <c r="E262" s="1">
        <v>20</v>
      </c>
      <c r="F262" s="1">
        <v>162</v>
      </c>
      <c r="G262" s="1">
        <v>7</v>
      </c>
      <c r="H262" s="2">
        <v>46119</v>
      </c>
      <c r="I262" s="2">
        <v>46120</v>
      </c>
      <c r="J262" s="1" t="s">
        <v>51</v>
      </c>
      <c r="K262" s="1">
        <v>1261</v>
      </c>
      <c r="L262" s="1">
        <f t="shared" si="1"/>
        <v>3240</v>
      </c>
    </row>
    <row r="263" spans="1:12" x14ac:dyDescent="0.3">
      <c r="A263" s="1" t="s">
        <v>16</v>
      </c>
      <c r="B263" s="1" t="s">
        <v>22</v>
      </c>
      <c r="C263" s="1" t="s">
        <v>18</v>
      </c>
      <c r="D263" s="1" t="s">
        <v>28</v>
      </c>
      <c r="E263" s="1">
        <v>9</v>
      </c>
      <c r="F263" s="1">
        <v>2231</v>
      </c>
      <c r="G263" s="1">
        <v>15</v>
      </c>
      <c r="H263" s="2">
        <v>46174</v>
      </c>
      <c r="I263" s="2">
        <v>46183</v>
      </c>
      <c r="J263" s="1" t="s">
        <v>15</v>
      </c>
      <c r="K263" s="1">
        <v>1262</v>
      </c>
      <c r="L263" s="1">
        <f t="shared" si="1"/>
        <v>20079</v>
      </c>
    </row>
    <row r="264" spans="1:12" x14ac:dyDescent="0.3">
      <c r="A264" s="1" t="s">
        <v>29</v>
      </c>
      <c r="B264" s="1" t="s">
        <v>38</v>
      </c>
      <c r="C264" s="1" t="s">
        <v>18</v>
      </c>
      <c r="D264" s="1" t="s">
        <v>28</v>
      </c>
      <c r="E264" s="1">
        <v>10</v>
      </c>
      <c r="F264" s="1">
        <v>1505</v>
      </c>
      <c r="G264" s="1">
        <v>0</v>
      </c>
      <c r="H264" s="2">
        <v>46130</v>
      </c>
      <c r="I264" s="2">
        <v>46138</v>
      </c>
      <c r="J264" s="1" t="s">
        <v>51</v>
      </c>
      <c r="K264" s="1">
        <v>1263</v>
      </c>
      <c r="L264" s="1">
        <f t="shared" si="1"/>
        <v>15050</v>
      </c>
    </row>
    <row r="265" spans="1:12" x14ac:dyDescent="0.3">
      <c r="A265" s="1" t="s">
        <v>11</v>
      </c>
      <c r="B265" s="1" t="s">
        <v>22</v>
      </c>
      <c r="C265" s="1" t="s">
        <v>18</v>
      </c>
      <c r="D265" s="1" t="s">
        <v>28</v>
      </c>
      <c r="E265" s="1">
        <v>15</v>
      </c>
      <c r="F265" s="1">
        <v>6365</v>
      </c>
      <c r="G265" s="1">
        <v>10</v>
      </c>
      <c r="H265" s="2">
        <v>46200</v>
      </c>
      <c r="I265" s="2">
        <v>46206</v>
      </c>
      <c r="J265" s="1" t="s">
        <v>20</v>
      </c>
      <c r="K265" s="1">
        <v>1264</v>
      </c>
      <c r="L265" s="1">
        <f t="shared" si="1"/>
        <v>95475</v>
      </c>
    </row>
    <row r="266" spans="1:12" x14ac:dyDescent="0.3">
      <c r="A266" s="1" t="s">
        <v>58</v>
      </c>
      <c r="B266" s="1" t="s">
        <v>22</v>
      </c>
      <c r="C266" s="1" t="s">
        <v>18</v>
      </c>
      <c r="D266" s="1" t="s">
        <v>19</v>
      </c>
      <c r="E266" s="1">
        <v>1</v>
      </c>
      <c r="F266" s="1">
        <v>1052</v>
      </c>
      <c r="G266" s="1">
        <v>7</v>
      </c>
      <c r="H266" s="2">
        <v>46117</v>
      </c>
      <c r="I266" s="2">
        <v>46127</v>
      </c>
      <c r="J266" s="1" t="s">
        <v>51</v>
      </c>
      <c r="K266" s="1">
        <v>1265</v>
      </c>
      <c r="L266" s="1">
        <f t="shared" si="1"/>
        <v>1052</v>
      </c>
    </row>
    <row r="267" spans="1:12" x14ac:dyDescent="0.3">
      <c r="A267" s="1" t="s">
        <v>29</v>
      </c>
      <c r="B267" s="1" t="s">
        <v>33</v>
      </c>
      <c r="C267" s="1" t="s">
        <v>13</v>
      </c>
      <c r="D267" s="1" t="s">
        <v>14</v>
      </c>
      <c r="E267" s="1">
        <v>17</v>
      </c>
      <c r="F267" s="1">
        <v>365</v>
      </c>
      <c r="G267" s="1">
        <v>2</v>
      </c>
      <c r="H267" s="2">
        <v>46096</v>
      </c>
      <c r="I267" s="2">
        <v>46104</v>
      </c>
      <c r="J267" s="1" t="s">
        <v>51</v>
      </c>
      <c r="K267" s="1">
        <v>1266</v>
      </c>
      <c r="L267" s="1">
        <f t="shared" si="1"/>
        <v>6205</v>
      </c>
    </row>
    <row r="268" spans="1:12" x14ac:dyDescent="0.3">
      <c r="A268" s="1" t="s">
        <v>27</v>
      </c>
      <c r="B268" s="1" t="s">
        <v>38</v>
      </c>
      <c r="C268" s="1" t="s">
        <v>13</v>
      </c>
      <c r="D268" s="1" t="s">
        <v>50</v>
      </c>
      <c r="E268" s="1">
        <v>1</v>
      </c>
      <c r="F268" s="1">
        <v>50</v>
      </c>
      <c r="G268" s="1">
        <v>0</v>
      </c>
      <c r="H268" s="2">
        <v>46129</v>
      </c>
      <c r="I268" s="2">
        <v>46138</v>
      </c>
      <c r="J268" s="1" t="s">
        <v>20</v>
      </c>
      <c r="K268" s="1">
        <v>1267</v>
      </c>
      <c r="L268" s="1">
        <f t="shared" si="1"/>
        <v>50</v>
      </c>
    </row>
    <row r="269" spans="1:12" x14ac:dyDescent="0.3">
      <c r="A269" s="1" t="s">
        <v>42</v>
      </c>
      <c r="B269" s="1" t="s">
        <v>38</v>
      </c>
      <c r="C269" s="1" t="s">
        <v>34</v>
      </c>
      <c r="D269" s="1" t="s">
        <v>45</v>
      </c>
      <c r="E269" s="1">
        <v>10</v>
      </c>
      <c r="F269" s="1">
        <v>46291</v>
      </c>
      <c r="G269" s="1">
        <v>12</v>
      </c>
      <c r="H269" s="2">
        <v>46199</v>
      </c>
      <c r="I269" s="2">
        <v>46202</v>
      </c>
      <c r="J269" s="1" t="s">
        <v>20</v>
      </c>
      <c r="K269" s="1">
        <v>1268</v>
      </c>
      <c r="L269" s="1">
        <f t="shared" si="1"/>
        <v>462910</v>
      </c>
    </row>
    <row r="270" spans="1:12" x14ac:dyDescent="0.3">
      <c r="A270" s="1" t="s">
        <v>52</v>
      </c>
      <c r="B270" s="1" t="s">
        <v>43</v>
      </c>
      <c r="C270" s="1" t="s">
        <v>18</v>
      </c>
      <c r="D270" s="1" t="s">
        <v>19</v>
      </c>
      <c r="E270" s="1">
        <v>14</v>
      </c>
      <c r="F270" s="1">
        <v>5704</v>
      </c>
      <c r="G270" s="1">
        <v>2</v>
      </c>
      <c r="H270" s="2">
        <v>46129</v>
      </c>
      <c r="I270" s="2">
        <v>46131</v>
      </c>
      <c r="J270" s="1" t="s">
        <v>15</v>
      </c>
      <c r="K270" s="1">
        <v>1269</v>
      </c>
      <c r="L270" s="1">
        <f t="shared" si="1"/>
        <v>79856</v>
      </c>
    </row>
    <row r="271" spans="1:12" x14ac:dyDescent="0.3">
      <c r="A271" s="1" t="s">
        <v>49</v>
      </c>
      <c r="B271" s="1" t="s">
        <v>43</v>
      </c>
      <c r="C271" s="1" t="s">
        <v>34</v>
      </c>
      <c r="D271" s="1" t="s">
        <v>35</v>
      </c>
      <c r="E271" s="1">
        <v>16</v>
      </c>
      <c r="F271" s="1">
        <v>62941</v>
      </c>
      <c r="G271" s="1">
        <v>7</v>
      </c>
      <c r="H271" s="2">
        <v>46135</v>
      </c>
      <c r="I271" s="2">
        <v>46141</v>
      </c>
      <c r="J271" s="1" t="s">
        <v>51</v>
      </c>
      <c r="K271" s="1">
        <v>1270</v>
      </c>
      <c r="L271" s="1">
        <f t="shared" si="1"/>
        <v>1007056</v>
      </c>
    </row>
    <row r="272" spans="1:12" x14ac:dyDescent="0.3">
      <c r="A272" s="1" t="s">
        <v>40</v>
      </c>
      <c r="B272" s="1" t="s">
        <v>33</v>
      </c>
      <c r="C272" s="1" t="s">
        <v>34</v>
      </c>
      <c r="D272" s="1" t="s">
        <v>60</v>
      </c>
      <c r="E272" s="1">
        <v>20</v>
      </c>
      <c r="F272" s="1">
        <v>36941</v>
      </c>
      <c r="G272" s="1">
        <v>15</v>
      </c>
      <c r="H272" s="2">
        <v>46083</v>
      </c>
      <c r="I272" s="2">
        <v>46085</v>
      </c>
      <c r="J272" s="1" t="s">
        <v>29</v>
      </c>
      <c r="K272" s="1">
        <v>1271</v>
      </c>
      <c r="L272" s="1">
        <f t="shared" si="1"/>
        <v>738820</v>
      </c>
    </row>
    <row r="273" spans="1:12" x14ac:dyDescent="0.3">
      <c r="A273" s="1" t="s">
        <v>52</v>
      </c>
      <c r="B273" s="1" t="s">
        <v>38</v>
      </c>
      <c r="C273" s="1" t="s">
        <v>34</v>
      </c>
      <c r="D273" s="1" t="s">
        <v>41</v>
      </c>
      <c r="E273" s="1">
        <v>13</v>
      </c>
      <c r="F273" s="1">
        <v>42179</v>
      </c>
      <c r="G273" s="1">
        <v>0</v>
      </c>
      <c r="H273" s="2">
        <v>46078</v>
      </c>
      <c r="I273" s="2">
        <v>46084</v>
      </c>
      <c r="J273" s="1" t="s">
        <v>20</v>
      </c>
      <c r="K273" s="1">
        <v>1272</v>
      </c>
      <c r="L273" s="1">
        <f t="shared" si="1"/>
        <v>548327</v>
      </c>
    </row>
    <row r="274" spans="1:12" x14ac:dyDescent="0.3">
      <c r="A274" s="1" t="s">
        <v>46</v>
      </c>
      <c r="B274" s="1" t="s">
        <v>25</v>
      </c>
      <c r="C274" s="1" t="s">
        <v>34</v>
      </c>
      <c r="D274" s="1" t="s">
        <v>39</v>
      </c>
      <c r="E274" s="1">
        <v>12</v>
      </c>
      <c r="F274" s="1">
        <v>20618</v>
      </c>
      <c r="G274" s="1">
        <v>12</v>
      </c>
      <c r="H274" s="2">
        <v>46172</v>
      </c>
      <c r="I274" s="2">
        <v>46174</v>
      </c>
      <c r="J274" s="1" t="s">
        <v>20</v>
      </c>
      <c r="K274" s="1">
        <v>1273</v>
      </c>
      <c r="L274" s="1">
        <f t="shared" si="1"/>
        <v>247416</v>
      </c>
    </row>
    <row r="275" spans="1:12" x14ac:dyDescent="0.3">
      <c r="A275" s="1" t="s">
        <v>26</v>
      </c>
      <c r="B275" s="1" t="s">
        <v>25</v>
      </c>
      <c r="C275" s="1" t="s">
        <v>34</v>
      </c>
      <c r="D275" s="1" t="s">
        <v>41</v>
      </c>
      <c r="E275" s="1">
        <v>13</v>
      </c>
      <c r="F275" s="1">
        <v>36652</v>
      </c>
      <c r="G275" s="1">
        <v>12</v>
      </c>
      <c r="H275" s="2">
        <v>46179</v>
      </c>
      <c r="I275" s="2">
        <v>46186</v>
      </c>
      <c r="J275" s="1" t="s">
        <v>20</v>
      </c>
      <c r="K275" s="1">
        <v>1274</v>
      </c>
      <c r="L275" s="1">
        <f t="shared" si="1"/>
        <v>476476</v>
      </c>
    </row>
    <row r="276" spans="1:12" x14ac:dyDescent="0.3">
      <c r="A276" s="1" t="s">
        <v>16</v>
      </c>
      <c r="B276" s="1" t="s">
        <v>31</v>
      </c>
      <c r="C276" s="1" t="s">
        <v>13</v>
      </c>
      <c r="D276" s="1" t="s">
        <v>50</v>
      </c>
      <c r="E276" s="1">
        <v>20</v>
      </c>
      <c r="F276" s="1">
        <v>451</v>
      </c>
      <c r="G276" s="1">
        <v>15</v>
      </c>
      <c r="H276" s="2">
        <v>46092</v>
      </c>
      <c r="I276" s="2">
        <v>46094</v>
      </c>
      <c r="J276" s="1" t="s">
        <v>20</v>
      </c>
      <c r="K276" s="1">
        <v>1275</v>
      </c>
      <c r="L276" s="1">
        <f t="shared" si="1"/>
        <v>9020</v>
      </c>
    </row>
    <row r="277" spans="1:12" x14ac:dyDescent="0.3">
      <c r="A277" s="1" t="s">
        <v>40</v>
      </c>
      <c r="B277" s="1" t="s">
        <v>12</v>
      </c>
      <c r="C277" s="1" t="s">
        <v>18</v>
      </c>
      <c r="D277" s="1" t="s">
        <v>19</v>
      </c>
      <c r="E277" s="1">
        <v>1</v>
      </c>
      <c r="F277" s="1">
        <v>13437</v>
      </c>
      <c r="G277" s="1">
        <v>15</v>
      </c>
      <c r="H277" s="2">
        <v>46097</v>
      </c>
      <c r="I277" s="2">
        <v>46099</v>
      </c>
      <c r="J277" s="1" t="s">
        <v>24</v>
      </c>
      <c r="K277" s="1">
        <v>1276</v>
      </c>
      <c r="L277" s="1">
        <f t="shared" si="1"/>
        <v>13437</v>
      </c>
    </row>
    <row r="278" spans="1:12" x14ac:dyDescent="0.3">
      <c r="A278" s="1" t="s">
        <v>59</v>
      </c>
      <c r="B278" s="1" t="s">
        <v>17</v>
      </c>
      <c r="C278" s="1" t="s">
        <v>13</v>
      </c>
      <c r="D278" s="1" t="s">
        <v>36</v>
      </c>
      <c r="E278" s="1">
        <v>14</v>
      </c>
      <c r="F278" s="1">
        <v>276</v>
      </c>
      <c r="G278" s="1">
        <v>0</v>
      </c>
      <c r="H278" s="2">
        <v>46086</v>
      </c>
      <c r="I278" s="2">
        <v>46089</v>
      </c>
      <c r="J278" s="1" t="s">
        <v>15</v>
      </c>
      <c r="K278" s="1">
        <v>1277</v>
      </c>
      <c r="L278" s="1">
        <f t="shared" si="1"/>
        <v>3864</v>
      </c>
    </row>
    <row r="279" spans="1:12" x14ac:dyDescent="0.3">
      <c r="A279" s="1" t="s">
        <v>47</v>
      </c>
      <c r="B279" s="1" t="s">
        <v>22</v>
      </c>
      <c r="C279" s="1" t="s">
        <v>34</v>
      </c>
      <c r="D279" s="1" t="s">
        <v>61</v>
      </c>
      <c r="E279" s="1">
        <v>4</v>
      </c>
      <c r="F279" s="1">
        <v>20639</v>
      </c>
      <c r="G279" s="1">
        <v>7</v>
      </c>
      <c r="H279" s="2">
        <v>46180</v>
      </c>
      <c r="I279" s="2">
        <v>46186</v>
      </c>
      <c r="J279" s="1" t="s">
        <v>20</v>
      </c>
      <c r="K279" s="1">
        <v>1278</v>
      </c>
      <c r="L279" s="1">
        <f t="shared" si="1"/>
        <v>82556</v>
      </c>
    </row>
    <row r="280" spans="1:12" x14ac:dyDescent="0.3">
      <c r="A280" s="1" t="s">
        <v>55</v>
      </c>
      <c r="B280" s="1" t="s">
        <v>33</v>
      </c>
      <c r="C280" s="1" t="s">
        <v>34</v>
      </c>
      <c r="D280" s="1" t="s">
        <v>45</v>
      </c>
      <c r="E280" s="1">
        <v>20</v>
      </c>
      <c r="F280" s="1">
        <v>49042</v>
      </c>
      <c r="G280" s="1">
        <v>2</v>
      </c>
      <c r="H280" s="2">
        <v>46124</v>
      </c>
      <c r="I280" s="2">
        <v>46126</v>
      </c>
      <c r="J280" s="1" t="s">
        <v>15</v>
      </c>
      <c r="K280" s="1">
        <v>1279</v>
      </c>
      <c r="L280" s="1">
        <f t="shared" si="1"/>
        <v>980840</v>
      </c>
    </row>
    <row r="281" spans="1:12" x14ac:dyDescent="0.3">
      <c r="A281" s="1" t="s">
        <v>59</v>
      </c>
      <c r="B281" s="1" t="s">
        <v>38</v>
      </c>
      <c r="C281" s="1" t="s">
        <v>13</v>
      </c>
      <c r="D281" s="1" t="s">
        <v>53</v>
      </c>
      <c r="E281" s="1">
        <v>9</v>
      </c>
      <c r="F281" s="1">
        <v>50</v>
      </c>
      <c r="G281" s="1">
        <v>7</v>
      </c>
      <c r="H281" s="2">
        <v>46085</v>
      </c>
      <c r="I281" s="2">
        <v>46095</v>
      </c>
      <c r="J281" s="1" t="s">
        <v>51</v>
      </c>
      <c r="K281" s="1">
        <v>1280</v>
      </c>
      <c r="L281" s="1">
        <f t="shared" si="1"/>
        <v>450</v>
      </c>
    </row>
    <row r="282" spans="1:12" x14ac:dyDescent="0.3">
      <c r="A282" s="1" t="s">
        <v>55</v>
      </c>
      <c r="B282" s="1" t="s">
        <v>17</v>
      </c>
      <c r="C282" s="1" t="s">
        <v>13</v>
      </c>
      <c r="D282" s="1" t="s">
        <v>50</v>
      </c>
      <c r="E282" s="1">
        <v>6</v>
      </c>
      <c r="F282" s="1">
        <v>253</v>
      </c>
      <c r="G282" s="1">
        <v>0</v>
      </c>
      <c r="H282" s="2">
        <v>46055</v>
      </c>
      <c r="I282" s="2">
        <v>46063</v>
      </c>
      <c r="J282" s="1" t="s">
        <v>24</v>
      </c>
      <c r="K282" s="1">
        <v>1281</v>
      </c>
      <c r="L282" s="1">
        <f t="shared" si="1"/>
        <v>1518</v>
      </c>
    </row>
    <row r="283" spans="1:12" x14ac:dyDescent="0.3">
      <c r="A283" s="1" t="s">
        <v>57</v>
      </c>
      <c r="B283" s="1" t="s">
        <v>43</v>
      </c>
      <c r="C283" s="1" t="s">
        <v>18</v>
      </c>
      <c r="D283" s="1" t="s">
        <v>44</v>
      </c>
      <c r="E283" s="1">
        <v>12</v>
      </c>
      <c r="F283" s="1">
        <v>3178</v>
      </c>
      <c r="G283" s="1">
        <v>10</v>
      </c>
      <c r="H283" s="2">
        <v>46176</v>
      </c>
      <c r="I283" s="2">
        <v>46177</v>
      </c>
      <c r="J283" s="1" t="s">
        <v>29</v>
      </c>
      <c r="K283" s="1">
        <v>1282</v>
      </c>
      <c r="L283" s="1">
        <f t="shared" si="1"/>
        <v>38136</v>
      </c>
    </row>
    <row r="284" spans="1:12" x14ac:dyDescent="0.3">
      <c r="A284" s="1" t="s">
        <v>40</v>
      </c>
      <c r="B284" s="1" t="s">
        <v>12</v>
      </c>
      <c r="C284" s="1" t="s">
        <v>18</v>
      </c>
      <c r="D284" s="1" t="s">
        <v>23</v>
      </c>
      <c r="E284" s="1">
        <v>6</v>
      </c>
      <c r="F284" s="1">
        <v>1167</v>
      </c>
      <c r="G284" s="1">
        <v>2</v>
      </c>
      <c r="H284" s="2">
        <v>46100</v>
      </c>
      <c r="I284" s="2">
        <v>46106</v>
      </c>
      <c r="J284" s="1" t="s">
        <v>15</v>
      </c>
      <c r="K284" s="1">
        <v>1283</v>
      </c>
      <c r="L284" s="1">
        <f t="shared" si="1"/>
        <v>7002</v>
      </c>
    </row>
    <row r="285" spans="1:12" x14ac:dyDescent="0.3">
      <c r="A285" s="1" t="s">
        <v>40</v>
      </c>
      <c r="B285" s="1" t="s">
        <v>25</v>
      </c>
      <c r="C285" s="1" t="s">
        <v>13</v>
      </c>
      <c r="D285" s="1" t="s">
        <v>37</v>
      </c>
      <c r="E285" s="1">
        <v>16</v>
      </c>
      <c r="F285" s="1">
        <v>419</v>
      </c>
      <c r="G285" s="1">
        <v>2</v>
      </c>
      <c r="H285" s="2">
        <v>46082</v>
      </c>
      <c r="I285" s="2">
        <v>46090</v>
      </c>
      <c r="J285" s="1" t="s">
        <v>15</v>
      </c>
      <c r="K285" s="1">
        <v>1284</v>
      </c>
      <c r="L285" s="1">
        <f t="shared" si="1"/>
        <v>6704</v>
      </c>
    </row>
    <row r="286" spans="1:12" x14ac:dyDescent="0.3">
      <c r="A286" s="1" t="s">
        <v>32</v>
      </c>
      <c r="B286" s="1" t="s">
        <v>38</v>
      </c>
      <c r="C286" s="1" t="s">
        <v>13</v>
      </c>
      <c r="D286" s="1" t="s">
        <v>36</v>
      </c>
      <c r="E286" s="1">
        <v>7</v>
      </c>
      <c r="F286" s="1">
        <v>439</v>
      </c>
      <c r="G286" s="1">
        <v>15</v>
      </c>
      <c r="H286" s="2">
        <v>46055</v>
      </c>
      <c r="I286" s="2">
        <v>46058</v>
      </c>
      <c r="J286" s="1" t="s">
        <v>20</v>
      </c>
      <c r="K286" s="1">
        <v>1285</v>
      </c>
      <c r="L286" s="1">
        <f t="shared" si="1"/>
        <v>3073</v>
      </c>
    </row>
    <row r="287" spans="1:12" x14ac:dyDescent="0.3">
      <c r="A287" s="1" t="s">
        <v>46</v>
      </c>
      <c r="B287" s="1" t="s">
        <v>17</v>
      </c>
      <c r="C287" s="1" t="s">
        <v>18</v>
      </c>
      <c r="D287" s="1" t="s">
        <v>56</v>
      </c>
      <c r="E287" s="1">
        <v>9</v>
      </c>
      <c r="F287" s="1">
        <v>1340</v>
      </c>
      <c r="G287" s="1">
        <v>2</v>
      </c>
      <c r="H287" s="2">
        <v>46168</v>
      </c>
      <c r="I287" s="2">
        <v>46173</v>
      </c>
      <c r="J287" s="1" t="s">
        <v>15</v>
      </c>
      <c r="K287" s="1">
        <v>1286</v>
      </c>
      <c r="L287" s="1">
        <f t="shared" si="1"/>
        <v>12060</v>
      </c>
    </row>
    <row r="288" spans="1:12" x14ac:dyDescent="0.3">
      <c r="A288" s="1" t="s">
        <v>59</v>
      </c>
      <c r="B288" s="1" t="s">
        <v>31</v>
      </c>
      <c r="C288" s="1" t="s">
        <v>13</v>
      </c>
      <c r="D288" s="1" t="s">
        <v>14</v>
      </c>
      <c r="E288" s="1">
        <v>15</v>
      </c>
      <c r="F288" s="1">
        <v>251</v>
      </c>
      <c r="G288" s="1">
        <v>2</v>
      </c>
      <c r="H288" s="2">
        <v>46116</v>
      </c>
      <c r="I288" s="2">
        <v>46122</v>
      </c>
      <c r="J288" s="1" t="s">
        <v>51</v>
      </c>
      <c r="K288" s="1">
        <v>1287</v>
      </c>
      <c r="L288" s="1">
        <f t="shared" si="1"/>
        <v>3765</v>
      </c>
    </row>
    <row r="289" spans="1:12" x14ac:dyDescent="0.3">
      <c r="A289" s="1" t="s">
        <v>54</v>
      </c>
      <c r="B289" s="1" t="s">
        <v>22</v>
      </c>
      <c r="C289" s="1" t="s">
        <v>34</v>
      </c>
      <c r="D289" s="1" t="s">
        <v>60</v>
      </c>
      <c r="E289" s="1">
        <v>14</v>
      </c>
      <c r="F289" s="1">
        <v>35601</v>
      </c>
      <c r="G289" s="1">
        <v>10</v>
      </c>
      <c r="H289" s="2">
        <v>46179</v>
      </c>
      <c r="I289" s="2">
        <v>46187</v>
      </c>
      <c r="J289" s="1" t="s">
        <v>29</v>
      </c>
      <c r="K289" s="1">
        <v>1288</v>
      </c>
      <c r="L289" s="1">
        <f t="shared" si="1"/>
        <v>498414</v>
      </c>
    </row>
    <row r="290" spans="1:12" x14ac:dyDescent="0.3">
      <c r="A290" s="1" t="s">
        <v>26</v>
      </c>
      <c r="B290" s="1" t="s">
        <v>22</v>
      </c>
      <c r="C290" s="1" t="s">
        <v>34</v>
      </c>
      <c r="D290" s="1" t="s">
        <v>45</v>
      </c>
      <c r="E290" s="1">
        <v>19</v>
      </c>
      <c r="F290" s="1">
        <v>25336</v>
      </c>
      <c r="G290" s="1">
        <v>2</v>
      </c>
      <c r="H290" s="2">
        <v>46122</v>
      </c>
      <c r="I290" s="2">
        <v>46130</v>
      </c>
      <c r="J290" s="1" t="s">
        <v>24</v>
      </c>
      <c r="K290" s="1">
        <v>1289</v>
      </c>
      <c r="L290" s="1">
        <f t="shared" si="1"/>
        <v>481384</v>
      </c>
    </row>
    <row r="291" spans="1:12" x14ac:dyDescent="0.3">
      <c r="A291" s="1" t="s">
        <v>26</v>
      </c>
      <c r="B291" s="1" t="s">
        <v>22</v>
      </c>
      <c r="C291" s="1" t="s">
        <v>34</v>
      </c>
      <c r="D291" s="1" t="s">
        <v>35</v>
      </c>
      <c r="E291" s="1">
        <v>3</v>
      </c>
      <c r="F291" s="1">
        <v>69793</v>
      </c>
      <c r="G291" s="1">
        <v>15</v>
      </c>
      <c r="H291" s="2">
        <v>46110</v>
      </c>
      <c r="I291" s="2">
        <v>46111</v>
      </c>
      <c r="J291" s="1" t="s">
        <v>29</v>
      </c>
      <c r="K291" s="1">
        <v>1290</v>
      </c>
      <c r="L291" s="1">
        <f t="shared" si="1"/>
        <v>209379</v>
      </c>
    </row>
    <row r="292" spans="1:12" x14ac:dyDescent="0.3">
      <c r="A292" s="1" t="s">
        <v>21</v>
      </c>
      <c r="B292" s="1" t="s">
        <v>17</v>
      </c>
      <c r="C292" s="1" t="s">
        <v>13</v>
      </c>
      <c r="D292" s="1" t="s">
        <v>36</v>
      </c>
      <c r="E292" s="1">
        <v>17</v>
      </c>
      <c r="F292" s="1">
        <v>415</v>
      </c>
      <c r="G292" s="1">
        <v>5</v>
      </c>
      <c r="H292" s="2">
        <v>46137</v>
      </c>
      <c r="I292" s="2">
        <v>46141</v>
      </c>
      <c r="J292" s="1" t="s">
        <v>20</v>
      </c>
      <c r="K292" s="1">
        <v>1291</v>
      </c>
      <c r="L292" s="1">
        <f t="shared" si="1"/>
        <v>7055</v>
      </c>
    </row>
    <row r="293" spans="1:12" x14ac:dyDescent="0.3">
      <c r="A293" s="1" t="s">
        <v>54</v>
      </c>
      <c r="B293" s="1" t="s">
        <v>33</v>
      </c>
      <c r="C293" s="1" t="s">
        <v>34</v>
      </c>
      <c r="D293" s="1" t="s">
        <v>61</v>
      </c>
      <c r="E293" s="1">
        <v>11</v>
      </c>
      <c r="F293" s="1">
        <v>25158</v>
      </c>
      <c r="G293" s="1">
        <v>5</v>
      </c>
      <c r="H293" s="2">
        <v>46186</v>
      </c>
      <c r="I293" s="2">
        <v>46193</v>
      </c>
      <c r="J293" s="1" t="s">
        <v>20</v>
      </c>
      <c r="K293" s="1">
        <v>1292</v>
      </c>
      <c r="L293" s="1">
        <f t="shared" si="1"/>
        <v>276738</v>
      </c>
    </row>
    <row r="294" spans="1:12" x14ac:dyDescent="0.3">
      <c r="A294" s="1" t="s">
        <v>49</v>
      </c>
      <c r="B294" s="1" t="s">
        <v>43</v>
      </c>
      <c r="C294" s="1" t="s">
        <v>18</v>
      </c>
      <c r="D294" s="1" t="s">
        <v>23</v>
      </c>
      <c r="E294" s="1">
        <v>7</v>
      </c>
      <c r="F294" s="1">
        <v>11481</v>
      </c>
      <c r="G294" s="1">
        <v>15</v>
      </c>
      <c r="H294" s="2">
        <v>46045</v>
      </c>
      <c r="I294" s="2">
        <v>46050</v>
      </c>
      <c r="J294" s="1" t="s">
        <v>20</v>
      </c>
      <c r="K294" s="1">
        <v>1293</v>
      </c>
      <c r="L294" s="1">
        <f t="shared" si="1"/>
        <v>80367</v>
      </c>
    </row>
    <row r="295" spans="1:12" x14ac:dyDescent="0.3">
      <c r="A295" s="1" t="s">
        <v>21</v>
      </c>
      <c r="B295" s="1" t="s">
        <v>12</v>
      </c>
      <c r="C295" s="1" t="s">
        <v>18</v>
      </c>
      <c r="D295" s="1" t="s">
        <v>19</v>
      </c>
      <c r="E295" s="1">
        <v>8</v>
      </c>
      <c r="F295" s="1">
        <v>14448</v>
      </c>
      <c r="G295" s="1">
        <v>10</v>
      </c>
      <c r="H295" s="2">
        <v>46181</v>
      </c>
      <c r="I295" s="2">
        <v>46189</v>
      </c>
      <c r="J295" s="1" t="s">
        <v>15</v>
      </c>
      <c r="K295" s="1">
        <v>1294</v>
      </c>
      <c r="L295" s="1">
        <f t="shared" si="1"/>
        <v>115584</v>
      </c>
    </row>
    <row r="296" spans="1:12" x14ac:dyDescent="0.3">
      <c r="A296" s="1" t="s">
        <v>52</v>
      </c>
      <c r="B296" s="1" t="s">
        <v>38</v>
      </c>
      <c r="C296" s="1" t="s">
        <v>18</v>
      </c>
      <c r="D296" s="1" t="s">
        <v>28</v>
      </c>
      <c r="E296" s="1">
        <v>16</v>
      </c>
      <c r="F296" s="1">
        <v>11935</v>
      </c>
      <c r="G296" s="1">
        <v>12</v>
      </c>
      <c r="H296" s="2">
        <v>46157</v>
      </c>
      <c r="I296" s="2">
        <v>46162</v>
      </c>
      <c r="J296" s="1" t="s">
        <v>15</v>
      </c>
      <c r="K296" s="1">
        <v>1295</v>
      </c>
      <c r="L296" s="1">
        <f t="shared" si="1"/>
        <v>190960</v>
      </c>
    </row>
    <row r="297" spans="1:12" x14ac:dyDescent="0.3">
      <c r="A297" s="1" t="s">
        <v>26</v>
      </c>
      <c r="B297" s="1" t="s">
        <v>38</v>
      </c>
      <c r="C297" s="1" t="s">
        <v>13</v>
      </c>
      <c r="D297" s="1" t="s">
        <v>50</v>
      </c>
      <c r="E297" s="1">
        <v>6</v>
      </c>
      <c r="F297" s="1">
        <v>201</v>
      </c>
      <c r="G297" s="1">
        <v>0</v>
      </c>
      <c r="H297" s="2">
        <v>46063</v>
      </c>
      <c r="I297" s="2">
        <v>46072</v>
      </c>
      <c r="J297" s="1" t="s">
        <v>51</v>
      </c>
      <c r="K297" s="1">
        <v>1296</v>
      </c>
      <c r="L297" s="1">
        <f t="shared" si="1"/>
        <v>1206</v>
      </c>
    </row>
    <row r="298" spans="1:12" x14ac:dyDescent="0.3">
      <c r="A298" s="1" t="s">
        <v>54</v>
      </c>
      <c r="B298" s="1" t="s">
        <v>25</v>
      </c>
      <c r="C298" s="1" t="s">
        <v>34</v>
      </c>
      <c r="D298" s="1" t="s">
        <v>35</v>
      </c>
      <c r="E298" s="1">
        <v>14</v>
      </c>
      <c r="F298" s="1">
        <v>24524</v>
      </c>
      <c r="G298" s="1">
        <v>10</v>
      </c>
      <c r="H298" s="2">
        <v>46178</v>
      </c>
      <c r="I298" s="2">
        <v>46187</v>
      </c>
      <c r="J298" s="1" t="s">
        <v>29</v>
      </c>
      <c r="K298" s="1">
        <v>1297</v>
      </c>
      <c r="L298" s="1">
        <f t="shared" si="1"/>
        <v>343336</v>
      </c>
    </row>
    <row r="299" spans="1:12" x14ac:dyDescent="0.3">
      <c r="A299" s="1" t="s">
        <v>21</v>
      </c>
      <c r="B299" s="1" t="s">
        <v>12</v>
      </c>
      <c r="C299" s="1" t="s">
        <v>34</v>
      </c>
      <c r="D299" s="1" t="s">
        <v>61</v>
      </c>
      <c r="E299" s="1">
        <v>19</v>
      </c>
      <c r="F299" s="1">
        <v>20745</v>
      </c>
      <c r="G299" s="1">
        <v>2</v>
      </c>
      <c r="H299" s="2">
        <v>46083</v>
      </c>
      <c r="I299" s="2">
        <v>46093</v>
      </c>
      <c r="J299" s="1" t="s">
        <v>24</v>
      </c>
      <c r="K299" s="1">
        <v>1298</v>
      </c>
      <c r="L299" s="1">
        <f t="shared" si="1"/>
        <v>394155</v>
      </c>
    </row>
    <row r="300" spans="1:12" x14ac:dyDescent="0.3">
      <c r="A300" s="1" t="s">
        <v>26</v>
      </c>
      <c r="B300" s="1" t="s">
        <v>17</v>
      </c>
      <c r="C300" s="1" t="s">
        <v>18</v>
      </c>
      <c r="D300" s="1" t="s">
        <v>56</v>
      </c>
      <c r="E300" s="1">
        <v>8</v>
      </c>
      <c r="F300" s="1">
        <v>8783</v>
      </c>
      <c r="G300" s="1">
        <v>2</v>
      </c>
      <c r="H300" s="2">
        <v>46123</v>
      </c>
      <c r="I300" s="2">
        <v>46132</v>
      </c>
      <c r="J300" s="1" t="s">
        <v>15</v>
      </c>
      <c r="K300" s="1">
        <v>1299</v>
      </c>
      <c r="L300" s="1">
        <f t="shared" si="1"/>
        <v>70264</v>
      </c>
    </row>
    <row r="301" spans="1:12" x14ac:dyDescent="0.3">
      <c r="A301" s="1" t="s">
        <v>47</v>
      </c>
      <c r="B301" s="1" t="s">
        <v>33</v>
      </c>
      <c r="C301" s="1" t="s">
        <v>34</v>
      </c>
      <c r="D301" s="1" t="s">
        <v>45</v>
      </c>
      <c r="E301" s="1">
        <v>20</v>
      </c>
      <c r="F301" s="1">
        <v>1392</v>
      </c>
      <c r="G301" s="1">
        <v>2</v>
      </c>
      <c r="H301" s="2">
        <v>46110</v>
      </c>
      <c r="I301" s="2">
        <v>46117</v>
      </c>
      <c r="J301" s="1" t="s">
        <v>24</v>
      </c>
      <c r="K301" s="1">
        <v>1300</v>
      </c>
      <c r="L301" s="1">
        <f t="shared" si="1"/>
        <v>27840</v>
      </c>
    </row>
    <row r="302" spans="1:12" x14ac:dyDescent="0.3">
      <c r="A302" s="1" t="s">
        <v>54</v>
      </c>
      <c r="B302" s="1" t="s">
        <v>17</v>
      </c>
      <c r="C302" s="1" t="s">
        <v>18</v>
      </c>
      <c r="D302" s="1" t="s">
        <v>28</v>
      </c>
      <c r="E302" s="1">
        <v>3</v>
      </c>
      <c r="F302" s="1">
        <v>7020</v>
      </c>
      <c r="G302" s="1">
        <v>10</v>
      </c>
      <c r="H302" s="2">
        <v>46028</v>
      </c>
      <c r="I302" s="2">
        <v>46038</v>
      </c>
      <c r="J302" s="1" t="s">
        <v>24</v>
      </c>
      <c r="K302" s="1">
        <v>1301</v>
      </c>
      <c r="L302" s="1">
        <f t="shared" si="1"/>
        <v>21060</v>
      </c>
    </row>
    <row r="303" spans="1:12" x14ac:dyDescent="0.3">
      <c r="A303" s="1" t="s">
        <v>57</v>
      </c>
      <c r="B303" s="1" t="s">
        <v>12</v>
      </c>
      <c r="C303" s="1" t="s">
        <v>34</v>
      </c>
      <c r="D303" s="1" t="s">
        <v>35</v>
      </c>
      <c r="E303" s="1">
        <v>9</v>
      </c>
      <c r="F303" s="1">
        <v>8500</v>
      </c>
      <c r="G303" s="1">
        <v>15</v>
      </c>
      <c r="H303" s="2">
        <v>46163</v>
      </c>
      <c r="I303" s="2">
        <v>46172</v>
      </c>
      <c r="J303" s="1" t="s">
        <v>24</v>
      </c>
      <c r="K303" s="1">
        <v>1302</v>
      </c>
      <c r="L303" s="1">
        <f t="shared" si="1"/>
        <v>76500</v>
      </c>
    </row>
    <row r="304" spans="1:12" x14ac:dyDescent="0.3">
      <c r="A304" s="1" t="s">
        <v>57</v>
      </c>
      <c r="B304" s="1" t="s">
        <v>38</v>
      </c>
      <c r="C304" s="1" t="s">
        <v>34</v>
      </c>
      <c r="D304" s="1" t="s">
        <v>35</v>
      </c>
      <c r="E304" s="1">
        <v>13</v>
      </c>
      <c r="F304" s="1">
        <v>5170</v>
      </c>
      <c r="G304" s="1">
        <v>2</v>
      </c>
      <c r="H304" s="2">
        <v>46124</v>
      </c>
      <c r="I304" s="2">
        <v>46127</v>
      </c>
      <c r="J304" s="1" t="s">
        <v>15</v>
      </c>
      <c r="K304" s="1">
        <v>1303</v>
      </c>
      <c r="L304" s="1">
        <f t="shared" si="1"/>
        <v>67210</v>
      </c>
    </row>
    <row r="305" spans="1:12" x14ac:dyDescent="0.3">
      <c r="A305" s="1" t="s">
        <v>59</v>
      </c>
      <c r="B305" s="1" t="s">
        <v>25</v>
      </c>
      <c r="C305" s="1" t="s">
        <v>13</v>
      </c>
      <c r="D305" s="1" t="s">
        <v>36</v>
      </c>
      <c r="E305" s="1">
        <v>20</v>
      </c>
      <c r="F305" s="1">
        <v>368</v>
      </c>
      <c r="G305" s="1">
        <v>7</v>
      </c>
      <c r="H305" s="2">
        <v>46042</v>
      </c>
      <c r="I305" s="2">
        <v>46051</v>
      </c>
      <c r="J305" s="1" t="s">
        <v>51</v>
      </c>
      <c r="K305" s="1">
        <v>1304</v>
      </c>
      <c r="L305" s="1">
        <f t="shared" si="1"/>
        <v>7360</v>
      </c>
    </row>
    <row r="306" spans="1:12" x14ac:dyDescent="0.3">
      <c r="A306" s="1" t="s">
        <v>58</v>
      </c>
      <c r="B306" s="1" t="s">
        <v>31</v>
      </c>
      <c r="C306" s="1" t="s">
        <v>34</v>
      </c>
      <c r="D306" s="1" t="s">
        <v>60</v>
      </c>
      <c r="E306" s="1">
        <v>20</v>
      </c>
      <c r="F306" s="1">
        <v>31406</v>
      </c>
      <c r="G306" s="1">
        <v>15</v>
      </c>
      <c r="H306" s="2">
        <v>46146</v>
      </c>
      <c r="I306" s="2">
        <v>46154</v>
      </c>
      <c r="J306" s="1" t="s">
        <v>51</v>
      </c>
      <c r="K306" s="1">
        <v>1305</v>
      </c>
      <c r="L306" s="1">
        <f t="shared" si="1"/>
        <v>628120</v>
      </c>
    </row>
    <row r="307" spans="1:12" x14ac:dyDescent="0.3">
      <c r="A307" s="1" t="s">
        <v>54</v>
      </c>
      <c r="B307" s="1" t="s">
        <v>43</v>
      </c>
      <c r="C307" s="1" t="s">
        <v>13</v>
      </c>
      <c r="D307" s="1" t="s">
        <v>36</v>
      </c>
      <c r="E307" s="1">
        <v>1</v>
      </c>
      <c r="F307" s="1">
        <v>332</v>
      </c>
      <c r="G307" s="1">
        <v>0</v>
      </c>
      <c r="H307" s="2">
        <v>46191</v>
      </c>
      <c r="I307" s="2">
        <v>46194</v>
      </c>
      <c r="J307" s="1" t="s">
        <v>20</v>
      </c>
      <c r="K307" s="1">
        <v>1306</v>
      </c>
      <c r="L307" s="1">
        <f t="shared" si="1"/>
        <v>332</v>
      </c>
    </row>
    <row r="308" spans="1:12" x14ac:dyDescent="0.3">
      <c r="A308" s="1" t="s">
        <v>57</v>
      </c>
      <c r="B308" s="1" t="s">
        <v>43</v>
      </c>
      <c r="C308" s="1" t="s">
        <v>34</v>
      </c>
      <c r="D308" s="1" t="s">
        <v>35</v>
      </c>
      <c r="E308" s="1">
        <v>18</v>
      </c>
      <c r="F308" s="1">
        <v>7541</v>
      </c>
      <c r="G308" s="1">
        <v>12</v>
      </c>
      <c r="H308" s="2">
        <v>46048</v>
      </c>
      <c r="I308" s="2">
        <v>46051</v>
      </c>
      <c r="J308" s="1" t="s">
        <v>51</v>
      </c>
      <c r="K308" s="1">
        <v>1307</v>
      </c>
      <c r="L308" s="1">
        <f t="shared" si="1"/>
        <v>135738</v>
      </c>
    </row>
    <row r="309" spans="1:12" x14ac:dyDescent="0.3">
      <c r="A309" s="1" t="s">
        <v>30</v>
      </c>
      <c r="B309" s="1" t="s">
        <v>22</v>
      </c>
      <c r="C309" s="1" t="s">
        <v>34</v>
      </c>
      <c r="D309" s="1" t="s">
        <v>41</v>
      </c>
      <c r="E309" s="1">
        <v>12</v>
      </c>
      <c r="F309" s="1">
        <v>66075</v>
      </c>
      <c r="G309" s="1">
        <v>5</v>
      </c>
      <c r="H309" s="2">
        <v>46129</v>
      </c>
      <c r="I309" s="2">
        <v>46135</v>
      </c>
      <c r="J309" s="1" t="s">
        <v>20</v>
      </c>
      <c r="K309" s="1">
        <v>1308</v>
      </c>
      <c r="L309" s="1">
        <f t="shared" si="1"/>
        <v>792900</v>
      </c>
    </row>
    <row r="310" spans="1:12" x14ac:dyDescent="0.3">
      <c r="A310" s="1" t="s">
        <v>29</v>
      </c>
      <c r="B310" s="1" t="s">
        <v>31</v>
      </c>
      <c r="C310" s="1" t="s">
        <v>13</v>
      </c>
      <c r="D310" s="1" t="s">
        <v>50</v>
      </c>
      <c r="E310" s="1">
        <v>2</v>
      </c>
      <c r="F310" s="1">
        <v>35</v>
      </c>
      <c r="G310" s="1">
        <v>5</v>
      </c>
      <c r="H310" s="2">
        <v>46197</v>
      </c>
      <c r="I310" s="2">
        <v>46198</v>
      </c>
      <c r="J310" s="1" t="s">
        <v>24</v>
      </c>
      <c r="K310" s="1">
        <v>1309</v>
      </c>
      <c r="L310" s="1">
        <f t="shared" si="1"/>
        <v>70</v>
      </c>
    </row>
    <row r="311" spans="1:12" x14ac:dyDescent="0.3">
      <c r="A311" s="1" t="s">
        <v>49</v>
      </c>
      <c r="B311" s="1" t="s">
        <v>17</v>
      </c>
      <c r="C311" s="1" t="s">
        <v>18</v>
      </c>
      <c r="D311" s="1" t="s">
        <v>56</v>
      </c>
      <c r="E311" s="1">
        <v>19</v>
      </c>
      <c r="F311" s="1">
        <v>12691</v>
      </c>
      <c r="G311" s="1">
        <v>0</v>
      </c>
      <c r="H311" s="2">
        <v>46181</v>
      </c>
      <c r="I311" s="2">
        <v>46189</v>
      </c>
      <c r="J311" s="1" t="s">
        <v>29</v>
      </c>
      <c r="K311" s="1">
        <v>1310</v>
      </c>
      <c r="L311" s="1">
        <f t="shared" si="1"/>
        <v>241129</v>
      </c>
    </row>
    <row r="312" spans="1:12" x14ac:dyDescent="0.3">
      <c r="A312" s="1" t="s">
        <v>55</v>
      </c>
      <c r="B312" s="1" t="s">
        <v>12</v>
      </c>
      <c r="C312" s="1" t="s">
        <v>13</v>
      </c>
      <c r="D312" s="1" t="s">
        <v>14</v>
      </c>
      <c r="E312" s="1">
        <v>2</v>
      </c>
      <c r="F312" s="1">
        <v>209</v>
      </c>
      <c r="G312" s="1">
        <v>0</v>
      </c>
      <c r="H312" s="2">
        <v>46173</v>
      </c>
      <c r="I312" s="2">
        <v>46176</v>
      </c>
      <c r="J312" s="1" t="s">
        <v>20</v>
      </c>
      <c r="K312" s="1">
        <v>1311</v>
      </c>
      <c r="L312" s="1">
        <f t="shared" si="1"/>
        <v>418</v>
      </c>
    </row>
    <row r="313" spans="1:12" x14ac:dyDescent="0.3">
      <c r="A313" s="1" t="s">
        <v>57</v>
      </c>
      <c r="B313" s="1" t="s">
        <v>22</v>
      </c>
      <c r="C313" s="1" t="s">
        <v>18</v>
      </c>
      <c r="D313" s="1" t="s">
        <v>56</v>
      </c>
      <c r="E313" s="1">
        <v>20</v>
      </c>
      <c r="F313" s="1">
        <v>3274</v>
      </c>
      <c r="G313" s="1">
        <v>2</v>
      </c>
      <c r="H313" s="2">
        <v>46148</v>
      </c>
      <c r="I313" s="2">
        <v>46156</v>
      </c>
      <c r="J313" s="1" t="s">
        <v>24</v>
      </c>
      <c r="K313" s="1">
        <v>1312</v>
      </c>
      <c r="L313" s="1">
        <f t="shared" si="1"/>
        <v>65480</v>
      </c>
    </row>
    <row r="314" spans="1:12" x14ac:dyDescent="0.3">
      <c r="A314" s="1" t="s">
        <v>59</v>
      </c>
      <c r="B314" s="1" t="s">
        <v>22</v>
      </c>
      <c r="C314" s="1" t="s">
        <v>18</v>
      </c>
      <c r="D314" s="1" t="s">
        <v>56</v>
      </c>
      <c r="E314" s="1">
        <v>6</v>
      </c>
      <c r="F314" s="1">
        <v>10864</v>
      </c>
      <c r="G314" s="1">
        <v>10</v>
      </c>
      <c r="H314" s="2">
        <v>46041</v>
      </c>
      <c r="I314" s="2">
        <v>46049</v>
      </c>
      <c r="J314" s="1" t="s">
        <v>15</v>
      </c>
      <c r="K314" s="1">
        <v>1313</v>
      </c>
      <c r="L314" s="1">
        <f t="shared" si="1"/>
        <v>65184</v>
      </c>
    </row>
    <row r="315" spans="1:12" x14ac:dyDescent="0.3">
      <c r="A315" s="1" t="s">
        <v>52</v>
      </c>
      <c r="B315" s="1" t="s">
        <v>33</v>
      </c>
      <c r="C315" s="1" t="s">
        <v>18</v>
      </c>
      <c r="D315" s="1" t="s">
        <v>19</v>
      </c>
      <c r="E315" s="1">
        <v>10</v>
      </c>
      <c r="F315" s="1">
        <v>6328</v>
      </c>
      <c r="G315" s="1">
        <v>2</v>
      </c>
      <c r="H315" s="2">
        <v>46196</v>
      </c>
      <c r="I315" s="2">
        <v>46197</v>
      </c>
      <c r="J315" s="1" t="s">
        <v>29</v>
      </c>
      <c r="K315" s="1">
        <v>1314</v>
      </c>
      <c r="L315" s="1">
        <f t="shared" si="1"/>
        <v>63280</v>
      </c>
    </row>
    <row r="316" spans="1:12" x14ac:dyDescent="0.3">
      <c r="A316" s="1" t="s">
        <v>49</v>
      </c>
      <c r="B316" s="1" t="s">
        <v>31</v>
      </c>
      <c r="C316" s="1" t="s">
        <v>34</v>
      </c>
      <c r="D316" s="1" t="s">
        <v>41</v>
      </c>
      <c r="E316" s="1">
        <v>14</v>
      </c>
      <c r="F316" s="1">
        <v>57670</v>
      </c>
      <c r="G316" s="1">
        <v>2</v>
      </c>
      <c r="H316" s="2">
        <v>46186</v>
      </c>
      <c r="I316" s="2">
        <v>46196</v>
      </c>
      <c r="J316" s="1" t="s">
        <v>15</v>
      </c>
      <c r="K316" s="1">
        <v>1315</v>
      </c>
      <c r="L316" s="1">
        <f t="shared" si="1"/>
        <v>807380</v>
      </c>
    </row>
    <row r="317" spans="1:12" x14ac:dyDescent="0.3">
      <c r="A317" s="1" t="s">
        <v>46</v>
      </c>
      <c r="B317" s="1" t="s">
        <v>12</v>
      </c>
      <c r="C317" s="1" t="s">
        <v>18</v>
      </c>
      <c r="D317" s="1" t="s">
        <v>28</v>
      </c>
      <c r="E317" s="1">
        <v>7</v>
      </c>
      <c r="F317" s="1">
        <v>9838</v>
      </c>
      <c r="G317" s="1">
        <v>7</v>
      </c>
      <c r="H317" s="2">
        <v>46078</v>
      </c>
      <c r="I317" s="2">
        <v>46085</v>
      </c>
      <c r="J317" s="1" t="s">
        <v>20</v>
      </c>
      <c r="K317" s="1">
        <v>1316</v>
      </c>
      <c r="L317" s="1">
        <f t="shared" si="1"/>
        <v>68866</v>
      </c>
    </row>
    <row r="318" spans="1:12" x14ac:dyDescent="0.3">
      <c r="A318" s="1" t="s">
        <v>59</v>
      </c>
      <c r="B318" s="1" t="s">
        <v>33</v>
      </c>
      <c r="C318" s="1" t="s">
        <v>34</v>
      </c>
      <c r="D318" s="1" t="s">
        <v>41</v>
      </c>
      <c r="E318" s="1">
        <v>7</v>
      </c>
      <c r="F318" s="1">
        <v>67339</v>
      </c>
      <c r="G318" s="1">
        <v>5</v>
      </c>
      <c r="H318" s="2">
        <v>46159</v>
      </c>
      <c r="I318" s="2">
        <v>46169</v>
      </c>
      <c r="J318" s="1" t="s">
        <v>51</v>
      </c>
      <c r="K318" s="1">
        <v>1317</v>
      </c>
      <c r="L318" s="1">
        <f t="shared" si="1"/>
        <v>471373</v>
      </c>
    </row>
    <row r="319" spans="1:12" x14ac:dyDescent="0.3">
      <c r="A319" s="1" t="s">
        <v>11</v>
      </c>
      <c r="B319" s="1" t="s">
        <v>43</v>
      </c>
      <c r="C319" s="1" t="s">
        <v>13</v>
      </c>
      <c r="D319" s="1" t="s">
        <v>50</v>
      </c>
      <c r="E319" s="1">
        <v>4</v>
      </c>
      <c r="F319" s="1">
        <v>38</v>
      </c>
      <c r="G319" s="1">
        <v>12</v>
      </c>
      <c r="H319" s="2">
        <v>46169</v>
      </c>
      <c r="I319" s="2">
        <v>46175</v>
      </c>
      <c r="J319" s="1" t="s">
        <v>29</v>
      </c>
      <c r="K319" s="1">
        <v>1318</v>
      </c>
      <c r="L319" s="1">
        <f t="shared" si="1"/>
        <v>152</v>
      </c>
    </row>
    <row r="320" spans="1:12" x14ac:dyDescent="0.3">
      <c r="A320" s="1" t="s">
        <v>21</v>
      </c>
      <c r="B320" s="1" t="s">
        <v>17</v>
      </c>
      <c r="C320" s="1" t="s">
        <v>34</v>
      </c>
      <c r="D320" s="1" t="s">
        <v>61</v>
      </c>
      <c r="E320" s="1">
        <v>17</v>
      </c>
      <c r="F320" s="1">
        <v>58407</v>
      </c>
      <c r="G320" s="1">
        <v>7</v>
      </c>
      <c r="H320" s="2">
        <v>46094</v>
      </c>
      <c r="I320" s="2">
        <v>46102</v>
      </c>
      <c r="J320" s="1" t="s">
        <v>15</v>
      </c>
      <c r="K320" s="1">
        <v>1319</v>
      </c>
      <c r="L320" s="1">
        <f t="shared" si="1"/>
        <v>992919</v>
      </c>
    </row>
    <row r="321" spans="1:12" x14ac:dyDescent="0.3">
      <c r="A321" s="1" t="s">
        <v>47</v>
      </c>
      <c r="B321" s="1" t="s">
        <v>38</v>
      </c>
      <c r="C321" s="1" t="s">
        <v>13</v>
      </c>
      <c r="D321" s="1" t="s">
        <v>36</v>
      </c>
      <c r="E321" s="1">
        <v>20</v>
      </c>
      <c r="F321" s="1">
        <v>55</v>
      </c>
      <c r="G321" s="1">
        <v>7</v>
      </c>
      <c r="H321" s="2">
        <v>46183</v>
      </c>
      <c r="I321" s="2">
        <v>46186</v>
      </c>
      <c r="J321" s="1" t="s">
        <v>20</v>
      </c>
      <c r="K321" s="1">
        <v>1320</v>
      </c>
      <c r="L321" s="1">
        <f t="shared" si="1"/>
        <v>1100</v>
      </c>
    </row>
    <row r="322" spans="1:12" x14ac:dyDescent="0.3">
      <c r="A322" s="1" t="s">
        <v>32</v>
      </c>
      <c r="B322" s="1" t="s">
        <v>22</v>
      </c>
      <c r="C322" s="1" t="s">
        <v>18</v>
      </c>
      <c r="D322" s="1" t="s">
        <v>19</v>
      </c>
      <c r="E322" s="1">
        <v>8</v>
      </c>
      <c r="F322" s="1">
        <v>5619</v>
      </c>
      <c r="G322" s="1">
        <v>7</v>
      </c>
      <c r="H322" s="2">
        <v>46107</v>
      </c>
      <c r="I322" s="2">
        <v>46109</v>
      </c>
      <c r="J322" s="1" t="s">
        <v>51</v>
      </c>
      <c r="K322" s="1">
        <v>1321</v>
      </c>
      <c r="L322" s="1">
        <f t="shared" si="1"/>
        <v>44952</v>
      </c>
    </row>
    <row r="323" spans="1:12" x14ac:dyDescent="0.3">
      <c r="A323" s="1" t="s">
        <v>27</v>
      </c>
      <c r="B323" s="1" t="s">
        <v>12</v>
      </c>
      <c r="C323" s="1" t="s">
        <v>18</v>
      </c>
      <c r="D323" s="1" t="s">
        <v>23</v>
      </c>
      <c r="E323" s="1">
        <v>14</v>
      </c>
      <c r="F323" s="1">
        <v>9081</v>
      </c>
      <c r="G323" s="1">
        <v>15</v>
      </c>
      <c r="H323" s="2">
        <v>46141</v>
      </c>
      <c r="I323" s="2">
        <v>46146</v>
      </c>
      <c r="J323" s="1" t="s">
        <v>15</v>
      </c>
      <c r="K323" s="1">
        <v>1322</v>
      </c>
      <c r="L323" s="1">
        <f t="shared" si="1"/>
        <v>127134</v>
      </c>
    </row>
    <row r="324" spans="1:12" x14ac:dyDescent="0.3">
      <c r="A324" s="1" t="s">
        <v>57</v>
      </c>
      <c r="B324" s="1" t="s">
        <v>38</v>
      </c>
      <c r="C324" s="1" t="s">
        <v>34</v>
      </c>
      <c r="D324" s="1" t="s">
        <v>61</v>
      </c>
      <c r="E324" s="1">
        <v>2</v>
      </c>
      <c r="F324" s="1">
        <v>32074</v>
      </c>
      <c r="G324" s="1">
        <v>10</v>
      </c>
      <c r="H324" s="2">
        <v>46073</v>
      </c>
      <c r="I324" s="2">
        <v>46078</v>
      </c>
      <c r="J324" s="1" t="s">
        <v>15</v>
      </c>
      <c r="K324" s="1">
        <v>1323</v>
      </c>
      <c r="L324" s="1">
        <f t="shared" si="1"/>
        <v>64148</v>
      </c>
    </row>
    <row r="325" spans="1:12" x14ac:dyDescent="0.3">
      <c r="A325" s="1" t="s">
        <v>32</v>
      </c>
      <c r="B325" s="1" t="s">
        <v>22</v>
      </c>
      <c r="C325" s="1" t="s">
        <v>18</v>
      </c>
      <c r="D325" s="1" t="s">
        <v>19</v>
      </c>
      <c r="E325" s="1">
        <v>1</v>
      </c>
      <c r="F325" s="1">
        <v>4286</v>
      </c>
      <c r="G325" s="1">
        <v>15</v>
      </c>
      <c r="H325" s="2">
        <v>46053</v>
      </c>
      <c r="I325" s="2">
        <v>46056</v>
      </c>
      <c r="J325" s="1" t="s">
        <v>20</v>
      </c>
      <c r="K325" s="1">
        <v>1324</v>
      </c>
      <c r="L325" s="1">
        <f t="shared" si="1"/>
        <v>4286</v>
      </c>
    </row>
    <row r="326" spans="1:12" x14ac:dyDescent="0.3">
      <c r="A326" s="1" t="s">
        <v>48</v>
      </c>
      <c r="B326" s="1" t="s">
        <v>43</v>
      </c>
      <c r="C326" s="1" t="s">
        <v>34</v>
      </c>
      <c r="D326" s="1" t="s">
        <v>39</v>
      </c>
      <c r="E326" s="1">
        <v>9</v>
      </c>
      <c r="F326" s="1">
        <v>58442</v>
      </c>
      <c r="G326" s="1">
        <v>12</v>
      </c>
      <c r="H326" s="2">
        <v>46076</v>
      </c>
      <c r="I326" s="2">
        <v>46085</v>
      </c>
      <c r="J326" s="1" t="s">
        <v>20</v>
      </c>
      <c r="K326" s="1">
        <v>1325</v>
      </c>
      <c r="L326" s="1">
        <f t="shared" si="1"/>
        <v>525978</v>
      </c>
    </row>
    <row r="327" spans="1:12" x14ac:dyDescent="0.3">
      <c r="A327" s="1" t="s">
        <v>26</v>
      </c>
      <c r="B327" s="1" t="s">
        <v>17</v>
      </c>
      <c r="C327" s="1" t="s">
        <v>18</v>
      </c>
      <c r="D327" s="1" t="s">
        <v>44</v>
      </c>
      <c r="E327" s="1">
        <v>18</v>
      </c>
      <c r="F327" s="1">
        <v>1830</v>
      </c>
      <c r="G327" s="1">
        <v>10</v>
      </c>
      <c r="H327" s="2">
        <v>46165</v>
      </c>
      <c r="I327" s="2">
        <v>46172</v>
      </c>
      <c r="J327" s="1" t="s">
        <v>15</v>
      </c>
      <c r="K327" s="1">
        <v>1326</v>
      </c>
      <c r="L327" s="1">
        <f t="shared" si="1"/>
        <v>32940</v>
      </c>
    </row>
    <row r="328" spans="1:12" x14ac:dyDescent="0.3">
      <c r="A328" s="1" t="s">
        <v>48</v>
      </c>
      <c r="B328" s="1" t="s">
        <v>12</v>
      </c>
      <c r="C328" s="1" t="s">
        <v>13</v>
      </c>
      <c r="D328" s="1" t="s">
        <v>53</v>
      </c>
      <c r="E328" s="1">
        <v>15</v>
      </c>
      <c r="F328" s="1">
        <v>449</v>
      </c>
      <c r="G328" s="1">
        <v>5</v>
      </c>
      <c r="H328" s="2">
        <v>46152</v>
      </c>
      <c r="I328" s="2">
        <v>46153</v>
      </c>
      <c r="J328" s="1" t="s">
        <v>15</v>
      </c>
      <c r="K328" s="1">
        <v>1327</v>
      </c>
      <c r="L328" s="1">
        <f t="shared" si="1"/>
        <v>6735</v>
      </c>
    </row>
    <row r="329" spans="1:12" x14ac:dyDescent="0.3">
      <c r="A329" s="1" t="s">
        <v>16</v>
      </c>
      <c r="B329" s="1" t="s">
        <v>38</v>
      </c>
      <c r="C329" s="1" t="s">
        <v>13</v>
      </c>
      <c r="D329" s="1" t="s">
        <v>36</v>
      </c>
      <c r="E329" s="1">
        <v>4</v>
      </c>
      <c r="F329" s="1">
        <v>132</v>
      </c>
      <c r="G329" s="1">
        <v>0</v>
      </c>
      <c r="H329" s="2">
        <v>46109</v>
      </c>
      <c r="I329" s="2">
        <v>46114</v>
      </c>
      <c r="J329" s="1" t="s">
        <v>29</v>
      </c>
      <c r="K329" s="1">
        <v>1328</v>
      </c>
      <c r="L329" s="1">
        <f t="shared" si="1"/>
        <v>528</v>
      </c>
    </row>
    <row r="330" spans="1:12" x14ac:dyDescent="0.3">
      <c r="A330" s="1" t="s">
        <v>30</v>
      </c>
      <c r="B330" s="1" t="s">
        <v>43</v>
      </c>
      <c r="C330" s="1" t="s">
        <v>13</v>
      </c>
      <c r="D330" s="1" t="s">
        <v>53</v>
      </c>
      <c r="E330" s="1">
        <v>18</v>
      </c>
      <c r="F330" s="1">
        <v>227</v>
      </c>
      <c r="G330" s="1">
        <v>5</v>
      </c>
      <c r="H330" s="2">
        <v>46126</v>
      </c>
      <c r="I330" s="2">
        <v>46136</v>
      </c>
      <c r="J330" s="1" t="s">
        <v>29</v>
      </c>
      <c r="K330" s="1">
        <v>1329</v>
      </c>
      <c r="L330" s="1">
        <f t="shared" si="1"/>
        <v>4086</v>
      </c>
    </row>
    <row r="331" spans="1:12" x14ac:dyDescent="0.3">
      <c r="A331" s="1" t="s">
        <v>49</v>
      </c>
      <c r="B331" s="1" t="s">
        <v>17</v>
      </c>
      <c r="C331" s="1" t="s">
        <v>18</v>
      </c>
      <c r="D331" s="1" t="s">
        <v>19</v>
      </c>
      <c r="E331" s="1">
        <v>13</v>
      </c>
      <c r="F331" s="1">
        <v>12071</v>
      </c>
      <c r="G331" s="1">
        <v>0</v>
      </c>
      <c r="H331" s="2">
        <v>46032</v>
      </c>
      <c r="I331" s="2">
        <v>46036</v>
      </c>
      <c r="J331" s="1" t="s">
        <v>51</v>
      </c>
      <c r="K331" s="1">
        <v>1330</v>
      </c>
      <c r="L331" s="1">
        <f t="shared" si="1"/>
        <v>156923</v>
      </c>
    </row>
    <row r="332" spans="1:12" x14ac:dyDescent="0.3">
      <c r="A332" s="1" t="s">
        <v>21</v>
      </c>
      <c r="B332" s="1" t="s">
        <v>25</v>
      </c>
      <c r="C332" s="1" t="s">
        <v>34</v>
      </c>
      <c r="D332" s="1" t="s">
        <v>61</v>
      </c>
      <c r="E332" s="1">
        <v>2</v>
      </c>
      <c r="F332" s="1">
        <v>43557</v>
      </c>
      <c r="G332" s="1">
        <v>2</v>
      </c>
      <c r="H332" s="2">
        <v>46190</v>
      </c>
      <c r="I332" s="2">
        <v>46200</v>
      </c>
      <c r="J332" s="1" t="s">
        <v>15</v>
      </c>
      <c r="K332" s="1">
        <v>1331</v>
      </c>
      <c r="L332" s="1">
        <f t="shared" si="1"/>
        <v>87114</v>
      </c>
    </row>
    <row r="333" spans="1:12" x14ac:dyDescent="0.3">
      <c r="A333" s="1" t="s">
        <v>29</v>
      </c>
      <c r="B333" s="1" t="s">
        <v>43</v>
      </c>
      <c r="C333" s="1" t="s">
        <v>13</v>
      </c>
      <c r="D333" s="1" t="s">
        <v>50</v>
      </c>
      <c r="E333" s="1">
        <v>7</v>
      </c>
      <c r="F333" s="1">
        <v>439</v>
      </c>
      <c r="G333" s="1">
        <v>2</v>
      </c>
      <c r="H333" s="2">
        <v>46154</v>
      </c>
      <c r="I333" s="2">
        <v>46157</v>
      </c>
      <c r="J333" s="1" t="s">
        <v>15</v>
      </c>
      <c r="K333" s="1">
        <v>1332</v>
      </c>
      <c r="L333" s="1">
        <f t="shared" si="1"/>
        <v>3073</v>
      </c>
    </row>
    <row r="334" spans="1:12" x14ac:dyDescent="0.3">
      <c r="A334" s="1" t="s">
        <v>29</v>
      </c>
      <c r="B334" s="1" t="s">
        <v>38</v>
      </c>
      <c r="C334" s="1" t="s">
        <v>13</v>
      </c>
      <c r="D334" s="1" t="s">
        <v>53</v>
      </c>
      <c r="E334" s="1">
        <v>20</v>
      </c>
      <c r="F334" s="1">
        <v>416</v>
      </c>
      <c r="G334" s="1">
        <v>12</v>
      </c>
      <c r="H334" s="2">
        <v>46145</v>
      </c>
      <c r="I334" s="2">
        <v>46146</v>
      </c>
      <c r="J334" s="1" t="s">
        <v>51</v>
      </c>
      <c r="K334" s="1">
        <v>1333</v>
      </c>
      <c r="L334" s="1">
        <f t="shared" si="1"/>
        <v>8320</v>
      </c>
    </row>
    <row r="335" spans="1:12" x14ac:dyDescent="0.3">
      <c r="A335" s="1" t="s">
        <v>40</v>
      </c>
      <c r="B335" s="1" t="s">
        <v>12</v>
      </c>
      <c r="C335" s="1" t="s">
        <v>34</v>
      </c>
      <c r="D335" s="1" t="s">
        <v>41</v>
      </c>
      <c r="E335" s="1">
        <v>15</v>
      </c>
      <c r="F335" s="1">
        <v>39853</v>
      </c>
      <c r="G335" s="1">
        <v>7</v>
      </c>
      <c r="H335" s="2">
        <v>46038</v>
      </c>
      <c r="I335" s="2">
        <v>46047</v>
      </c>
      <c r="J335" s="1" t="s">
        <v>51</v>
      </c>
      <c r="K335" s="1">
        <v>1334</v>
      </c>
      <c r="L335" s="1">
        <f t="shared" si="1"/>
        <v>597795</v>
      </c>
    </row>
    <row r="336" spans="1:12" x14ac:dyDescent="0.3">
      <c r="A336" s="1" t="s">
        <v>47</v>
      </c>
      <c r="B336" s="1" t="s">
        <v>17</v>
      </c>
      <c r="C336" s="1" t="s">
        <v>18</v>
      </c>
      <c r="D336" s="1" t="s">
        <v>19</v>
      </c>
      <c r="E336" s="1">
        <v>9</v>
      </c>
      <c r="F336" s="1">
        <v>1495</v>
      </c>
      <c r="G336" s="1">
        <v>12</v>
      </c>
      <c r="H336" s="2">
        <v>46168</v>
      </c>
      <c r="I336" s="2">
        <v>46173</v>
      </c>
      <c r="J336" s="1" t="s">
        <v>15</v>
      </c>
      <c r="K336" s="1">
        <v>1335</v>
      </c>
      <c r="L336" s="1">
        <f t="shared" si="1"/>
        <v>13455</v>
      </c>
    </row>
    <row r="337" spans="1:12" x14ac:dyDescent="0.3">
      <c r="A337" s="1" t="s">
        <v>16</v>
      </c>
      <c r="B337" s="1" t="s">
        <v>25</v>
      </c>
      <c r="C337" s="1" t="s">
        <v>18</v>
      </c>
      <c r="D337" s="1" t="s">
        <v>56</v>
      </c>
      <c r="E337" s="1">
        <v>10</v>
      </c>
      <c r="F337" s="1">
        <v>5624</v>
      </c>
      <c r="G337" s="1">
        <v>0</v>
      </c>
      <c r="H337" s="2">
        <v>46086</v>
      </c>
      <c r="I337" s="2">
        <v>46092</v>
      </c>
      <c r="J337" s="1" t="s">
        <v>29</v>
      </c>
      <c r="K337" s="1">
        <v>1336</v>
      </c>
      <c r="L337" s="1">
        <f t="shared" si="1"/>
        <v>56240</v>
      </c>
    </row>
    <row r="338" spans="1:12" x14ac:dyDescent="0.3">
      <c r="A338" s="1" t="s">
        <v>16</v>
      </c>
      <c r="B338" s="1" t="s">
        <v>12</v>
      </c>
      <c r="C338" s="1" t="s">
        <v>13</v>
      </c>
      <c r="D338" s="1" t="s">
        <v>53</v>
      </c>
      <c r="E338" s="1">
        <v>14</v>
      </c>
      <c r="F338" s="1">
        <v>373</v>
      </c>
      <c r="G338" s="1">
        <v>10</v>
      </c>
      <c r="H338" s="2">
        <v>46074</v>
      </c>
      <c r="I338" s="2">
        <v>46080</v>
      </c>
      <c r="J338" s="1" t="s">
        <v>29</v>
      </c>
      <c r="K338" s="1">
        <v>1337</v>
      </c>
      <c r="L338" s="1">
        <f t="shared" si="1"/>
        <v>5222</v>
      </c>
    </row>
    <row r="339" spans="1:12" x14ac:dyDescent="0.3">
      <c r="A339" s="1" t="s">
        <v>59</v>
      </c>
      <c r="B339" s="1" t="s">
        <v>25</v>
      </c>
      <c r="C339" s="1" t="s">
        <v>34</v>
      </c>
      <c r="D339" s="1" t="s">
        <v>60</v>
      </c>
      <c r="E339" s="1">
        <v>10</v>
      </c>
      <c r="F339" s="1">
        <v>16719</v>
      </c>
      <c r="G339" s="1">
        <v>5</v>
      </c>
      <c r="H339" s="2">
        <v>46177</v>
      </c>
      <c r="I339" s="2">
        <v>46179</v>
      </c>
      <c r="J339" s="1" t="s">
        <v>15</v>
      </c>
      <c r="K339" s="1">
        <v>1338</v>
      </c>
      <c r="L339" s="1">
        <f t="shared" si="1"/>
        <v>167190</v>
      </c>
    </row>
    <row r="340" spans="1:12" x14ac:dyDescent="0.3">
      <c r="A340" s="1" t="s">
        <v>32</v>
      </c>
      <c r="B340" s="1" t="s">
        <v>25</v>
      </c>
      <c r="C340" s="1" t="s">
        <v>13</v>
      </c>
      <c r="D340" s="1" t="s">
        <v>14</v>
      </c>
      <c r="E340" s="1">
        <v>6</v>
      </c>
      <c r="F340" s="1">
        <v>302</v>
      </c>
      <c r="G340" s="1">
        <v>5</v>
      </c>
      <c r="H340" s="2">
        <v>46142</v>
      </c>
      <c r="I340" s="2">
        <v>46148</v>
      </c>
      <c r="J340" s="1" t="s">
        <v>20</v>
      </c>
      <c r="K340" s="1">
        <v>1339</v>
      </c>
      <c r="L340" s="1">
        <f t="shared" si="1"/>
        <v>1812</v>
      </c>
    </row>
    <row r="341" spans="1:12" x14ac:dyDescent="0.3">
      <c r="A341" s="1" t="s">
        <v>48</v>
      </c>
      <c r="B341" s="1" t="s">
        <v>17</v>
      </c>
      <c r="C341" s="1" t="s">
        <v>18</v>
      </c>
      <c r="D341" s="1" t="s">
        <v>19</v>
      </c>
      <c r="E341" s="1">
        <v>12</v>
      </c>
      <c r="F341" s="1">
        <v>3857</v>
      </c>
      <c r="G341" s="1">
        <v>12</v>
      </c>
      <c r="H341" s="2">
        <v>46196</v>
      </c>
      <c r="I341" s="2">
        <v>46198</v>
      </c>
      <c r="J341" s="1" t="s">
        <v>51</v>
      </c>
      <c r="K341" s="1">
        <v>1340</v>
      </c>
      <c r="L341" s="1">
        <f t="shared" si="1"/>
        <v>46284</v>
      </c>
    </row>
    <row r="342" spans="1:12" x14ac:dyDescent="0.3">
      <c r="A342" s="1" t="s">
        <v>57</v>
      </c>
      <c r="B342" s="1" t="s">
        <v>38</v>
      </c>
      <c r="C342" s="1" t="s">
        <v>18</v>
      </c>
      <c r="D342" s="1" t="s">
        <v>19</v>
      </c>
      <c r="E342" s="1">
        <v>19</v>
      </c>
      <c r="F342" s="1">
        <v>6488</v>
      </c>
      <c r="G342" s="1">
        <v>15</v>
      </c>
      <c r="H342" s="2">
        <v>46026</v>
      </c>
      <c r="I342" s="2">
        <v>46030</v>
      </c>
      <c r="J342" s="1" t="s">
        <v>20</v>
      </c>
      <c r="K342" s="1">
        <v>1341</v>
      </c>
      <c r="L342" s="1">
        <f t="shared" si="1"/>
        <v>123272</v>
      </c>
    </row>
    <row r="343" spans="1:12" x14ac:dyDescent="0.3">
      <c r="A343" s="1" t="s">
        <v>59</v>
      </c>
      <c r="B343" s="1" t="s">
        <v>31</v>
      </c>
      <c r="C343" s="1" t="s">
        <v>34</v>
      </c>
      <c r="D343" s="1" t="s">
        <v>35</v>
      </c>
      <c r="E343" s="1">
        <v>13</v>
      </c>
      <c r="F343" s="1">
        <v>47881</v>
      </c>
      <c r="G343" s="1">
        <v>15</v>
      </c>
      <c r="H343" s="2">
        <v>46132</v>
      </c>
      <c r="I343" s="2">
        <v>46139</v>
      </c>
      <c r="J343" s="1" t="s">
        <v>29</v>
      </c>
      <c r="K343" s="1">
        <v>1342</v>
      </c>
      <c r="L343" s="1">
        <f t="shared" si="1"/>
        <v>622453</v>
      </c>
    </row>
    <row r="344" spans="1:12" x14ac:dyDescent="0.3">
      <c r="A344" s="1" t="s">
        <v>59</v>
      </c>
      <c r="B344" s="1" t="s">
        <v>31</v>
      </c>
      <c r="C344" s="1" t="s">
        <v>34</v>
      </c>
      <c r="D344" s="1" t="s">
        <v>39</v>
      </c>
      <c r="E344" s="1">
        <v>14</v>
      </c>
      <c r="F344" s="1">
        <v>32719</v>
      </c>
      <c r="G344" s="1">
        <v>15</v>
      </c>
      <c r="H344" s="2">
        <v>46174</v>
      </c>
      <c r="I344" s="2">
        <v>46179</v>
      </c>
      <c r="J344" s="1" t="s">
        <v>15</v>
      </c>
      <c r="K344" s="1">
        <v>1343</v>
      </c>
      <c r="L344" s="1">
        <f t="shared" si="1"/>
        <v>458066</v>
      </c>
    </row>
    <row r="345" spans="1:12" x14ac:dyDescent="0.3">
      <c r="A345" s="1" t="s">
        <v>30</v>
      </c>
      <c r="B345" s="1" t="s">
        <v>17</v>
      </c>
      <c r="C345" s="1" t="s">
        <v>13</v>
      </c>
      <c r="D345" s="1" t="s">
        <v>53</v>
      </c>
      <c r="E345" s="1">
        <v>18</v>
      </c>
      <c r="F345" s="1">
        <v>240</v>
      </c>
      <c r="G345" s="1">
        <v>10</v>
      </c>
      <c r="H345" s="2">
        <v>46155</v>
      </c>
      <c r="I345" s="2">
        <v>46156</v>
      </c>
      <c r="J345" s="1" t="s">
        <v>24</v>
      </c>
      <c r="K345" s="1">
        <v>1344</v>
      </c>
      <c r="L345" s="1">
        <f t="shared" si="1"/>
        <v>4320</v>
      </c>
    </row>
    <row r="346" spans="1:12" x14ac:dyDescent="0.3">
      <c r="A346" s="1" t="s">
        <v>32</v>
      </c>
      <c r="B346" s="1" t="s">
        <v>12</v>
      </c>
      <c r="C346" s="1" t="s">
        <v>34</v>
      </c>
      <c r="D346" s="1" t="s">
        <v>45</v>
      </c>
      <c r="E346" s="1">
        <v>12</v>
      </c>
      <c r="F346" s="1">
        <v>50544</v>
      </c>
      <c r="G346" s="1">
        <v>10</v>
      </c>
      <c r="H346" s="2">
        <v>46095</v>
      </c>
      <c r="I346" s="2">
        <v>46097</v>
      </c>
      <c r="J346" s="1" t="s">
        <v>29</v>
      </c>
      <c r="K346" s="1">
        <v>1345</v>
      </c>
      <c r="L346" s="1">
        <f t="shared" si="1"/>
        <v>606528</v>
      </c>
    </row>
    <row r="347" spans="1:12" x14ac:dyDescent="0.3">
      <c r="A347" s="1" t="s">
        <v>32</v>
      </c>
      <c r="B347" s="1" t="s">
        <v>22</v>
      </c>
      <c r="C347" s="1" t="s">
        <v>18</v>
      </c>
      <c r="D347" s="1" t="s">
        <v>19</v>
      </c>
      <c r="E347" s="1">
        <v>16</v>
      </c>
      <c r="F347" s="1">
        <v>6910</v>
      </c>
      <c r="G347" s="1">
        <v>15</v>
      </c>
      <c r="H347" s="2">
        <v>46140</v>
      </c>
      <c r="I347" s="2">
        <v>46142</v>
      </c>
      <c r="J347" s="1" t="s">
        <v>29</v>
      </c>
      <c r="K347" s="1">
        <v>1346</v>
      </c>
      <c r="L347" s="1">
        <f t="shared" si="1"/>
        <v>110560</v>
      </c>
    </row>
    <row r="348" spans="1:12" x14ac:dyDescent="0.3">
      <c r="A348" s="1" t="s">
        <v>29</v>
      </c>
      <c r="B348" s="1" t="s">
        <v>22</v>
      </c>
      <c r="C348" s="1" t="s">
        <v>34</v>
      </c>
      <c r="D348" s="1" t="s">
        <v>35</v>
      </c>
      <c r="E348" s="1">
        <v>16</v>
      </c>
      <c r="F348" s="1">
        <v>6034</v>
      </c>
      <c r="G348" s="1">
        <v>15</v>
      </c>
      <c r="H348" s="2">
        <v>46037</v>
      </c>
      <c r="I348" s="2">
        <v>46044</v>
      </c>
      <c r="J348" s="1" t="s">
        <v>24</v>
      </c>
      <c r="K348" s="1">
        <v>1347</v>
      </c>
      <c r="L348" s="1">
        <f t="shared" si="1"/>
        <v>96544</v>
      </c>
    </row>
    <row r="349" spans="1:12" x14ac:dyDescent="0.3">
      <c r="A349" s="1" t="s">
        <v>11</v>
      </c>
      <c r="B349" s="1" t="s">
        <v>33</v>
      </c>
      <c r="C349" s="1" t="s">
        <v>13</v>
      </c>
      <c r="D349" s="1" t="s">
        <v>50</v>
      </c>
      <c r="E349" s="1">
        <v>12</v>
      </c>
      <c r="F349" s="1">
        <v>244</v>
      </c>
      <c r="G349" s="1">
        <v>7</v>
      </c>
      <c r="H349" s="2">
        <v>46048</v>
      </c>
      <c r="I349" s="2">
        <v>46053</v>
      </c>
      <c r="J349" s="1" t="s">
        <v>15</v>
      </c>
      <c r="K349" s="1">
        <v>1348</v>
      </c>
      <c r="L349" s="1">
        <f t="shared" si="1"/>
        <v>2928</v>
      </c>
    </row>
    <row r="350" spans="1:12" x14ac:dyDescent="0.3">
      <c r="A350" s="1" t="s">
        <v>40</v>
      </c>
      <c r="B350" s="1" t="s">
        <v>33</v>
      </c>
      <c r="C350" s="1" t="s">
        <v>34</v>
      </c>
      <c r="D350" s="1" t="s">
        <v>35</v>
      </c>
      <c r="E350" s="1">
        <v>20</v>
      </c>
      <c r="F350" s="1">
        <v>62721</v>
      </c>
      <c r="G350" s="1">
        <v>7</v>
      </c>
      <c r="H350" s="2">
        <v>46079</v>
      </c>
      <c r="I350" s="2">
        <v>46083</v>
      </c>
      <c r="J350" s="1" t="s">
        <v>20</v>
      </c>
      <c r="K350" s="1">
        <v>1349</v>
      </c>
      <c r="L350" s="1">
        <f t="shared" si="1"/>
        <v>1254420</v>
      </c>
    </row>
    <row r="351" spans="1:12" x14ac:dyDescent="0.3">
      <c r="A351" s="1" t="s">
        <v>26</v>
      </c>
      <c r="B351" s="1" t="s">
        <v>43</v>
      </c>
      <c r="C351" s="1" t="s">
        <v>18</v>
      </c>
      <c r="D351" s="1" t="s">
        <v>28</v>
      </c>
      <c r="E351" s="1">
        <v>16</v>
      </c>
      <c r="F351" s="1">
        <v>11790</v>
      </c>
      <c r="G351" s="1">
        <v>12</v>
      </c>
      <c r="H351" s="2">
        <v>46185</v>
      </c>
      <c r="I351" s="2">
        <v>46190</v>
      </c>
      <c r="J351" s="1" t="s">
        <v>29</v>
      </c>
      <c r="K351" s="1">
        <v>1350</v>
      </c>
      <c r="L351" s="1">
        <f t="shared" si="1"/>
        <v>188640</v>
      </c>
    </row>
    <row r="352" spans="1:12" x14ac:dyDescent="0.3">
      <c r="A352" s="1" t="s">
        <v>42</v>
      </c>
      <c r="B352" s="1" t="s">
        <v>33</v>
      </c>
      <c r="C352" s="1" t="s">
        <v>34</v>
      </c>
      <c r="D352" s="1" t="s">
        <v>45</v>
      </c>
      <c r="E352" s="1">
        <v>12</v>
      </c>
      <c r="F352" s="1">
        <v>1272</v>
      </c>
      <c r="G352" s="1">
        <v>0</v>
      </c>
      <c r="H352" s="2">
        <v>46026</v>
      </c>
      <c r="I352" s="2">
        <v>46029</v>
      </c>
      <c r="J352" s="1" t="s">
        <v>15</v>
      </c>
      <c r="K352" s="1">
        <v>1351</v>
      </c>
      <c r="L352" s="1">
        <f t="shared" si="1"/>
        <v>15264</v>
      </c>
    </row>
    <row r="353" spans="1:12" x14ac:dyDescent="0.3">
      <c r="A353" s="1" t="s">
        <v>54</v>
      </c>
      <c r="B353" s="1" t="s">
        <v>22</v>
      </c>
      <c r="C353" s="1" t="s">
        <v>13</v>
      </c>
      <c r="D353" s="1" t="s">
        <v>14</v>
      </c>
      <c r="E353" s="1">
        <v>12</v>
      </c>
      <c r="F353" s="1">
        <v>203</v>
      </c>
      <c r="G353" s="1">
        <v>5</v>
      </c>
      <c r="H353" s="2">
        <v>46024</v>
      </c>
      <c r="I353" s="2">
        <v>46033</v>
      </c>
      <c r="J353" s="1" t="s">
        <v>15</v>
      </c>
      <c r="K353" s="1">
        <v>1352</v>
      </c>
      <c r="L353" s="1">
        <f t="shared" si="1"/>
        <v>2436</v>
      </c>
    </row>
    <row r="354" spans="1:12" x14ac:dyDescent="0.3">
      <c r="A354" s="1" t="s">
        <v>47</v>
      </c>
      <c r="B354" s="1" t="s">
        <v>43</v>
      </c>
      <c r="C354" s="1" t="s">
        <v>13</v>
      </c>
      <c r="D354" s="1" t="s">
        <v>14</v>
      </c>
      <c r="E354" s="1">
        <v>6</v>
      </c>
      <c r="F354" s="1">
        <v>495</v>
      </c>
      <c r="G354" s="1">
        <v>2</v>
      </c>
      <c r="H354" s="2">
        <v>46194</v>
      </c>
      <c r="I354" s="2">
        <v>46200</v>
      </c>
      <c r="J354" s="1" t="s">
        <v>24</v>
      </c>
      <c r="K354" s="1">
        <v>1353</v>
      </c>
      <c r="L354" s="1">
        <f t="shared" si="1"/>
        <v>2970</v>
      </c>
    </row>
    <row r="355" spans="1:12" x14ac:dyDescent="0.3">
      <c r="A355" s="1" t="s">
        <v>47</v>
      </c>
      <c r="B355" s="1" t="s">
        <v>43</v>
      </c>
      <c r="C355" s="1" t="s">
        <v>34</v>
      </c>
      <c r="D355" s="1" t="s">
        <v>35</v>
      </c>
      <c r="E355" s="1">
        <v>15</v>
      </c>
      <c r="F355" s="1">
        <v>14927</v>
      </c>
      <c r="G355" s="1">
        <v>15</v>
      </c>
      <c r="H355" s="2">
        <v>46118</v>
      </c>
      <c r="I355" s="2">
        <v>46120</v>
      </c>
      <c r="J355" s="1" t="s">
        <v>51</v>
      </c>
      <c r="K355" s="1">
        <v>1354</v>
      </c>
      <c r="L355" s="1">
        <f t="shared" si="1"/>
        <v>223905</v>
      </c>
    </row>
    <row r="356" spans="1:12" x14ac:dyDescent="0.3">
      <c r="A356" s="1" t="s">
        <v>27</v>
      </c>
      <c r="B356" s="1" t="s">
        <v>12</v>
      </c>
      <c r="C356" s="1" t="s">
        <v>34</v>
      </c>
      <c r="D356" s="1" t="s">
        <v>60</v>
      </c>
      <c r="E356" s="1">
        <v>18</v>
      </c>
      <c r="F356" s="1">
        <v>35997</v>
      </c>
      <c r="G356" s="1">
        <v>2</v>
      </c>
      <c r="H356" s="2">
        <v>46024</v>
      </c>
      <c r="I356" s="2">
        <v>46031</v>
      </c>
      <c r="J356" s="1" t="s">
        <v>51</v>
      </c>
      <c r="K356" s="1">
        <v>1355</v>
      </c>
      <c r="L356" s="1">
        <f t="shared" si="1"/>
        <v>647946</v>
      </c>
    </row>
    <row r="357" spans="1:12" x14ac:dyDescent="0.3">
      <c r="A357" s="1" t="s">
        <v>26</v>
      </c>
      <c r="B357" s="1" t="s">
        <v>38</v>
      </c>
      <c r="C357" s="1" t="s">
        <v>34</v>
      </c>
      <c r="D357" s="1" t="s">
        <v>60</v>
      </c>
      <c r="E357" s="1">
        <v>16</v>
      </c>
      <c r="F357" s="1">
        <v>53457</v>
      </c>
      <c r="G357" s="1">
        <v>10</v>
      </c>
      <c r="H357" s="2">
        <v>46201</v>
      </c>
      <c r="I357" s="2">
        <v>46204</v>
      </c>
      <c r="J357" s="1" t="s">
        <v>15</v>
      </c>
      <c r="K357" s="1">
        <v>1356</v>
      </c>
      <c r="L357" s="1">
        <f t="shared" si="1"/>
        <v>855312</v>
      </c>
    </row>
    <row r="358" spans="1:12" x14ac:dyDescent="0.3">
      <c r="A358" s="1" t="s">
        <v>59</v>
      </c>
      <c r="B358" s="1" t="s">
        <v>25</v>
      </c>
      <c r="C358" s="1" t="s">
        <v>13</v>
      </c>
      <c r="D358" s="1" t="s">
        <v>37</v>
      </c>
      <c r="E358" s="1">
        <v>6</v>
      </c>
      <c r="F358" s="1">
        <v>365</v>
      </c>
      <c r="G358" s="1">
        <v>7</v>
      </c>
      <c r="H358" s="2">
        <v>46133</v>
      </c>
      <c r="I358" s="2">
        <v>46140</v>
      </c>
      <c r="J358" s="1" t="s">
        <v>51</v>
      </c>
      <c r="K358" s="1">
        <v>1357</v>
      </c>
      <c r="L358" s="1">
        <f t="shared" si="1"/>
        <v>2190</v>
      </c>
    </row>
    <row r="359" spans="1:12" x14ac:dyDescent="0.3">
      <c r="A359" s="1" t="s">
        <v>40</v>
      </c>
      <c r="B359" s="1" t="s">
        <v>38</v>
      </c>
      <c r="C359" s="1" t="s">
        <v>18</v>
      </c>
      <c r="D359" s="1" t="s">
        <v>19</v>
      </c>
      <c r="E359" s="1">
        <v>7</v>
      </c>
      <c r="F359" s="1">
        <v>6618</v>
      </c>
      <c r="G359" s="1">
        <v>0</v>
      </c>
      <c r="H359" s="2">
        <v>46127</v>
      </c>
      <c r="I359" s="2">
        <v>46129</v>
      </c>
      <c r="J359" s="1" t="s">
        <v>20</v>
      </c>
      <c r="K359" s="1">
        <v>1358</v>
      </c>
      <c r="L359" s="1">
        <f t="shared" si="1"/>
        <v>46326</v>
      </c>
    </row>
    <row r="360" spans="1:12" x14ac:dyDescent="0.3">
      <c r="A360" s="1" t="s">
        <v>54</v>
      </c>
      <c r="B360" s="1" t="s">
        <v>12</v>
      </c>
      <c r="C360" s="1" t="s">
        <v>34</v>
      </c>
      <c r="D360" s="1" t="s">
        <v>61</v>
      </c>
      <c r="E360" s="1">
        <v>9</v>
      </c>
      <c r="F360" s="1">
        <v>38179</v>
      </c>
      <c r="G360" s="1">
        <v>0</v>
      </c>
      <c r="H360" s="2">
        <v>46096</v>
      </c>
      <c r="I360" s="2">
        <v>46099</v>
      </c>
      <c r="J360" s="1" t="s">
        <v>15</v>
      </c>
      <c r="K360" s="1">
        <v>1359</v>
      </c>
      <c r="L360" s="1">
        <f t="shared" si="1"/>
        <v>343611</v>
      </c>
    </row>
    <row r="361" spans="1:12" x14ac:dyDescent="0.3">
      <c r="A361" s="1" t="s">
        <v>11</v>
      </c>
      <c r="B361" s="1" t="s">
        <v>43</v>
      </c>
      <c r="C361" s="1" t="s">
        <v>18</v>
      </c>
      <c r="D361" s="1" t="s">
        <v>23</v>
      </c>
      <c r="E361" s="1">
        <v>19</v>
      </c>
      <c r="F361" s="1">
        <v>6681</v>
      </c>
      <c r="G361" s="1">
        <v>2</v>
      </c>
      <c r="H361" s="2">
        <v>46146</v>
      </c>
      <c r="I361" s="2">
        <v>46150</v>
      </c>
      <c r="J361" s="1" t="s">
        <v>15</v>
      </c>
      <c r="K361" s="1">
        <v>1360</v>
      </c>
      <c r="L361" s="1">
        <f t="shared" si="1"/>
        <v>126939</v>
      </c>
    </row>
    <row r="362" spans="1:12" x14ac:dyDescent="0.3">
      <c r="A362" s="1" t="s">
        <v>42</v>
      </c>
      <c r="B362" s="1" t="s">
        <v>17</v>
      </c>
      <c r="C362" s="1" t="s">
        <v>18</v>
      </c>
      <c r="D362" s="1" t="s">
        <v>23</v>
      </c>
      <c r="E362" s="1">
        <v>2</v>
      </c>
      <c r="F362" s="1">
        <v>1822</v>
      </c>
      <c r="G362" s="1">
        <v>5</v>
      </c>
      <c r="H362" s="2">
        <v>46141</v>
      </c>
      <c r="I362" s="2">
        <v>46145</v>
      </c>
      <c r="J362" s="1" t="s">
        <v>20</v>
      </c>
      <c r="K362" s="1">
        <v>1361</v>
      </c>
      <c r="L362" s="1">
        <f t="shared" si="1"/>
        <v>3644</v>
      </c>
    </row>
    <row r="363" spans="1:12" x14ac:dyDescent="0.3">
      <c r="A363" s="1" t="s">
        <v>16</v>
      </c>
      <c r="B363" s="1" t="s">
        <v>12</v>
      </c>
      <c r="C363" s="1" t="s">
        <v>18</v>
      </c>
      <c r="D363" s="1" t="s">
        <v>28</v>
      </c>
      <c r="E363" s="1">
        <v>1</v>
      </c>
      <c r="F363" s="1">
        <v>10474</v>
      </c>
      <c r="G363" s="1">
        <v>0</v>
      </c>
      <c r="H363" s="2">
        <v>46094</v>
      </c>
      <c r="I363" s="2">
        <v>46096</v>
      </c>
      <c r="J363" s="1" t="s">
        <v>29</v>
      </c>
      <c r="K363" s="1">
        <v>1362</v>
      </c>
      <c r="L363" s="1">
        <f t="shared" si="1"/>
        <v>10474</v>
      </c>
    </row>
    <row r="364" spans="1:12" x14ac:dyDescent="0.3">
      <c r="A364" s="1" t="s">
        <v>27</v>
      </c>
      <c r="B364" s="1" t="s">
        <v>25</v>
      </c>
      <c r="C364" s="1" t="s">
        <v>34</v>
      </c>
      <c r="D364" s="1" t="s">
        <v>35</v>
      </c>
      <c r="E364" s="1">
        <v>7</v>
      </c>
      <c r="F364" s="1">
        <v>45381</v>
      </c>
      <c r="G364" s="1">
        <v>0</v>
      </c>
      <c r="H364" s="2">
        <v>46122</v>
      </c>
      <c r="I364" s="2">
        <v>46128</v>
      </c>
      <c r="J364" s="1" t="s">
        <v>15</v>
      </c>
      <c r="K364" s="1">
        <v>1363</v>
      </c>
      <c r="L364" s="1">
        <f t="shared" si="1"/>
        <v>317667</v>
      </c>
    </row>
    <row r="365" spans="1:12" x14ac:dyDescent="0.3">
      <c r="A365" s="1" t="s">
        <v>30</v>
      </c>
      <c r="B365" s="1" t="s">
        <v>22</v>
      </c>
      <c r="C365" s="1" t="s">
        <v>18</v>
      </c>
      <c r="D365" s="1" t="s">
        <v>56</v>
      </c>
      <c r="E365" s="1">
        <v>16</v>
      </c>
      <c r="F365" s="1">
        <v>1744</v>
      </c>
      <c r="G365" s="1">
        <v>15</v>
      </c>
      <c r="H365" s="2">
        <v>46031</v>
      </c>
      <c r="I365" s="2">
        <v>46033</v>
      </c>
      <c r="J365" s="1" t="s">
        <v>51</v>
      </c>
      <c r="K365" s="1">
        <v>1364</v>
      </c>
      <c r="L365" s="1">
        <f t="shared" si="1"/>
        <v>27904</v>
      </c>
    </row>
    <row r="366" spans="1:12" x14ac:dyDescent="0.3">
      <c r="A366" s="1" t="s">
        <v>46</v>
      </c>
      <c r="B366" s="1" t="s">
        <v>33</v>
      </c>
      <c r="C366" s="1" t="s">
        <v>13</v>
      </c>
      <c r="D366" s="1" t="s">
        <v>50</v>
      </c>
      <c r="E366" s="1">
        <v>17</v>
      </c>
      <c r="F366" s="1">
        <v>119</v>
      </c>
      <c r="G366" s="1">
        <v>7</v>
      </c>
      <c r="H366" s="2">
        <v>46070</v>
      </c>
      <c r="I366" s="2">
        <v>46072</v>
      </c>
      <c r="J366" s="1" t="s">
        <v>20</v>
      </c>
      <c r="K366" s="1">
        <v>1365</v>
      </c>
      <c r="L366" s="1">
        <f t="shared" si="1"/>
        <v>2023</v>
      </c>
    </row>
    <row r="367" spans="1:12" x14ac:dyDescent="0.3">
      <c r="A367" s="1" t="s">
        <v>26</v>
      </c>
      <c r="B367" s="1" t="s">
        <v>17</v>
      </c>
      <c r="C367" s="1" t="s">
        <v>34</v>
      </c>
      <c r="D367" s="1" t="s">
        <v>61</v>
      </c>
      <c r="E367" s="1">
        <v>20</v>
      </c>
      <c r="F367" s="1">
        <v>44312</v>
      </c>
      <c r="G367" s="1">
        <v>10</v>
      </c>
      <c r="H367" s="2">
        <v>46047</v>
      </c>
      <c r="I367" s="2">
        <v>46054</v>
      </c>
      <c r="J367" s="1" t="s">
        <v>29</v>
      </c>
      <c r="K367" s="1">
        <v>1366</v>
      </c>
      <c r="L367" s="1">
        <f t="shared" si="1"/>
        <v>886240</v>
      </c>
    </row>
    <row r="368" spans="1:12" x14ac:dyDescent="0.3">
      <c r="A368" s="1" t="s">
        <v>54</v>
      </c>
      <c r="B368" s="1" t="s">
        <v>25</v>
      </c>
      <c r="C368" s="1" t="s">
        <v>13</v>
      </c>
      <c r="D368" s="1" t="s">
        <v>53</v>
      </c>
      <c r="E368" s="1">
        <v>1</v>
      </c>
      <c r="F368" s="1">
        <v>371</v>
      </c>
      <c r="G368" s="1">
        <v>5</v>
      </c>
      <c r="H368" s="2">
        <v>46158</v>
      </c>
      <c r="I368" s="2">
        <v>46168</v>
      </c>
      <c r="J368" s="1" t="s">
        <v>29</v>
      </c>
      <c r="K368" s="1">
        <v>1367</v>
      </c>
      <c r="L368" s="1">
        <f t="shared" si="1"/>
        <v>371</v>
      </c>
    </row>
    <row r="369" spans="1:12" x14ac:dyDescent="0.3">
      <c r="A369" s="1" t="s">
        <v>55</v>
      </c>
      <c r="B369" s="1" t="s">
        <v>38</v>
      </c>
      <c r="C369" s="1" t="s">
        <v>13</v>
      </c>
      <c r="D369" s="1" t="s">
        <v>36</v>
      </c>
      <c r="E369" s="1">
        <v>9</v>
      </c>
      <c r="F369" s="1">
        <v>115</v>
      </c>
      <c r="G369" s="1">
        <v>0</v>
      </c>
      <c r="H369" s="2">
        <v>46036</v>
      </c>
      <c r="I369" s="2">
        <v>46045</v>
      </c>
      <c r="J369" s="1" t="s">
        <v>24</v>
      </c>
      <c r="K369" s="1">
        <v>1368</v>
      </c>
      <c r="L369" s="1">
        <f t="shared" si="1"/>
        <v>1035</v>
      </c>
    </row>
    <row r="370" spans="1:12" x14ac:dyDescent="0.3">
      <c r="A370" s="1" t="s">
        <v>57</v>
      </c>
      <c r="B370" s="1" t="s">
        <v>25</v>
      </c>
      <c r="C370" s="1" t="s">
        <v>18</v>
      </c>
      <c r="D370" s="1" t="s">
        <v>19</v>
      </c>
      <c r="E370" s="1">
        <v>19</v>
      </c>
      <c r="F370" s="1">
        <v>5840</v>
      </c>
      <c r="G370" s="1">
        <v>5</v>
      </c>
      <c r="H370" s="2">
        <v>46062</v>
      </c>
      <c r="I370" s="2">
        <v>46067</v>
      </c>
      <c r="J370" s="1" t="s">
        <v>15</v>
      </c>
      <c r="K370" s="1">
        <v>1369</v>
      </c>
      <c r="L370" s="1">
        <f t="shared" si="1"/>
        <v>110960</v>
      </c>
    </row>
    <row r="371" spans="1:12" x14ac:dyDescent="0.3">
      <c r="A371" s="1" t="s">
        <v>59</v>
      </c>
      <c r="B371" s="1" t="s">
        <v>38</v>
      </c>
      <c r="C371" s="1" t="s">
        <v>13</v>
      </c>
      <c r="D371" s="1" t="s">
        <v>53</v>
      </c>
      <c r="E371" s="1">
        <v>13</v>
      </c>
      <c r="F371" s="1">
        <v>337</v>
      </c>
      <c r="G371" s="1">
        <v>7</v>
      </c>
      <c r="H371" s="2">
        <v>46184</v>
      </c>
      <c r="I371" s="2">
        <v>46188</v>
      </c>
      <c r="J371" s="1" t="s">
        <v>15</v>
      </c>
      <c r="K371" s="1">
        <v>1370</v>
      </c>
      <c r="L371" s="1">
        <f t="shared" si="1"/>
        <v>4381</v>
      </c>
    </row>
    <row r="372" spans="1:12" x14ac:dyDescent="0.3">
      <c r="A372" s="1" t="s">
        <v>48</v>
      </c>
      <c r="B372" s="1" t="s">
        <v>38</v>
      </c>
      <c r="C372" s="1" t="s">
        <v>18</v>
      </c>
      <c r="D372" s="1" t="s">
        <v>19</v>
      </c>
      <c r="E372" s="1">
        <v>19</v>
      </c>
      <c r="F372" s="1">
        <v>1087</v>
      </c>
      <c r="G372" s="1">
        <v>15</v>
      </c>
      <c r="H372" s="2">
        <v>46072</v>
      </c>
      <c r="I372" s="2">
        <v>46082</v>
      </c>
      <c r="J372" s="1" t="s">
        <v>20</v>
      </c>
      <c r="K372" s="1">
        <v>1371</v>
      </c>
      <c r="L372" s="1">
        <f t="shared" si="1"/>
        <v>20653</v>
      </c>
    </row>
    <row r="373" spans="1:12" x14ac:dyDescent="0.3">
      <c r="A373" s="1" t="s">
        <v>48</v>
      </c>
      <c r="B373" s="1" t="s">
        <v>17</v>
      </c>
      <c r="C373" s="1" t="s">
        <v>34</v>
      </c>
      <c r="D373" s="1" t="s">
        <v>39</v>
      </c>
      <c r="E373" s="1">
        <v>9</v>
      </c>
      <c r="F373" s="1">
        <v>9551</v>
      </c>
      <c r="G373" s="1">
        <v>10</v>
      </c>
      <c r="H373" s="2">
        <v>46161</v>
      </c>
      <c r="I373" s="2">
        <v>46168</v>
      </c>
      <c r="J373" s="1" t="s">
        <v>15</v>
      </c>
      <c r="K373" s="1">
        <v>1372</v>
      </c>
      <c r="L373" s="1">
        <f t="shared" si="1"/>
        <v>85959</v>
      </c>
    </row>
    <row r="374" spans="1:12" x14ac:dyDescent="0.3">
      <c r="A374" s="1" t="s">
        <v>54</v>
      </c>
      <c r="B374" s="1" t="s">
        <v>25</v>
      </c>
      <c r="C374" s="1" t="s">
        <v>34</v>
      </c>
      <c r="D374" s="1" t="s">
        <v>60</v>
      </c>
      <c r="E374" s="1">
        <v>11</v>
      </c>
      <c r="F374" s="1">
        <v>47930</v>
      </c>
      <c r="G374" s="1">
        <v>12</v>
      </c>
      <c r="H374" s="2">
        <v>46191</v>
      </c>
      <c r="I374" s="2">
        <v>46201</v>
      </c>
      <c r="J374" s="1" t="s">
        <v>20</v>
      </c>
      <c r="K374" s="1">
        <v>1373</v>
      </c>
      <c r="L374" s="1">
        <f t="shared" si="1"/>
        <v>527230</v>
      </c>
    </row>
    <row r="375" spans="1:12" x14ac:dyDescent="0.3">
      <c r="A375" s="1" t="s">
        <v>57</v>
      </c>
      <c r="B375" s="1" t="s">
        <v>33</v>
      </c>
      <c r="C375" s="1" t="s">
        <v>34</v>
      </c>
      <c r="D375" s="1" t="s">
        <v>35</v>
      </c>
      <c r="E375" s="1">
        <v>12</v>
      </c>
      <c r="F375" s="1">
        <v>66052</v>
      </c>
      <c r="G375" s="1">
        <v>2</v>
      </c>
      <c r="H375" s="2">
        <v>46063</v>
      </c>
      <c r="I375" s="2">
        <v>46066</v>
      </c>
      <c r="J375" s="1" t="s">
        <v>51</v>
      </c>
      <c r="K375" s="1">
        <v>1374</v>
      </c>
      <c r="L375" s="1">
        <f t="shared" si="1"/>
        <v>792624</v>
      </c>
    </row>
    <row r="376" spans="1:12" x14ac:dyDescent="0.3">
      <c r="A376" s="1" t="s">
        <v>46</v>
      </c>
      <c r="B376" s="1" t="s">
        <v>43</v>
      </c>
      <c r="C376" s="1" t="s">
        <v>34</v>
      </c>
      <c r="D376" s="1" t="s">
        <v>45</v>
      </c>
      <c r="E376" s="1">
        <v>20</v>
      </c>
      <c r="F376" s="1">
        <v>56766</v>
      </c>
      <c r="G376" s="1">
        <v>0</v>
      </c>
      <c r="H376" s="2">
        <v>46052</v>
      </c>
      <c r="I376" s="2">
        <v>46061</v>
      </c>
      <c r="J376" s="1" t="s">
        <v>24</v>
      </c>
      <c r="K376" s="1">
        <v>1375</v>
      </c>
      <c r="L376" s="1">
        <f t="shared" si="1"/>
        <v>1135320</v>
      </c>
    </row>
    <row r="377" spans="1:12" x14ac:dyDescent="0.3">
      <c r="A377" s="1" t="s">
        <v>52</v>
      </c>
      <c r="B377" s="1" t="s">
        <v>31</v>
      </c>
      <c r="C377" s="1" t="s">
        <v>13</v>
      </c>
      <c r="D377" s="1" t="s">
        <v>50</v>
      </c>
      <c r="E377" s="1">
        <v>20</v>
      </c>
      <c r="F377" s="1">
        <v>429</v>
      </c>
      <c r="G377" s="1">
        <v>5</v>
      </c>
      <c r="H377" s="2">
        <v>46178</v>
      </c>
      <c r="I377" s="2">
        <v>46184</v>
      </c>
      <c r="J377" s="1" t="s">
        <v>20</v>
      </c>
      <c r="K377" s="1">
        <v>1376</v>
      </c>
      <c r="L377" s="1">
        <f t="shared" si="1"/>
        <v>8580</v>
      </c>
    </row>
    <row r="378" spans="1:12" x14ac:dyDescent="0.3">
      <c r="A378" s="1" t="s">
        <v>32</v>
      </c>
      <c r="B378" s="1" t="s">
        <v>38</v>
      </c>
      <c r="C378" s="1" t="s">
        <v>18</v>
      </c>
      <c r="D378" s="1" t="s">
        <v>19</v>
      </c>
      <c r="E378" s="1">
        <v>3</v>
      </c>
      <c r="F378" s="1">
        <v>5480</v>
      </c>
      <c r="G378" s="1">
        <v>12</v>
      </c>
      <c r="H378" s="2">
        <v>46105</v>
      </c>
      <c r="I378" s="2">
        <v>46111</v>
      </c>
      <c r="J378" s="1" t="s">
        <v>24</v>
      </c>
      <c r="K378" s="1">
        <v>1377</v>
      </c>
      <c r="L378" s="1">
        <f t="shared" si="1"/>
        <v>16440</v>
      </c>
    </row>
    <row r="379" spans="1:12" x14ac:dyDescent="0.3">
      <c r="A379" s="1" t="s">
        <v>55</v>
      </c>
      <c r="B379" s="1" t="s">
        <v>22</v>
      </c>
      <c r="C379" s="1" t="s">
        <v>34</v>
      </c>
      <c r="D379" s="1" t="s">
        <v>45</v>
      </c>
      <c r="E379" s="1">
        <v>15</v>
      </c>
      <c r="F379" s="1">
        <v>22693</v>
      </c>
      <c r="G379" s="1">
        <v>12</v>
      </c>
      <c r="H379" s="2">
        <v>46074</v>
      </c>
      <c r="I379" s="2">
        <v>46080</v>
      </c>
      <c r="J379" s="1" t="s">
        <v>51</v>
      </c>
      <c r="K379" s="1">
        <v>1378</v>
      </c>
      <c r="L379" s="1">
        <f t="shared" si="1"/>
        <v>340395</v>
      </c>
    </row>
    <row r="380" spans="1:12" x14ac:dyDescent="0.3">
      <c r="A380" s="1" t="s">
        <v>47</v>
      </c>
      <c r="B380" s="1" t="s">
        <v>17</v>
      </c>
      <c r="C380" s="1" t="s">
        <v>13</v>
      </c>
      <c r="D380" s="1" t="s">
        <v>14</v>
      </c>
      <c r="E380" s="1">
        <v>11</v>
      </c>
      <c r="F380" s="1">
        <v>136</v>
      </c>
      <c r="G380" s="1">
        <v>15</v>
      </c>
      <c r="H380" s="2">
        <v>46106</v>
      </c>
      <c r="I380" s="2">
        <v>46107</v>
      </c>
      <c r="J380" s="1" t="s">
        <v>20</v>
      </c>
      <c r="K380" s="1">
        <v>1379</v>
      </c>
      <c r="L380" s="1">
        <f t="shared" si="1"/>
        <v>1496</v>
      </c>
    </row>
    <row r="381" spans="1:12" x14ac:dyDescent="0.3">
      <c r="A381" s="1" t="s">
        <v>52</v>
      </c>
      <c r="B381" s="1" t="s">
        <v>43</v>
      </c>
      <c r="C381" s="1" t="s">
        <v>13</v>
      </c>
      <c r="D381" s="1" t="s">
        <v>53</v>
      </c>
      <c r="E381" s="1">
        <v>3</v>
      </c>
      <c r="F381" s="1">
        <v>412</v>
      </c>
      <c r="G381" s="1">
        <v>7</v>
      </c>
      <c r="H381" s="2">
        <v>46128</v>
      </c>
      <c r="I381" s="2">
        <v>46138</v>
      </c>
      <c r="J381" s="1" t="s">
        <v>24</v>
      </c>
      <c r="K381" s="1">
        <v>1380</v>
      </c>
      <c r="L381" s="1">
        <f t="shared" si="1"/>
        <v>1236</v>
      </c>
    </row>
    <row r="382" spans="1:12" x14ac:dyDescent="0.3">
      <c r="A382" s="1" t="s">
        <v>55</v>
      </c>
      <c r="B382" s="1" t="s">
        <v>33</v>
      </c>
      <c r="C382" s="1" t="s">
        <v>18</v>
      </c>
      <c r="D382" s="1" t="s">
        <v>28</v>
      </c>
      <c r="E382" s="1">
        <v>5</v>
      </c>
      <c r="F382" s="1">
        <v>7484</v>
      </c>
      <c r="G382" s="1">
        <v>2</v>
      </c>
      <c r="H382" s="2">
        <v>46089</v>
      </c>
      <c r="I382" s="2">
        <v>46093</v>
      </c>
      <c r="J382" s="1" t="s">
        <v>20</v>
      </c>
      <c r="K382" s="1">
        <v>1381</v>
      </c>
      <c r="L382" s="1">
        <f t="shared" si="1"/>
        <v>37420</v>
      </c>
    </row>
    <row r="383" spans="1:12" x14ac:dyDescent="0.3">
      <c r="A383" s="1" t="s">
        <v>49</v>
      </c>
      <c r="B383" s="1" t="s">
        <v>33</v>
      </c>
      <c r="C383" s="1" t="s">
        <v>34</v>
      </c>
      <c r="D383" s="1" t="s">
        <v>60</v>
      </c>
      <c r="E383" s="1">
        <v>11</v>
      </c>
      <c r="F383" s="1">
        <v>36198</v>
      </c>
      <c r="G383" s="1">
        <v>0</v>
      </c>
      <c r="H383" s="2">
        <v>46130</v>
      </c>
      <c r="I383" s="2">
        <v>46134</v>
      </c>
      <c r="J383" s="1" t="s">
        <v>15</v>
      </c>
      <c r="K383" s="1">
        <v>1382</v>
      </c>
      <c r="L383" s="1">
        <f t="shared" si="1"/>
        <v>398178</v>
      </c>
    </row>
    <row r="384" spans="1:12" x14ac:dyDescent="0.3">
      <c r="A384" s="1" t="s">
        <v>32</v>
      </c>
      <c r="B384" s="1" t="s">
        <v>12</v>
      </c>
      <c r="C384" s="1" t="s">
        <v>13</v>
      </c>
      <c r="D384" s="1" t="s">
        <v>53</v>
      </c>
      <c r="E384" s="1">
        <v>14</v>
      </c>
      <c r="F384" s="1">
        <v>334</v>
      </c>
      <c r="G384" s="1">
        <v>10</v>
      </c>
      <c r="H384" s="2">
        <v>46196</v>
      </c>
      <c r="I384" s="2">
        <v>46203</v>
      </c>
      <c r="J384" s="1" t="s">
        <v>15</v>
      </c>
      <c r="K384" s="1">
        <v>1383</v>
      </c>
      <c r="L384" s="1">
        <f t="shared" si="1"/>
        <v>4676</v>
      </c>
    </row>
    <row r="385" spans="1:12" x14ac:dyDescent="0.3">
      <c r="A385" s="1" t="s">
        <v>59</v>
      </c>
      <c r="B385" s="1" t="s">
        <v>12</v>
      </c>
      <c r="C385" s="1" t="s">
        <v>34</v>
      </c>
      <c r="D385" s="1" t="s">
        <v>39</v>
      </c>
      <c r="E385" s="1">
        <v>15</v>
      </c>
      <c r="F385" s="1">
        <v>38116</v>
      </c>
      <c r="G385" s="1">
        <v>0</v>
      </c>
      <c r="H385" s="2">
        <v>46074</v>
      </c>
      <c r="I385" s="2">
        <v>46078</v>
      </c>
      <c r="J385" s="1" t="s">
        <v>29</v>
      </c>
      <c r="K385" s="1">
        <v>1384</v>
      </c>
      <c r="L385" s="1">
        <f t="shared" si="1"/>
        <v>571740</v>
      </c>
    </row>
    <row r="386" spans="1:12" x14ac:dyDescent="0.3">
      <c r="A386" s="1" t="s">
        <v>26</v>
      </c>
      <c r="B386" s="1" t="s">
        <v>33</v>
      </c>
      <c r="C386" s="1" t="s">
        <v>34</v>
      </c>
      <c r="D386" s="1" t="s">
        <v>39</v>
      </c>
      <c r="E386" s="1">
        <v>12</v>
      </c>
      <c r="F386" s="1">
        <v>61360</v>
      </c>
      <c r="G386" s="1">
        <v>10</v>
      </c>
      <c r="H386" s="2">
        <v>46048</v>
      </c>
      <c r="I386" s="2">
        <v>46053</v>
      </c>
      <c r="J386" s="1" t="s">
        <v>51</v>
      </c>
      <c r="K386" s="1">
        <v>1385</v>
      </c>
      <c r="L386" s="1">
        <f t="shared" si="1"/>
        <v>736320</v>
      </c>
    </row>
    <row r="387" spans="1:12" x14ac:dyDescent="0.3">
      <c r="A387" s="1" t="s">
        <v>27</v>
      </c>
      <c r="B387" s="1" t="s">
        <v>31</v>
      </c>
      <c r="C387" s="1" t="s">
        <v>18</v>
      </c>
      <c r="D387" s="1" t="s">
        <v>28</v>
      </c>
      <c r="E387" s="1">
        <v>9</v>
      </c>
      <c r="F387" s="1">
        <v>7509</v>
      </c>
      <c r="G387" s="1">
        <v>5</v>
      </c>
      <c r="H387" s="2">
        <v>46162</v>
      </c>
      <c r="I387" s="2">
        <v>46171</v>
      </c>
      <c r="J387" s="1" t="s">
        <v>51</v>
      </c>
      <c r="K387" s="1">
        <v>1386</v>
      </c>
      <c r="L387" s="1">
        <f t="shared" si="1"/>
        <v>67581</v>
      </c>
    </row>
    <row r="388" spans="1:12" x14ac:dyDescent="0.3">
      <c r="A388" s="1" t="s">
        <v>54</v>
      </c>
      <c r="B388" s="1" t="s">
        <v>33</v>
      </c>
      <c r="C388" s="1" t="s">
        <v>34</v>
      </c>
      <c r="D388" s="1" t="s">
        <v>35</v>
      </c>
      <c r="E388" s="1">
        <v>11</v>
      </c>
      <c r="F388" s="1">
        <v>56515</v>
      </c>
      <c r="G388" s="1">
        <v>5</v>
      </c>
      <c r="H388" s="2">
        <v>46102</v>
      </c>
      <c r="I388" s="2">
        <v>46112</v>
      </c>
      <c r="J388" s="1" t="s">
        <v>24</v>
      </c>
      <c r="K388" s="1">
        <v>1387</v>
      </c>
      <c r="L388" s="1">
        <f t="shared" si="1"/>
        <v>621665</v>
      </c>
    </row>
    <row r="389" spans="1:12" x14ac:dyDescent="0.3">
      <c r="A389" s="1" t="s">
        <v>55</v>
      </c>
      <c r="B389" s="1" t="s">
        <v>31</v>
      </c>
      <c r="C389" s="1" t="s">
        <v>18</v>
      </c>
      <c r="D389" s="1" t="s">
        <v>28</v>
      </c>
      <c r="E389" s="1">
        <v>12</v>
      </c>
      <c r="F389" s="1">
        <v>11662</v>
      </c>
      <c r="G389" s="1">
        <v>12</v>
      </c>
      <c r="H389" s="2">
        <v>46094</v>
      </c>
      <c r="I389" s="2">
        <v>46096</v>
      </c>
      <c r="J389" s="1" t="s">
        <v>20</v>
      </c>
      <c r="K389" s="1">
        <v>1388</v>
      </c>
      <c r="L389" s="1">
        <f t="shared" si="1"/>
        <v>139944</v>
      </c>
    </row>
    <row r="390" spans="1:12" x14ac:dyDescent="0.3">
      <c r="A390" s="1" t="s">
        <v>32</v>
      </c>
      <c r="B390" s="1" t="s">
        <v>12</v>
      </c>
      <c r="C390" s="1" t="s">
        <v>34</v>
      </c>
      <c r="D390" s="1" t="s">
        <v>41</v>
      </c>
      <c r="E390" s="1">
        <v>3</v>
      </c>
      <c r="F390" s="1">
        <v>56380</v>
      </c>
      <c r="G390" s="1">
        <v>5</v>
      </c>
      <c r="H390" s="2">
        <v>46044</v>
      </c>
      <c r="I390" s="2">
        <v>46048</v>
      </c>
      <c r="J390" s="1" t="s">
        <v>51</v>
      </c>
      <c r="K390" s="1">
        <v>1389</v>
      </c>
      <c r="L390" s="1">
        <f t="shared" si="1"/>
        <v>169140</v>
      </c>
    </row>
    <row r="391" spans="1:12" x14ac:dyDescent="0.3">
      <c r="A391" s="1" t="s">
        <v>58</v>
      </c>
      <c r="B391" s="1" t="s">
        <v>43</v>
      </c>
      <c r="C391" s="1" t="s">
        <v>18</v>
      </c>
      <c r="D391" s="1" t="s">
        <v>19</v>
      </c>
      <c r="E391" s="1">
        <v>9</v>
      </c>
      <c r="F391" s="1">
        <v>7670</v>
      </c>
      <c r="G391" s="1">
        <v>0</v>
      </c>
      <c r="H391" s="2">
        <v>46076</v>
      </c>
      <c r="I391" s="2">
        <v>46081</v>
      </c>
      <c r="J391" s="1" t="s">
        <v>51</v>
      </c>
      <c r="K391" s="1">
        <v>1390</v>
      </c>
      <c r="L391" s="1">
        <f t="shared" si="1"/>
        <v>69030</v>
      </c>
    </row>
    <row r="392" spans="1:12" x14ac:dyDescent="0.3">
      <c r="A392" s="1" t="s">
        <v>30</v>
      </c>
      <c r="B392" s="1" t="s">
        <v>31</v>
      </c>
      <c r="C392" s="1" t="s">
        <v>34</v>
      </c>
      <c r="D392" s="1" t="s">
        <v>35</v>
      </c>
      <c r="E392" s="1">
        <v>5</v>
      </c>
      <c r="F392" s="1">
        <v>65270</v>
      </c>
      <c r="G392" s="1">
        <v>5</v>
      </c>
      <c r="H392" s="2">
        <v>46100</v>
      </c>
      <c r="I392" s="2">
        <v>46103</v>
      </c>
      <c r="J392" s="1" t="s">
        <v>24</v>
      </c>
      <c r="K392" s="1">
        <v>1391</v>
      </c>
      <c r="L392" s="1">
        <f t="shared" si="1"/>
        <v>326350</v>
      </c>
    </row>
    <row r="393" spans="1:12" x14ac:dyDescent="0.3">
      <c r="A393" s="1" t="s">
        <v>29</v>
      </c>
      <c r="B393" s="1" t="s">
        <v>43</v>
      </c>
      <c r="C393" s="1" t="s">
        <v>34</v>
      </c>
      <c r="D393" s="1" t="s">
        <v>35</v>
      </c>
      <c r="E393" s="1">
        <v>13</v>
      </c>
      <c r="F393" s="1">
        <v>23903</v>
      </c>
      <c r="G393" s="1">
        <v>5</v>
      </c>
      <c r="H393" s="2">
        <v>46124</v>
      </c>
      <c r="I393" s="2">
        <v>46125</v>
      </c>
      <c r="J393" s="1" t="s">
        <v>29</v>
      </c>
      <c r="K393" s="1">
        <v>1392</v>
      </c>
      <c r="L393" s="1">
        <f t="shared" si="1"/>
        <v>310739</v>
      </c>
    </row>
    <row r="394" spans="1:12" x14ac:dyDescent="0.3">
      <c r="A394" s="1" t="s">
        <v>30</v>
      </c>
      <c r="B394" s="1" t="s">
        <v>25</v>
      </c>
      <c r="C394" s="1" t="s">
        <v>34</v>
      </c>
      <c r="D394" s="1" t="s">
        <v>45</v>
      </c>
      <c r="E394" s="1">
        <v>17</v>
      </c>
      <c r="F394" s="1">
        <v>30351</v>
      </c>
      <c r="G394" s="1">
        <v>15</v>
      </c>
      <c r="H394" s="2">
        <v>46047</v>
      </c>
      <c r="I394" s="2">
        <v>46051</v>
      </c>
      <c r="J394" s="1" t="s">
        <v>51</v>
      </c>
      <c r="K394" s="1">
        <v>1393</v>
      </c>
      <c r="L394" s="1">
        <f t="shared" si="1"/>
        <v>515967</v>
      </c>
    </row>
    <row r="395" spans="1:12" x14ac:dyDescent="0.3">
      <c r="A395" s="1" t="s">
        <v>54</v>
      </c>
      <c r="B395" s="1" t="s">
        <v>12</v>
      </c>
      <c r="C395" s="1" t="s">
        <v>13</v>
      </c>
      <c r="D395" s="1" t="s">
        <v>14</v>
      </c>
      <c r="E395" s="1">
        <v>10</v>
      </c>
      <c r="F395" s="1">
        <v>138</v>
      </c>
      <c r="G395" s="1">
        <v>2</v>
      </c>
      <c r="H395" s="2">
        <v>46056</v>
      </c>
      <c r="I395" s="2">
        <v>46057</v>
      </c>
      <c r="J395" s="1" t="s">
        <v>15</v>
      </c>
      <c r="K395" s="1">
        <v>1394</v>
      </c>
      <c r="L395" s="1">
        <f t="shared" si="1"/>
        <v>1380</v>
      </c>
    </row>
    <row r="396" spans="1:12" x14ac:dyDescent="0.3">
      <c r="A396" s="1" t="s">
        <v>54</v>
      </c>
      <c r="B396" s="1" t="s">
        <v>33</v>
      </c>
      <c r="C396" s="1" t="s">
        <v>18</v>
      </c>
      <c r="D396" s="1" t="s">
        <v>44</v>
      </c>
      <c r="E396" s="1">
        <v>18</v>
      </c>
      <c r="F396" s="1">
        <v>10402</v>
      </c>
      <c r="G396" s="1">
        <v>15</v>
      </c>
      <c r="H396" s="2">
        <v>46062</v>
      </c>
      <c r="I396" s="2">
        <v>46067</v>
      </c>
      <c r="J396" s="1" t="s">
        <v>29</v>
      </c>
      <c r="K396" s="1">
        <v>1395</v>
      </c>
      <c r="L396" s="1">
        <f t="shared" si="1"/>
        <v>187236</v>
      </c>
    </row>
    <row r="397" spans="1:12" x14ac:dyDescent="0.3">
      <c r="A397" s="1" t="s">
        <v>21</v>
      </c>
      <c r="B397" s="1" t="s">
        <v>38</v>
      </c>
      <c r="C397" s="1" t="s">
        <v>13</v>
      </c>
      <c r="D397" s="1" t="s">
        <v>53</v>
      </c>
      <c r="E397" s="1">
        <v>8</v>
      </c>
      <c r="F397" s="1">
        <v>54</v>
      </c>
      <c r="G397" s="1">
        <v>15</v>
      </c>
      <c r="H397" s="2">
        <v>46031</v>
      </c>
      <c r="I397" s="2">
        <v>46035</v>
      </c>
      <c r="J397" s="1" t="s">
        <v>15</v>
      </c>
      <c r="K397" s="1">
        <v>1396</v>
      </c>
      <c r="L397" s="1">
        <f t="shared" si="1"/>
        <v>432</v>
      </c>
    </row>
    <row r="398" spans="1:12" x14ac:dyDescent="0.3">
      <c r="A398" s="1" t="s">
        <v>21</v>
      </c>
      <c r="B398" s="1" t="s">
        <v>33</v>
      </c>
      <c r="C398" s="1" t="s">
        <v>18</v>
      </c>
      <c r="D398" s="1" t="s">
        <v>23</v>
      </c>
      <c r="E398" s="1">
        <v>1</v>
      </c>
      <c r="F398" s="1">
        <v>8948</v>
      </c>
      <c r="G398" s="1">
        <v>5</v>
      </c>
      <c r="H398" s="2">
        <v>46194</v>
      </c>
      <c r="I398" s="2">
        <v>46201</v>
      </c>
      <c r="J398" s="1" t="s">
        <v>51</v>
      </c>
      <c r="K398" s="1">
        <v>1397</v>
      </c>
      <c r="L398" s="1">
        <f t="shared" si="1"/>
        <v>8948</v>
      </c>
    </row>
    <row r="399" spans="1:12" x14ac:dyDescent="0.3">
      <c r="A399" s="1" t="s">
        <v>58</v>
      </c>
      <c r="B399" s="1" t="s">
        <v>43</v>
      </c>
      <c r="C399" s="1" t="s">
        <v>34</v>
      </c>
      <c r="D399" s="1" t="s">
        <v>39</v>
      </c>
      <c r="E399" s="1">
        <v>12</v>
      </c>
      <c r="F399" s="1">
        <v>10668</v>
      </c>
      <c r="G399" s="1">
        <v>0</v>
      </c>
      <c r="H399" s="2">
        <v>46170</v>
      </c>
      <c r="I399" s="2">
        <v>46176</v>
      </c>
      <c r="J399" s="1" t="s">
        <v>15</v>
      </c>
      <c r="K399" s="1">
        <v>1398</v>
      </c>
      <c r="L399" s="1">
        <f t="shared" si="1"/>
        <v>128016</v>
      </c>
    </row>
    <row r="400" spans="1:12" x14ac:dyDescent="0.3">
      <c r="A400" s="1" t="s">
        <v>48</v>
      </c>
      <c r="B400" s="1" t="s">
        <v>31</v>
      </c>
      <c r="C400" s="1" t="s">
        <v>13</v>
      </c>
      <c r="D400" s="1" t="s">
        <v>14</v>
      </c>
      <c r="E400" s="1">
        <v>15</v>
      </c>
      <c r="F400" s="1">
        <v>87</v>
      </c>
      <c r="G400" s="1">
        <v>15</v>
      </c>
      <c r="H400" s="2">
        <v>46089</v>
      </c>
      <c r="I400" s="2">
        <v>46093</v>
      </c>
      <c r="J400" s="1" t="s">
        <v>20</v>
      </c>
      <c r="K400" s="1">
        <v>1399</v>
      </c>
      <c r="L400" s="1">
        <f t="shared" si="1"/>
        <v>1305</v>
      </c>
    </row>
    <row r="401" spans="1:12" x14ac:dyDescent="0.3">
      <c r="A401" s="1" t="s">
        <v>40</v>
      </c>
      <c r="B401" s="1" t="s">
        <v>22</v>
      </c>
      <c r="C401" s="1" t="s">
        <v>34</v>
      </c>
      <c r="D401" s="1" t="s">
        <v>35</v>
      </c>
      <c r="E401" s="1">
        <v>13</v>
      </c>
      <c r="F401" s="1">
        <v>52411</v>
      </c>
      <c r="G401" s="1">
        <v>15</v>
      </c>
      <c r="H401" s="2">
        <v>46090</v>
      </c>
      <c r="I401" s="2">
        <v>46092</v>
      </c>
      <c r="J401" s="1" t="s">
        <v>20</v>
      </c>
      <c r="K401" s="1">
        <v>1400</v>
      </c>
      <c r="L401" s="1">
        <f t="shared" si="1"/>
        <v>681343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S401"/>
  <sheetViews>
    <sheetView topLeftCell="F1" workbookViewId="0">
      <selection activeCell="N2" sqref="N2"/>
    </sheetView>
  </sheetViews>
  <sheetFormatPr defaultColWidth="14.44140625" defaultRowHeight="15" customHeight="1" x14ac:dyDescent="0.3"/>
  <cols>
    <col min="1" max="1" width="9.5546875" customWidth="1"/>
    <col min="14" max="14" width="16.33203125" customWidth="1"/>
  </cols>
  <sheetData>
    <row r="1" spans="1:17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0</v>
      </c>
      <c r="L1" s="1" t="s">
        <v>70</v>
      </c>
      <c r="M1" s="1" t="s">
        <v>85</v>
      </c>
      <c r="N1" s="1" t="s">
        <v>86</v>
      </c>
      <c r="P1" s="6" t="s">
        <v>2</v>
      </c>
      <c r="Q1" s="7" t="s">
        <v>87</v>
      </c>
    </row>
    <row r="2" spans="1:17" x14ac:dyDescent="0.3">
      <c r="A2" s="1" t="s">
        <v>11</v>
      </c>
      <c r="B2" s="1" t="s">
        <v>12</v>
      </c>
      <c r="C2" s="1" t="s">
        <v>13</v>
      </c>
      <c r="D2" s="1" t="s">
        <v>14</v>
      </c>
      <c r="E2" s="1">
        <v>3</v>
      </c>
      <c r="F2" s="1">
        <v>222</v>
      </c>
      <c r="G2" s="1">
        <v>15</v>
      </c>
      <c r="H2" s="2">
        <v>46081</v>
      </c>
      <c r="I2" s="2">
        <v>46083</v>
      </c>
      <c r="J2" s="1" t="s">
        <v>15</v>
      </c>
      <c r="K2" s="1">
        <v>1001</v>
      </c>
      <c r="L2" s="1">
        <f t="shared" ref="L2:L256" si="0">E2*F2*(1-G2/100)</f>
        <v>566.1</v>
      </c>
      <c r="M2" s="1">
        <f t="shared" ref="M2:M256" si="1">MAX(L2:L401)</f>
        <v>1219742.43</v>
      </c>
      <c r="N2" s="1" t="str">
        <f>_xlfn.XLOOKUP(M2,L2:L401,A2:A401)</f>
        <v>Sneha</v>
      </c>
      <c r="P2" s="8" t="s">
        <v>38</v>
      </c>
      <c r="Q2" s="11">
        <v>57</v>
      </c>
    </row>
    <row r="3" spans="1:17" x14ac:dyDescent="0.3">
      <c r="A3" s="1" t="s">
        <v>16</v>
      </c>
      <c r="B3" s="1" t="s">
        <v>17</v>
      </c>
      <c r="C3" s="1" t="s">
        <v>18</v>
      </c>
      <c r="D3" s="1" t="s">
        <v>19</v>
      </c>
      <c r="E3" s="1">
        <v>7</v>
      </c>
      <c r="F3" s="1">
        <v>8448</v>
      </c>
      <c r="G3" s="1">
        <v>12</v>
      </c>
      <c r="H3" s="2">
        <v>46174</v>
      </c>
      <c r="I3" s="2">
        <v>46179</v>
      </c>
      <c r="J3" s="1" t="s">
        <v>20</v>
      </c>
      <c r="K3" s="1">
        <v>1002</v>
      </c>
      <c r="L3" s="1">
        <f t="shared" si="0"/>
        <v>52039.68</v>
      </c>
      <c r="M3" s="1">
        <f t="shared" si="1"/>
        <v>1219742.43</v>
      </c>
      <c r="N3" s="1" t="str">
        <f t="shared" ref="N3:N66" si="2">_xlfn.XLOOKUP(M3,L3:L402,A3:A402)</f>
        <v>Sneha</v>
      </c>
      <c r="P3" s="9" t="s">
        <v>43</v>
      </c>
      <c r="Q3" s="12">
        <v>54</v>
      </c>
    </row>
    <row r="4" spans="1:17" x14ac:dyDescent="0.3">
      <c r="A4" s="1" t="s">
        <v>21</v>
      </c>
      <c r="B4" s="1" t="s">
        <v>22</v>
      </c>
      <c r="C4" s="1" t="s">
        <v>18</v>
      </c>
      <c r="D4" s="1" t="s">
        <v>23</v>
      </c>
      <c r="E4" s="1">
        <v>20</v>
      </c>
      <c r="F4" s="1">
        <v>2123</v>
      </c>
      <c r="G4" s="1">
        <v>15</v>
      </c>
      <c r="H4" s="2">
        <v>46183</v>
      </c>
      <c r="I4" s="2">
        <v>46192</v>
      </c>
      <c r="J4" s="1" t="s">
        <v>24</v>
      </c>
      <c r="K4" s="1">
        <v>1003</v>
      </c>
      <c r="L4" s="1">
        <f t="shared" si="0"/>
        <v>36091</v>
      </c>
      <c r="M4" s="1">
        <f t="shared" si="1"/>
        <v>1219742.43</v>
      </c>
      <c r="N4" s="1" t="str">
        <f t="shared" si="2"/>
        <v>Sneha</v>
      </c>
      <c r="P4" s="9" t="s">
        <v>25</v>
      </c>
      <c r="Q4" s="12">
        <v>53</v>
      </c>
    </row>
    <row r="5" spans="1:17" x14ac:dyDescent="0.3">
      <c r="A5" s="1" t="s">
        <v>16</v>
      </c>
      <c r="B5" s="1" t="s">
        <v>25</v>
      </c>
      <c r="C5" s="1" t="s">
        <v>18</v>
      </c>
      <c r="D5" s="1" t="s">
        <v>23</v>
      </c>
      <c r="E5" s="1">
        <v>16</v>
      </c>
      <c r="F5" s="1">
        <v>11739</v>
      </c>
      <c r="G5" s="1">
        <v>12</v>
      </c>
      <c r="H5" s="2">
        <v>46034</v>
      </c>
      <c r="I5" s="2">
        <v>46040</v>
      </c>
      <c r="J5" s="1" t="s">
        <v>20</v>
      </c>
      <c r="K5" s="1">
        <v>1004</v>
      </c>
      <c r="L5" s="1">
        <f t="shared" si="0"/>
        <v>165285.12</v>
      </c>
      <c r="M5" s="1">
        <f t="shared" si="1"/>
        <v>1219742.43</v>
      </c>
      <c r="N5" s="1" t="str">
        <f t="shared" si="2"/>
        <v>Sneha</v>
      </c>
      <c r="P5" s="9" t="s">
        <v>22</v>
      </c>
      <c r="Q5" s="12">
        <v>50</v>
      </c>
    </row>
    <row r="6" spans="1:17" x14ac:dyDescent="0.3">
      <c r="A6" s="1" t="s">
        <v>26</v>
      </c>
      <c r="B6" s="1" t="s">
        <v>17</v>
      </c>
      <c r="C6" s="1" t="s">
        <v>13</v>
      </c>
      <c r="D6" s="1" t="s">
        <v>14</v>
      </c>
      <c r="E6" s="1">
        <v>18</v>
      </c>
      <c r="F6" s="1">
        <v>70</v>
      </c>
      <c r="G6" s="1">
        <v>0</v>
      </c>
      <c r="H6" s="2">
        <v>46171</v>
      </c>
      <c r="I6" s="2">
        <v>46179</v>
      </c>
      <c r="J6" s="1" t="s">
        <v>24</v>
      </c>
      <c r="K6" s="1">
        <v>1005</v>
      </c>
      <c r="L6" s="1">
        <f t="shared" si="0"/>
        <v>1260</v>
      </c>
      <c r="M6" s="1">
        <f t="shared" si="1"/>
        <v>1219742.43</v>
      </c>
      <c r="N6" s="1" t="str">
        <f t="shared" si="2"/>
        <v>Sneha</v>
      </c>
      <c r="P6" s="9" t="s">
        <v>17</v>
      </c>
      <c r="Q6" s="12">
        <v>50</v>
      </c>
    </row>
    <row r="7" spans="1:17" x14ac:dyDescent="0.3">
      <c r="A7" s="1" t="s">
        <v>27</v>
      </c>
      <c r="B7" s="1" t="s">
        <v>25</v>
      </c>
      <c r="C7" s="1" t="s">
        <v>18</v>
      </c>
      <c r="D7" s="1" t="s">
        <v>28</v>
      </c>
      <c r="E7" s="1">
        <v>3</v>
      </c>
      <c r="F7" s="1">
        <v>2714</v>
      </c>
      <c r="G7" s="1">
        <v>5</v>
      </c>
      <c r="H7" s="2">
        <v>46055</v>
      </c>
      <c r="I7" s="2">
        <v>46062</v>
      </c>
      <c r="J7" s="1" t="s">
        <v>29</v>
      </c>
      <c r="K7" s="1">
        <v>1006</v>
      </c>
      <c r="L7" s="1">
        <f t="shared" si="0"/>
        <v>7734.9</v>
      </c>
      <c r="M7" s="1">
        <f t="shared" si="1"/>
        <v>1219742.43</v>
      </c>
      <c r="N7" s="1" t="str">
        <f t="shared" si="2"/>
        <v>Sneha</v>
      </c>
      <c r="P7" s="9" t="s">
        <v>31</v>
      </c>
      <c r="Q7" s="12">
        <v>49</v>
      </c>
    </row>
    <row r="8" spans="1:17" x14ac:dyDescent="0.3">
      <c r="A8" s="1" t="s">
        <v>21</v>
      </c>
      <c r="B8" s="1" t="s">
        <v>22</v>
      </c>
      <c r="C8" s="1" t="s">
        <v>13</v>
      </c>
      <c r="D8" s="1" t="s">
        <v>14</v>
      </c>
      <c r="E8" s="1">
        <v>19</v>
      </c>
      <c r="F8" s="1">
        <v>149</v>
      </c>
      <c r="G8" s="1">
        <v>7</v>
      </c>
      <c r="H8" s="2">
        <v>46162</v>
      </c>
      <c r="I8" s="2">
        <v>46168</v>
      </c>
      <c r="J8" s="1" t="s">
        <v>24</v>
      </c>
      <c r="K8" s="1">
        <v>1007</v>
      </c>
      <c r="L8" s="1">
        <f t="shared" si="0"/>
        <v>2632.83</v>
      </c>
      <c r="M8" s="1">
        <f t="shared" si="1"/>
        <v>1219742.43</v>
      </c>
      <c r="N8" s="1" t="str">
        <f t="shared" si="2"/>
        <v>Sneha</v>
      </c>
      <c r="P8" s="9" t="s">
        <v>12</v>
      </c>
      <c r="Q8" s="12">
        <v>47</v>
      </c>
    </row>
    <row r="9" spans="1:17" x14ac:dyDescent="0.3">
      <c r="A9" s="1" t="s">
        <v>30</v>
      </c>
      <c r="B9" s="1" t="s">
        <v>31</v>
      </c>
      <c r="C9" s="1" t="s">
        <v>18</v>
      </c>
      <c r="D9" s="1" t="s">
        <v>28</v>
      </c>
      <c r="E9" s="1">
        <v>1</v>
      </c>
      <c r="F9" s="1">
        <v>1134</v>
      </c>
      <c r="G9" s="1">
        <v>0</v>
      </c>
      <c r="H9" s="2">
        <v>46033</v>
      </c>
      <c r="I9" s="2">
        <v>46041</v>
      </c>
      <c r="J9" s="1" t="s">
        <v>24</v>
      </c>
      <c r="K9" s="1">
        <v>1008</v>
      </c>
      <c r="L9" s="1">
        <f t="shared" si="0"/>
        <v>1134</v>
      </c>
      <c r="M9" s="1">
        <f t="shared" si="1"/>
        <v>1219742.43</v>
      </c>
      <c r="N9" s="1" t="str">
        <f t="shared" si="2"/>
        <v>Sneha</v>
      </c>
      <c r="P9" s="9" t="s">
        <v>33</v>
      </c>
      <c r="Q9" s="12">
        <v>40</v>
      </c>
    </row>
    <row r="10" spans="1:17" x14ac:dyDescent="0.3">
      <c r="A10" s="1" t="s">
        <v>32</v>
      </c>
      <c r="B10" s="1" t="s">
        <v>33</v>
      </c>
      <c r="C10" s="1" t="s">
        <v>34</v>
      </c>
      <c r="D10" s="1" t="s">
        <v>35</v>
      </c>
      <c r="E10" s="1">
        <v>10</v>
      </c>
      <c r="F10" s="1">
        <v>40671</v>
      </c>
      <c r="G10" s="1">
        <v>12</v>
      </c>
      <c r="H10" s="2">
        <v>46183</v>
      </c>
      <c r="I10" s="2">
        <v>46193</v>
      </c>
      <c r="J10" s="1" t="s">
        <v>24</v>
      </c>
      <c r="K10" s="1">
        <v>1009</v>
      </c>
      <c r="L10" s="1">
        <f t="shared" si="0"/>
        <v>357904.8</v>
      </c>
      <c r="M10" s="1">
        <f t="shared" si="1"/>
        <v>1219742.43</v>
      </c>
      <c r="N10" s="1" t="str">
        <f t="shared" si="2"/>
        <v>Sneha</v>
      </c>
      <c r="P10" s="10" t="s">
        <v>88</v>
      </c>
      <c r="Q10" s="13">
        <v>400</v>
      </c>
    </row>
    <row r="11" spans="1:17" x14ac:dyDescent="0.3">
      <c r="A11" s="1" t="s">
        <v>11</v>
      </c>
      <c r="B11" s="1" t="s">
        <v>17</v>
      </c>
      <c r="C11" s="1" t="s">
        <v>13</v>
      </c>
      <c r="D11" s="1" t="s">
        <v>36</v>
      </c>
      <c r="E11" s="1">
        <v>14</v>
      </c>
      <c r="F11" s="1">
        <v>470</v>
      </c>
      <c r="G11" s="1">
        <v>5</v>
      </c>
      <c r="H11" s="2">
        <v>46062</v>
      </c>
      <c r="I11" s="2">
        <v>46068</v>
      </c>
      <c r="J11" s="1" t="s">
        <v>15</v>
      </c>
      <c r="K11" s="1">
        <v>1010</v>
      </c>
      <c r="L11" s="1">
        <f t="shared" si="0"/>
        <v>6251</v>
      </c>
      <c r="M11" s="1">
        <f t="shared" si="1"/>
        <v>1219742.43</v>
      </c>
      <c r="N11" s="1" t="str">
        <f t="shared" si="2"/>
        <v>Sneha</v>
      </c>
    </row>
    <row r="12" spans="1:17" x14ac:dyDescent="0.3">
      <c r="A12" s="1" t="s">
        <v>11</v>
      </c>
      <c r="B12" s="1" t="s">
        <v>17</v>
      </c>
      <c r="C12" s="1" t="s">
        <v>13</v>
      </c>
      <c r="D12" s="1" t="s">
        <v>37</v>
      </c>
      <c r="E12" s="1">
        <v>14</v>
      </c>
      <c r="F12" s="1">
        <v>88</v>
      </c>
      <c r="G12" s="1">
        <v>12</v>
      </c>
      <c r="H12" s="2">
        <v>46161</v>
      </c>
      <c r="I12" s="2">
        <v>46163</v>
      </c>
      <c r="J12" s="1" t="s">
        <v>15</v>
      </c>
      <c r="K12" s="1">
        <v>1011</v>
      </c>
      <c r="L12" s="1">
        <f t="shared" si="0"/>
        <v>1084.1600000000001</v>
      </c>
      <c r="M12" s="1">
        <f t="shared" si="1"/>
        <v>1219742.43</v>
      </c>
      <c r="N12" s="1" t="str">
        <f t="shared" si="2"/>
        <v>Sneha</v>
      </c>
    </row>
    <row r="13" spans="1:17" x14ac:dyDescent="0.3">
      <c r="A13" s="1" t="s">
        <v>26</v>
      </c>
      <c r="B13" s="1" t="s">
        <v>38</v>
      </c>
      <c r="C13" s="1" t="s">
        <v>34</v>
      </c>
      <c r="D13" s="1" t="s">
        <v>39</v>
      </c>
      <c r="E13" s="1">
        <v>3</v>
      </c>
      <c r="F13" s="1">
        <v>64615</v>
      </c>
      <c r="G13" s="1">
        <v>10</v>
      </c>
      <c r="H13" s="2">
        <v>46086</v>
      </c>
      <c r="I13" s="2">
        <v>46095</v>
      </c>
      <c r="J13" s="1" t="s">
        <v>29</v>
      </c>
      <c r="K13" s="1">
        <v>1012</v>
      </c>
      <c r="L13" s="1">
        <f t="shared" si="0"/>
        <v>174460.5</v>
      </c>
      <c r="M13" s="1">
        <f t="shared" si="1"/>
        <v>1219742.43</v>
      </c>
      <c r="N13" s="1" t="str">
        <f t="shared" si="2"/>
        <v>Sneha</v>
      </c>
    </row>
    <row r="14" spans="1:17" x14ac:dyDescent="0.3">
      <c r="A14" s="1" t="s">
        <v>16</v>
      </c>
      <c r="B14" s="1" t="s">
        <v>31</v>
      </c>
      <c r="C14" s="1" t="s">
        <v>13</v>
      </c>
      <c r="D14" s="1" t="s">
        <v>36</v>
      </c>
      <c r="E14" s="1">
        <v>17</v>
      </c>
      <c r="F14" s="1">
        <v>459</v>
      </c>
      <c r="G14" s="1">
        <v>12</v>
      </c>
      <c r="H14" s="2">
        <v>46095</v>
      </c>
      <c r="I14" s="2">
        <v>46105</v>
      </c>
      <c r="J14" s="1" t="s">
        <v>29</v>
      </c>
      <c r="K14" s="1">
        <v>1013</v>
      </c>
      <c r="L14" s="1">
        <f t="shared" si="0"/>
        <v>6866.64</v>
      </c>
      <c r="M14" s="1">
        <f t="shared" si="1"/>
        <v>1219742.43</v>
      </c>
      <c r="N14" s="1" t="str">
        <f t="shared" si="2"/>
        <v>Sneha</v>
      </c>
    </row>
    <row r="15" spans="1:17" x14ac:dyDescent="0.3">
      <c r="A15" s="1" t="s">
        <v>40</v>
      </c>
      <c r="B15" s="1" t="s">
        <v>17</v>
      </c>
      <c r="C15" s="1" t="s">
        <v>34</v>
      </c>
      <c r="D15" s="1" t="s">
        <v>41</v>
      </c>
      <c r="E15" s="1">
        <v>19</v>
      </c>
      <c r="F15" s="1">
        <v>53683</v>
      </c>
      <c r="G15" s="1">
        <v>12</v>
      </c>
      <c r="H15" s="2">
        <v>46129</v>
      </c>
      <c r="I15" s="2">
        <v>46134</v>
      </c>
      <c r="J15" s="1" t="s">
        <v>29</v>
      </c>
      <c r="K15" s="1">
        <v>1014</v>
      </c>
      <c r="L15" s="1">
        <f t="shared" si="0"/>
        <v>897579.76</v>
      </c>
      <c r="M15" s="1">
        <f t="shared" si="1"/>
        <v>1219742.43</v>
      </c>
      <c r="N15" s="1" t="str">
        <f t="shared" si="2"/>
        <v>Sneha</v>
      </c>
    </row>
    <row r="16" spans="1:17" x14ac:dyDescent="0.3">
      <c r="A16" s="1" t="s">
        <v>42</v>
      </c>
      <c r="B16" s="1" t="s">
        <v>43</v>
      </c>
      <c r="C16" s="1" t="s">
        <v>18</v>
      </c>
      <c r="D16" s="1" t="s">
        <v>44</v>
      </c>
      <c r="E16" s="1">
        <v>11</v>
      </c>
      <c r="F16" s="1">
        <v>14511</v>
      </c>
      <c r="G16" s="1">
        <v>2</v>
      </c>
      <c r="H16" s="2">
        <v>46175</v>
      </c>
      <c r="I16" s="2">
        <v>46185</v>
      </c>
      <c r="J16" s="1" t="s">
        <v>20</v>
      </c>
      <c r="K16" s="1">
        <v>1015</v>
      </c>
      <c r="L16" s="1">
        <f t="shared" si="0"/>
        <v>156428.57999999999</v>
      </c>
      <c r="M16" s="1">
        <f t="shared" si="1"/>
        <v>1219742.43</v>
      </c>
      <c r="N16" s="1" t="str">
        <f t="shared" si="2"/>
        <v>Sneha</v>
      </c>
    </row>
    <row r="17" spans="1:19" x14ac:dyDescent="0.3">
      <c r="A17" s="1" t="s">
        <v>32</v>
      </c>
      <c r="B17" s="1" t="s">
        <v>33</v>
      </c>
      <c r="C17" s="1" t="s">
        <v>34</v>
      </c>
      <c r="D17" s="1" t="s">
        <v>45</v>
      </c>
      <c r="E17" s="1">
        <v>16</v>
      </c>
      <c r="F17" s="1">
        <v>30234</v>
      </c>
      <c r="G17" s="1">
        <v>15</v>
      </c>
      <c r="H17" s="2">
        <v>46137</v>
      </c>
      <c r="I17" s="2">
        <v>46140</v>
      </c>
      <c r="J17" s="1" t="s">
        <v>24</v>
      </c>
      <c r="K17" s="1">
        <v>1016</v>
      </c>
      <c r="L17" s="1">
        <f t="shared" si="0"/>
        <v>411182.39999999997</v>
      </c>
      <c r="M17" s="1">
        <f t="shared" si="1"/>
        <v>1219742.43</v>
      </c>
      <c r="N17" s="1" t="str">
        <f t="shared" si="2"/>
        <v>Sneha</v>
      </c>
    </row>
    <row r="18" spans="1:19" x14ac:dyDescent="0.3">
      <c r="A18" s="1" t="s">
        <v>46</v>
      </c>
      <c r="B18" s="1" t="s">
        <v>38</v>
      </c>
      <c r="C18" s="1" t="s">
        <v>13</v>
      </c>
      <c r="D18" s="1" t="s">
        <v>36</v>
      </c>
      <c r="E18" s="1">
        <v>8</v>
      </c>
      <c r="F18" s="1">
        <v>179</v>
      </c>
      <c r="G18" s="1">
        <v>15</v>
      </c>
      <c r="H18" s="2">
        <v>46082</v>
      </c>
      <c r="I18" s="2">
        <v>46084</v>
      </c>
      <c r="J18" s="1" t="s">
        <v>15</v>
      </c>
      <c r="K18" s="1">
        <v>1017</v>
      </c>
      <c r="L18" s="1">
        <f t="shared" si="0"/>
        <v>1217.2</v>
      </c>
      <c r="M18" s="1">
        <f t="shared" si="1"/>
        <v>1219742.43</v>
      </c>
      <c r="N18" s="1" t="str">
        <f t="shared" si="2"/>
        <v>Sneha</v>
      </c>
    </row>
    <row r="19" spans="1:19" x14ac:dyDescent="0.3">
      <c r="A19" s="1" t="s">
        <v>47</v>
      </c>
      <c r="B19" s="1" t="s">
        <v>25</v>
      </c>
      <c r="C19" s="1" t="s">
        <v>13</v>
      </c>
      <c r="D19" s="1" t="s">
        <v>14</v>
      </c>
      <c r="E19" s="1">
        <v>20</v>
      </c>
      <c r="F19" s="1">
        <v>301</v>
      </c>
      <c r="G19" s="1">
        <v>0</v>
      </c>
      <c r="H19" s="2">
        <v>46089</v>
      </c>
      <c r="I19" s="2">
        <v>46094</v>
      </c>
      <c r="J19" s="1" t="s">
        <v>29</v>
      </c>
      <c r="K19" s="1">
        <v>1018</v>
      </c>
      <c r="L19" s="1">
        <f t="shared" si="0"/>
        <v>6020</v>
      </c>
      <c r="M19" s="1">
        <f t="shared" si="1"/>
        <v>1219742.43</v>
      </c>
      <c r="N19" s="1" t="str">
        <f t="shared" si="2"/>
        <v>Sneha</v>
      </c>
    </row>
    <row r="20" spans="1:19" x14ac:dyDescent="0.3">
      <c r="A20" s="1" t="s">
        <v>11</v>
      </c>
      <c r="B20" s="1" t="s">
        <v>43</v>
      </c>
      <c r="C20" s="1" t="s">
        <v>34</v>
      </c>
      <c r="D20" s="1" t="s">
        <v>41</v>
      </c>
      <c r="E20" s="1">
        <v>18</v>
      </c>
      <c r="F20" s="1">
        <v>45652</v>
      </c>
      <c r="G20" s="1">
        <v>10</v>
      </c>
      <c r="H20" s="2">
        <v>46023</v>
      </c>
      <c r="I20" s="2">
        <v>46030</v>
      </c>
      <c r="J20" s="1" t="s">
        <v>20</v>
      </c>
      <c r="K20" s="1">
        <v>1019</v>
      </c>
      <c r="L20" s="1">
        <f t="shared" si="0"/>
        <v>739562.4</v>
      </c>
      <c r="M20" s="1">
        <f t="shared" si="1"/>
        <v>1219742.43</v>
      </c>
      <c r="N20" s="1" t="str">
        <f t="shared" si="2"/>
        <v>Sneha</v>
      </c>
      <c r="P20" s="1" t="s">
        <v>89</v>
      </c>
      <c r="Q20" s="1" t="s">
        <v>90</v>
      </c>
      <c r="R20" s="1" t="s">
        <v>1</v>
      </c>
      <c r="S20" s="1" t="s">
        <v>91</v>
      </c>
    </row>
    <row r="21" spans="1:19" x14ac:dyDescent="0.3">
      <c r="A21" s="1" t="s">
        <v>46</v>
      </c>
      <c r="B21" s="1" t="s">
        <v>12</v>
      </c>
      <c r="C21" s="1" t="s">
        <v>18</v>
      </c>
      <c r="D21" s="1" t="s">
        <v>19</v>
      </c>
      <c r="E21" s="1">
        <v>5</v>
      </c>
      <c r="F21" s="1">
        <v>4582</v>
      </c>
      <c r="G21" s="1">
        <v>5</v>
      </c>
      <c r="H21" s="2">
        <v>46078</v>
      </c>
      <c r="I21" s="2">
        <v>46083</v>
      </c>
      <c r="J21" s="1" t="s">
        <v>15</v>
      </c>
      <c r="K21" s="1">
        <v>1020</v>
      </c>
      <c r="L21" s="1">
        <f t="shared" si="0"/>
        <v>21764.5</v>
      </c>
      <c r="M21" s="1">
        <f t="shared" si="1"/>
        <v>1219742.43</v>
      </c>
      <c r="N21" s="1" t="str">
        <f t="shared" si="2"/>
        <v>Sneha</v>
      </c>
      <c r="P21" s="1">
        <v>1</v>
      </c>
    </row>
    <row r="22" spans="1:19" x14ac:dyDescent="0.3">
      <c r="A22" s="1" t="s">
        <v>48</v>
      </c>
      <c r="B22" s="1" t="s">
        <v>43</v>
      </c>
      <c r="C22" s="1" t="s">
        <v>13</v>
      </c>
      <c r="D22" s="1" t="s">
        <v>14</v>
      </c>
      <c r="E22" s="1">
        <v>3</v>
      </c>
      <c r="F22" s="1">
        <v>484</v>
      </c>
      <c r="G22" s="1">
        <v>2</v>
      </c>
      <c r="H22" s="2">
        <v>46144</v>
      </c>
      <c r="I22" s="2">
        <v>46148</v>
      </c>
      <c r="J22" s="1" t="s">
        <v>24</v>
      </c>
      <c r="K22" s="1">
        <v>1021</v>
      </c>
      <c r="L22" s="1">
        <f t="shared" si="0"/>
        <v>1422.96</v>
      </c>
      <c r="M22" s="1">
        <f t="shared" si="1"/>
        <v>1219742.43</v>
      </c>
      <c r="N22" s="1" t="str">
        <f t="shared" si="2"/>
        <v>Sneha</v>
      </c>
      <c r="P22" s="1">
        <v>2</v>
      </c>
    </row>
    <row r="23" spans="1:19" x14ac:dyDescent="0.3">
      <c r="A23" s="1" t="s">
        <v>26</v>
      </c>
      <c r="B23" s="1" t="s">
        <v>17</v>
      </c>
      <c r="C23" s="1" t="s">
        <v>34</v>
      </c>
      <c r="D23" s="1" t="s">
        <v>45</v>
      </c>
      <c r="E23" s="1">
        <v>15</v>
      </c>
      <c r="F23" s="1">
        <v>11596</v>
      </c>
      <c r="G23" s="1">
        <v>0</v>
      </c>
      <c r="H23" s="2">
        <v>46117</v>
      </c>
      <c r="I23" s="2">
        <v>46121</v>
      </c>
      <c r="J23" s="1" t="s">
        <v>29</v>
      </c>
      <c r="K23" s="1">
        <v>1022</v>
      </c>
      <c r="L23" s="1">
        <f t="shared" si="0"/>
        <v>173940</v>
      </c>
      <c r="M23" s="1">
        <f t="shared" si="1"/>
        <v>1219742.43</v>
      </c>
      <c r="N23" s="1" t="str">
        <f t="shared" si="2"/>
        <v>Sneha</v>
      </c>
      <c r="P23" s="1">
        <v>3</v>
      </c>
    </row>
    <row r="24" spans="1:19" x14ac:dyDescent="0.3">
      <c r="A24" s="1" t="s">
        <v>40</v>
      </c>
      <c r="B24" s="1" t="s">
        <v>12</v>
      </c>
      <c r="C24" s="1" t="s">
        <v>18</v>
      </c>
      <c r="D24" s="1" t="s">
        <v>44</v>
      </c>
      <c r="E24" s="1">
        <v>15</v>
      </c>
      <c r="F24" s="1">
        <v>3506</v>
      </c>
      <c r="G24" s="1">
        <v>2</v>
      </c>
      <c r="H24" s="2">
        <v>46193</v>
      </c>
      <c r="I24" s="2">
        <v>46194</v>
      </c>
      <c r="J24" s="1" t="s">
        <v>29</v>
      </c>
      <c r="K24" s="1">
        <v>1023</v>
      </c>
      <c r="L24" s="1">
        <f t="shared" si="0"/>
        <v>51538.2</v>
      </c>
      <c r="M24" s="1">
        <f t="shared" si="1"/>
        <v>1219742.43</v>
      </c>
      <c r="N24" s="1" t="str">
        <f t="shared" si="2"/>
        <v>Sneha</v>
      </c>
      <c r="P24" s="1">
        <v>4</v>
      </c>
    </row>
    <row r="25" spans="1:19" x14ac:dyDescent="0.3">
      <c r="A25" s="1" t="s">
        <v>32</v>
      </c>
      <c r="B25" s="1" t="s">
        <v>38</v>
      </c>
      <c r="C25" s="1" t="s">
        <v>34</v>
      </c>
      <c r="D25" s="1" t="s">
        <v>41</v>
      </c>
      <c r="E25" s="1">
        <v>12</v>
      </c>
      <c r="F25" s="1">
        <v>1682</v>
      </c>
      <c r="G25" s="1">
        <v>5</v>
      </c>
      <c r="H25" s="2">
        <v>46161</v>
      </c>
      <c r="I25" s="2">
        <v>46165</v>
      </c>
      <c r="J25" s="1" t="s">
        <v>15</v>
      </c>
      <c r="K25" s="1">
        <v>1024</v>
      </c>
      <c r="L25" s="1">
        <f t="shared" si="0"/>
        <v>19174.8</v>
      </c>
      <c r="M25" s="1">
        <f t="shared" si="1"/>
        <v>1219742.43</v>
      </c>
      <c r="N25" s="1" t="str">
        <f t="shared" si="2"/>
        <v>Sneha</v>
      </c>
      <c r="P25" s="1">
        <v>5</v>
      </c>
    </row>
    <row r="26" spans="1:19" x14ac:dyDescent="0.3">
      <c r="A26" s="1" t="s">
        <v>21</v>
      </c>
      <c r="B26" s="1" t="s">
        <v>12</v>
      </c>
      <c r="C26" s="1" t="s">
        <v>18</v>
      </c>
      <c r="D26" s="1" t="s">
        <v>19</v>
      </c>
      <c r="E26" s="1">
        <v>18</v>
      </c>
      <c r="F26" s="1">
        <v>7924</v>
      </c>
      <c r="G26" s="1">
        <v>0</v>
      </c>
      <c r="H26" s="2">
        <v>46175</v>
      </c>
      <c r="I26" s="2">
        <v>46181</v>
      </c>
      <c r="J26" s="1" t="s">
        <v>15</v>
      </c>
      <c r="K26" s="1">
        <v>1025</v>
      </c>
      <c r="L26" s="1">
        <f t="shared" si="0"/>
        <v>142632</v>
      </c>
      <c r="M26" s="1">
        <f t="shared" si="1"/>
        <v>1219742.43</v>
      </c>
      <c r="N26" s="1" t="str">
        <f t="shared" si="2"/>
        <v>Sneha</v>
      </c>
      <c r="P26" s="1">
        <v>6</v>
      </c>
    </row>
    <row r="27" spans="1:19" x14ac:dyDescent="0.3">
      <c r="A27" s="1" t="s">
        <v>49</v>
      </c>
      <c r="B27" s="1" t="s">
        <v>31</v>
      </c>
      <c r="C27" s="1" t="s">
        <v>13</v>
      </c>
      <c r="D27" s="1" t="s">
        <v>50</v>
      </c>
      <c r="E27" s="1">
        <v>17</v>
      </c>
      <c r="F27" s="1">
        <v>323</v>
      </c>
      <c r="G27" s="1">
        <v>10</v>
      </c>
      <c r="H27" s="2">
        <v>46039</v>
      </c>
      <c r="I27" s="2">
        <v>46040</v>
      </c>
      <c r="J27" s="1" t="s">
        <v>29</v>
      </c>
      <c r="K27" s="1">
        <v>1026</v>
      </c>
      <c r="L27" s="1">
        <f t="shared" si="0"/>
        <v>4941.9000000000005</v>
      </c>
      <c r="M27" s="1">
        <f t="shared" si="1"/>
        <v>1219742.43</v>
      </c>
      <c r="N27" s="1" t="str">
        <f t="shared" si="2"/>
        <v>Sneha</v>
      </c>
      <c r="P27" s="1">
        <v>7</v>
      </c>
    </row>
    <row r="28" spans="1:19" x14ac:dyDescent="0.3">
      <c r="A28" s="1" t="s">
        <v>29</v>
      </c>
      <c r="B28" s="1" t="s">
        <v>43</v>
      </c>
      <c r="C28" s="1" t="s">
        <v>13</v>
      </c>
      <c r="D28" s="1" t="s">
        <v>50</v>
      </c>
      <c r="E28" s="1">
        <v>4</v>
      </c>
      <c r="F28" s="1">
        <v>264</v>
      </c>
      <c r="G28" s="1">
        <v>0</v>
      </c>
      <c r="H28" s="2">
        <v>46155</v>
      </c>
      <c r="I28" s="2">
        <v>46161</v>
      </c>
      <c r="J28" s="1" t="s">
        <v>51</v>
      </c>
      <c r="K28" s="1">
        <v>1027</v>
      </c>
      <c r="L28" s="1">
        <f t="shared" si="0"/>
        <v>1056</v>
      </c>
      <c r="M28" s="1">
        <f t="shared" si="1"/>
        <v>1219742.43</v>
      </c>
      <c r="N28" s="1" t="str">
        <f t="shared" si="2"/>
        <v>Sneha</v>
      </c>
      <c r="P28" s="1">
        <v>8</v>
      </c>
    </row>
    <row r="29" spans="1:19" x14ac:dyDescent="0.3">
      <c r="A29" s="1" t="s">
        <v>47</v>
      </c>
      <c r="B29" s="1" t="s">
        <v>22</v>
      </c>
      <c r="C29" s="1" t="s">
        <v>13</v>
      </c>
      <c r="D29" s="1" t="s">
        <v>36</v>
      </c>
      <c r="E29" s="1">
        <v>13</v>
      </c>
      <c r="F29" s="1">
        <v>433</v>
      </c>
      <c r="G29" s="1">
        <v>2</v>
      </c>
      <c r="H29" s="2">
        <v>46116</v>
      </c>
      <c r="I29" s="2">
        <v>46121</v>
      </c>
      <c r="J29" s="1" t="s">
        <v>24</v>
      </c>
      <c r="K29" s="1">
        <v>1028</v>
      </c>
      <c r="L29" s="1">
        <f t="shared" si="0"/>
        <v>5516.42</v>
      </c>
      <c r="M29" s="1">
        <f t="shared" si="1"/>
        <v>1219742.43</v>
      </c>
      <c r="N29" s="1" t="str">
        <f t="shared" si="2"/>
        <v>Sneha</v>
      </c>
      <c r="P29" s="1">
        <v>9</v>
      </c>
    </row>
    <row r="30" spans="1:19" x14ac:dyDescent="0.3">
      <c r="A30" s="1" t="s">
        <v>30</v>
      </c>
      <c r="B30" s="1" t="s">
        <v>25</v>
      </c>
      <c r="C30" s="1" t="s">
        <v>13</v>
      </c>
      <c r="D30" s="1" t="s">
        <v>36</v>
      </c>
      <c r="E30" s="1">
        <v>18</v>
      </c>
      <c r="F30" s="1">
        <v>443</v>
      </c>
      <c r="G30" s="1">
        <v>5</v>
      </c>
      <c r="H30" s="2">
        <v>46046</v>
      </c>
      <c r="I30" s="2">
        <v>46054</v>
      </c>
      <c r="J30" s="1" t="s">
        <v>24</v>
      </c>
      <c r="K30" s="1">
        <v>1029</v>
      </c>
      <c r="L30" s="1">
        <f t="shared" si="0"/>
        <v>7575.2999999999993</v>
      </c>
      <c r="M30" s="1">
        <f t="shared" si="1"/>
        <v>1219742.43</v>
      </c>
      <c r="N30" s="1" t="str">
        <f t="shared" si="2"/>
        <v>Sneha</v>
      </c>
      <c r="P30" s="1">
        <v>10</v>
      </c>
    </row>
    <row r="31" spans="1:19" x14ac:dyDescent="0.3">
      <c r="A31" s="1" t="s">
        <v>52</v>
      </c>
      <c r="B31" s="1" t="s">
        <v>12</v>
      </c>
      <c r="C31" s="1" t="s">
        <v>13</v>
      </c>
      <c r="D31" s="1" t="s">
        <v>53</v>
      </c>
      <c r="E31" s="1">
        <v>13</v>
      </c>
      <c r="F31" s="1">
        <v>336</v>
      </c>
      <c r="G31" s="1">
        <v>10</v>
      </c>
      <c r="H31" s="2">
        <v>46098</v>
      </c>
      <c r="I31" s="2">
        <v>46108</v>
      </c>
      <c r="J31" s="1" t="s">
        <v>15</v>
      </c>
      <c r="K31" s="1">
        <v>1030</v>
      </c>
      <c r="L31" s="1">
        <f t="shared" si="0"/>
        <v>3931.2000000000003</v>
      </c>
      <c r="M31" s="1">
        <f t="shared" si="1"/>
        <v>1219742.43</v>
      </c>
      <c r="N31" s="1" t="str">
        <f t="shared" si="2"/>
        <v>Sneha</v>
      </c>
    </row>
    <row r="32" spans="1:19" x14ac:dyDescent="0.3">
      <c r="A32" s="1" t="s">
        <v>54</v>
      </c>
      <c r="B32" s="1" t="s">
        <v>31</v>
      </c>
      <c r="C32" s="1" t="s">
        <v>13</v>
      </c>
      <c r="D32" s="1" t="s">
        <v>53</v>
      </c>
      <c r="E32" s="1">
        <v>2</v>
      </c>
      <c r="F32" s="1">
        <v>184</v>
      </c>
      <c r="G32" s="1">
        <v>5</v>
      </c>
      <c r="H32" s="2">
        <v>46089</v>
      </c>
      <c r="I32" s="2">
        <v>46093</v>
      </c>
      <c r="J32" s="1" t="s">
        <v>20</v>
      </c>
      <c r="K32" s="1">
        <v>1031</v>
      </c>
      <c r="L32" s="1">
        <f t="shared" si="0"/>
        <v>349.59999999999997</v>
      </c>
      <c r="M32" s="1">
        <f t="shared" si="1"/>
        <v>1219742.43</v>
      </c>
      <c r="N32" s="1" t="str">
        <f t="shared" si="2"/>
        <v>Sneha</v>
      </c>
    </row>
    <row r="33" spans="1:14" x14ac:dyDescent="0.3">
      <c r="A33" s="1" t="s">
        <v>54</v>
      </c>
      <c r="B33" s="1" t="s">
        <v>43</v>
      </c>
      <c r="C33" s="1" t="s">
        <v>34</v>
      </c>
      <c r="D33" s="1" t="s">
        <v>39</v>
      </c>
      <c r="E33" s="1">
        <v>20</v>
      </c>
      <c r="F33" s="1">
        <v>11305</v>
      </c>
      <c r="G33" s="1">
        <v>2</v>
      </c>
      <c r="H33" s="2">
        <v>46163</v>
      </c>
      <c r="I33" s="2">
        <v>46165</v>
      </c>
      <c r="J33" s="1" t="s">
        <v>29</v>
      </c>
      <c r="K33" s="1">
        <v>1032</v>
      </c>
      <c r="L33" s="1">
        <f t="shared" si="0"/>
        <v>221578</v>
      </c>
      <c r="M33" s="1">
        <f t="shared" si="1"/>
        <v>1219742.43</v>
      </c>
      <c r="N33" s="1" t="str">
        <f t="shared" si="2"/>
        <v>Sneha</v>
      </c>
    </row>
    <row r="34" spans="1:14" x14ac:dyDescent="0.3">
      <c r="A34" s="1" t="s">
        <v>11</v>
      </c>
      <c r="B34" s="1" t="s">
        <v>43</v>
      </c>
      <c r="C34" s="1" t="s">
        <v>18</v>
      </c>
      <c r="D34" s="1" t="s">
        <v>19</v>
      </c>
      <c r="E34" s="1">
        <v>9</v>
      </c>
      <c r="F34" s="1">
        <v>4895</v>
      </c>
      <c r="G34" s="1">
        <v>2</v>
      </c>
      <c r="H34" s="2">
        <v>46082</v>
      </c>
      <c r="I34" s="2">
        <v>46084</v>
      </c>
      <c r="J34" s="1" t="s">
        <v>29</v>
      </c>
      <c r="K34" s="1">
        <v>1033</v>
      </c>
      <c r="L34" s="1">
        <f t="shared" si="0"/>
        <v>43173.9</v>
      </c>
      <c r="M34" s="1">
        <f t="shared" si="1"/>
        <v>1219742.43</v>
      </c>
      <c r="N34" s="1" t="str">
        <f t="shared" si="2"/>
        <v>Sneha</v>
      </c>
    </row>
    <row r="35" spans="1:14" x14ac:dyDescent="0.3">
      <c r="A35" s="1" t="s">
        <v>55</v>
      </c>
      <c r="B35" s="1" t="s">
        <v>33</v>
      </c>
      <c r="C35" s="1" t="s">
        <v>18</v>
      </c>
      <c r="D35" s="1" t="s">
        <v>28</v>
      </c>
      <c r="E35" s="1">
        <v>17</v>
      </c>
      <c r="F35" s="1">
        <v>5104</v>
      </c>
      <c r="G35" s="1">
        <v>12</v>
      </c>
      <c r="H35" s="2">
        <v>46052</v>
      </c>
      <c r="I35" s="2">
        <v>46061</v>
      </c>
      <c r="J35" s="1" t="s">
        <v>51</v>
      </c>
      <c r="K35" s="1">
        <v>1034</v>
      </c>
      <c r="L35" s="1">
        <f t="shared" si="0"/>
        <v>76355.839999999997</v>
      </c>
      <c r="M35" s="1">
        <f t="shared" si="1"/>
        <v>1219742.43</v>
      </c>
      <c r="N35" s="1" t="str">
        <f t="shared" si="2"/>
        <v>Sneha</v>
      </c>
    </row>
    <row r="36" spans="1:14" x14ac:dyDescent="0.3">
      <c r="A36" s="1" t="s">
        <v>49</v>
      </c>
      <c r="B36" s="1" t="s">
        <v>43</v>
      </c>
      <c r="C36" s="1" t="s">
        <v>18</v>
      </c>
      <c r="D36" s="1" t="s">
        <v>56</v>
      </c>
      <c r="E36" s="1">
        <v>3</v>
      </c>
      <c r="F36" s="1">
        <v>9149</v>
      </c>
      <c r="G36" s="1">
        <v>0</v>
      </c>
      <c r="H36" s="2">
        <v>46031</v>
      </c>
      <c r="I36" s="2">
        <v>46034</v>
      </c>
      <c r="J36" s="1" t="s">
        <v>24</v>
      </c>
      <c r="K36" s="1">
        <v>1035</v>
      </c>
      <c r="L36" s="1">
        <f t="shared" si="0"/>
        <v>27447</v>
      </c>
      <c r="M36" s="1">
        <f t="shared" si="1"/>
        <v>1219742.43</v>
      </c>
      <c r="N36" s="1" t="str">
        <f t="shared" si="2"/>
        <v>Sneha</v>
      </c>
    </row>
    <row r="37" spans="1:14" x14ac:dyDescent="0.3">
      <c r="A37" s="1" t="s">
        <v>11</v>
      </c>
      <c r="B37" s="1" t="s">
        <v>25</v>
      </c>
      <c r="C37" s="1" t="s">
        <v>13</v>
      </c>
      <c r="D37" s="1" t="s">
        <v>36</v>
      </c>
      <c r="E37" s="1">
        <v>20</v>
      </c>
      <c r="F37" s="1">
        <v>161</v>
      </c>
      <c r="G37" s="1">
        <v>7</v>
      </c>
      <c r="H37" s="2">
        <v>46071</v>
      </c>
      <c r="I37" s="2">
        <v>46077</v>
      </c>
      <c r="J37" s="1" t="s">
        <v>24</v>
      </c>
      <c r="K37" s="1">
        <v>1036</v>
      </c>
      <c r="L37" s="1">
        <f t="shared" si="0"/>
        <v>2994.6</v>
      </c>
      <c r="M37" s="1">
        <f t="shared" si="1"/>
        <v>1219742.43</v>
      </c>
      <c r="N37" s="1" t="str">
        <f t="shared" si="2"/>
        <v>Sneha</v>
      </c>
    </row>
    <row r="38" spans="1:14" x14ac:dyDescent="0.3">
      <c r="A38" s="1" t="s">
        <v>46</v>
      </c>
      <c r="B38" s="1" t="s">
        <v>43</v>
      </c>
      <c r="C38" s="1" t="s">
        <v>18</v>
      </c>
      <c r="D38" s="1" t="s">
        <v>56</v>
      </c>
      <c r="E38" s="1">
        <v>6</v>
      </c>
      <c r="F38" s="1">
        <v>14385</v>
      </c>
      <c r="G38" s="1">
        <v>12</v>
      </c>
      <c r="H38" s="2">
        <v>46033</v>
      </c>
      <c r="I38" s="2">
        <v>46043</v>
      </c>
      <c r="J38" s="1" t="s">
        <v>24</v>
      </c>
      <c r="K38" s="1">
        <v>1037</v>
      </c>
      <c r="L38" s="1">
        <f t="shared" si="0"/>
        <v>75952.800000000003</v>
      </c>
      <c r="M38" s="1">
        <f t="shared" si="1"/>
        <v>1219742.43</v>
      </c>
      <c r="N38" s="1" t="str">
        <f t="shared" si="2"/>
        <v>Sneha</v>
      </c>
    </row>
    <row r="39" spans="1:14" x14ac:dyDescent="0.3">
      <c r="A39" s="1" t="s">
        <v>55</v>
      </c>
      <c r="B39" s="1" t="s">
        <v>17</v>
      </c>
      <c r="C39" s="1" t="s">
        <v>13</v>
      </c>
      <c r="D39" s="1" t="s">
        <v>36</v>
      </c>
      <c r="E39" s="1">
        <v>17</v>
      </c>
      <c r="F39" s="1">
        <v>223</v>
      </c>
      <c r="G39" s="1">
        <v>7</v>
      </c>
      <c r="H39" s="2">
        <v>46030</v>
      </c>
      <c r="I39" s="2">
        <v>46031</v>
      </c>
      <c r="J39" s="1" t="s">
        <v>51</v>
      </c>
      <c r="K39" s="1">
        <v>1038</v>
      </c>
      <c r="L39" s="1">
        <f t="shared" si="0"/>
        <v>3525.6299999999997</v>
      </c>
      <c r="M39" s="1">
        <f t="shared" si="1"/>
        <v>1219742.43</v>
      </c>
      <c r="N39" s="1" t="str">
        <f t="shared" si="2"/>
        <v>Sneha</v>
      </c>
    </row>
    <row r="40" spans="1:14" x14ac:dyDescent="0.3">
      <c r="A40" s="1" t="s">
        <v>48</v>
      </c>
      <c r="B40" s="1" t="s">
        <v>38</v>
      </c>
      <c r="C40" s="1" t="s">
        <v>34</v>
      </c>
      <c r="D40" s="1" t="s">
        <v>45</v>
      </c>
      <c r="E40" s="1">
        <v>5</v>
      </c>
      <c r="F40" s="1">
        <v>60236</v>
      </c>
      <c r="G40" s="1">
        <v>10</v>
      </c>
      <c r="H40" s="2">
        <v>46107</v>
      </c>
      <c r="I40" s="2">
        <v>46110</v>
      </c>
      <c r="J40" s="1" t="s">
        <v>20</v>
      </c>
      <c r="K40" s="1">
        <v>1039</v>
      </c>
      <c r="L40" s="1">
        <f t="shared" si="0"/>
        <v>271062</v>
      </c>
      <c r="M40" s="1">
        <f t="shared" si="1"/>
        <v>1219742.43</v>
      </c>
      <c r="N40" s="1" t="str">
        <f t="shared" si="2"/>
        <v>Sneha</v>
      </c>
    </row>
    <row r="41" spans="1:14" x14ac:dyDescent="0.3">
      <c r="A41" s="1" t="s">
        <v>49</v>
      </c>
      <c r="B41" s="1" t="s">
        <v>38</v>
      </c>
      <c r="C41" s="1" t="s">
        <v>18</v>
      </c>
      <c r="D41" s="1" t="s">
        <v>28</v>
      </c>
      <c r="E41" s="1">
        <v>10</v>
      </c>
      <c r="F41" s="1">
        <v>7531</v>
      </c>
      <c r="G41" s="1">
        <v>2</v>
      </c>
      <c r="H41" s="2">
        <v>46171</v>
      </c>
      <c r="I41" s="2">
        <v>46178</v>
      </c>
      <c r="J41" s="1" t="s">
        <v>24</v>
      </c>
      <c r="K41" s="1">
        <v>1040</v>
      </c>
      <c r="L41" s="1">
        <f t="shared" si="0"/>
        <v>73803.8</v>
      </c>
      <c r="M41" s="1">
        <f t="shared" si="1"/>
        <v>1219742.43</v>
      </c>
      <c r="N41" s="1" t="str">
        <f t="shared" si="2"/>
        <v>Sneha</v>
      </c>
    </row>
    <row r="42" spans="1:14" x14ac:dyDescent="0.3">
      <c r="A42" s="1" t="s">
        <v>54</v>
      </c>
      <c r="B42" s="1" t="s">
        <v>38</v>
      </c>
      <c r="C42" s="1" t="s">
        <v>13</v>
      </c>
      <c r="D42" s="1" t="s">
        <v>50</v>
      </c>
      <c r="E42" s="1">
        <v>9</v>
      </c>
      <c r="F42" s="1">
        <v>71</v>
      </c>
      <c r="G42" s="1">
        <v>7</v>
      </c>
      <c r="H42" s="2">
        <v>46185</v>
      </c>
      <c r="I42" s="2">
        <v>46188</v>
      </c>
      <c r="J42" s="1" t="s">
        <v>15</v>
      </c>
      <c r="K42" s="1">
        <v>1041</v>
      </c>
      <c r="L42" s="1">
        <f t="shared" si="0"/>
        <v>594.27</v>
      </c>
      <c r="M42" s="1">
        <f t="shared" si="1"/>
        <v>1219742.43</v>
      </c>
      <c r="N42" s="1" t="str">
        <f t="shared" si="2"/>
        <v>Sneha</v>
      </c>
    </row>
    <row r="43" spans="1:14" x14ac:dyDescent="0.3">
      <c r="A43" s="1" t="s">
        <v>46</v>
      </c>
      <c r="B43" s="1" t="s">
        <v>33</v>
      </c>
      <c r="C43" s="1" t="s">
        <v>13</v>
      </c>
      <c r="D43" s="1" t="s">
        <v>53</v>
      </c>
      <c r="E43" s="1">
        <v>16</v>
      </c>
      <c r="F43" s="1">
        <v>232</v>
      </c>
      <c r="G43" s="1">
        <v>0</v>
      </c>
      <c r="H43" s="2">
        <v>46081</v>
      </c>
      <c r="I43" s="2">
        <v>46088</v>
      </c>
      <c r="J43" s="1" t="s">
        <v>29</v>
      </c>
      <c r="K43" s="1">
        <v>1042</v>
      </c>
      <c r="L43" s="1">
        <f t="shared" si="0"/>
        <v>3712</v>
      </c>
      <c r="M43" s="1">
        <f t="shared" si="1"/>
        <v>1219742.43</v>
      </c>
      <c r="N43" s="1" t="str">
        <f t="shared" si="2"/>
        <v>Sneha</v>
      </c>
    </row>
    <row r="44" spans="1:14" x14ac:dyDescent="0.3">
      <c r="A44" s="1" t="s">
        <v>49</v>
      </c>
      <c r="B44" s="1" t="s">
        <v>38</v>
      </c>
      <c r="C44" s="1" t="s">
        <v>34</v>
      </c>
      <c r="D44" s="1" t="s">
        <v>35</v>
      </c>
      <c r="E44" s="1">
        <v>20</v>
      </c>
      <c r="F44" s="1">
        <v>46093</v>
      </c>
      <c r="G44" s="1">
        <v>5</v>
      </c>
      <c r="H44" s="2">
        <v>46091</v>
      </c>
      <c r="I44" s="2">
        <v>46098</v>
      </c>
      <c r="J44" s="1" t="s">
        <v>29</v>
      </c>
      <c r="K44" s="1">
        <v>1043</v>
      </c>
      <c r="L44" s="1">
        <f t="shared" si="0"/>
        <v>875767</v>
      </c>
      <c r="M44" s="1">
        <f t="shared" si="1"/>
        <v>1219742.43</v>
      </c>
      <c r="N44" s="1" t="str">
        <f t="shared" si="2"/>
        <v>Sneha</v>
      </c>
    </row>
    <row r="45" spans="1:14" x14ac:dyDescent="0.3">
      <c r="A45" s="1" t="s">
        <v>48</v>
      </c>
      <c r="B45" s="1" t="s">
        <v>38</v>
      </c>
      <c r="C45" s="1" t="s">
        <v>18</v>
      </c>
      <c r="D45" s="1" t="s">
        <v>19</v>
      </c>
      <c r="E45" s="1">
        <v>4</v>
      </c>
      <c r="F45" s="1">
        <v>14731</v>
      </c>
      <c r="G45" s="1">
        <v>2</v>
      </c>
      <c r="H45" s="2">
        <v>46173</v>
      </c>
      <c r="I45" s="2">
        <v>46176</v>
      </c>
      <c r="J45" s="1" t="s">
        <v>20</v>
      </c>
      <c r="K45" s="1">
        <v>1044</v>
      </c>
      <c r="L45" s="1">
        <f t="shared" si="0"/>
        <v>57745.52</v>
      </c>
      <c r="M45" s="1">
        <f t="shared" si="1"/>
        <v>1219742.43</v>
      </c>
      <c r="N45" s="1" t="str">
        <f t="shared" si="2"/>
        <v>Sneha</v>
      </c>
    </row>
    <row r="46" spans="1:14" x14ac:dyDescent="0.3">
      <c r="A46" s="1" t="s">
        <v>32</v>
      </c>
      <c r="B46" s="1" t="s">
        <v>38</v>
      </c>
      <c r="C46" s="1" t="s">
        <v>34</v>
      </c>
      <c r="D46" s="1" t="s">
        <v>35</v>
      </c>
      <c r="E46" s="1">
        <v>3</v>
      </c>
      <c r="F46" s="1">
        <v>62762</v>
      </c>
      <c r="G46" s="1">
        <v>7</v>
      </c>
      <c r="H46" s="2">
        <v>46038</v>
      </c>
      <c r="I46" s="2">
        <v>46039</v>
      </c>
      <c r="J46" s="1" t="s">
        <v>29</v>
      </c>
      <c r="K46" s="1">
        <v>1045</v>
      </c>
      <c r="L46" s="1">
        <f t="shared" si="0"/>
        <v>175105.97999999998</v>
      </c>
      <c r="M46" s="1">
        <f t="shared" si="1"/>
        <v>1219742.43</v>
      </c>
      <c r="N46" s="1" t="str">
        <f t="shared" si="2"/>
        <v>Sneha</v>
      </c>
    </row>
    <row r="47" spans="1:14" x14ac:dyDescent="0.3">
      <c r="A47" s="1" t="s">
        <v>57</v>
      </c>
      <c r="B47" s="1" t="s">
        <v>38</v>
      </c>
      <c r="C47" s="1" t="s">
        <v>34</v>
      </c>
      <c r="D47" s="1" t="s">
        <v>45</v>
      </c>
      <c r="E47" s="1">
        <v>3</v>
      </c>
      <c r="F47" s="1">
        <v>19443</v>
      </c>
      <c r="G47" s="1">
        <v>10</v>
      </c>
      <c r="H47" s="2">
        <v>46153</v>
      </c>
      <c r="I47" s="2">
        <v>46158</v>
      </c>
      <c r="J47" s="1" t="s">
        <v>29</v>
      </c>
      <c r="K47" s="1">
        <v>1046</v>
      </c>
      <c r="L47" s="1">
        <f t="shared" si="0"/>
        <v>52496.1</v>
      </c>
      <c r="M47" s="1">
        <f t="shared" si="1"/>
        <v>1219742.43</v>
      </c>
      <c r="N47" s="1" t="str">
        <f t="shared" si="2"/>
        <v>Sneha</v>
      </c>
    </row>
    <row r="48" spans="1:14" x14ac:dyDescent="0.3">
      <c r="A48" s="1" t="s">
        <v>58</v>
      </c>
      <c r="B48" s="1" t="s">
        <v>38</v>
      </c>
      <c r="C48" s="1" t="s">
        <v>18</v>
      </c>
      <c r="D48" s="1" t="s">
        <v>56</v>
      </c>
      <c r="E48" s="1">
        <v>11</v>
      </c>
      <c r="F48" s="1">
        <v>9976</v>
      </c>
      <c r="G48" s="1">
        <v>12</v>
      </c>
      <c r="H48" s="2">
        <v>46200</v>
      </c>
      <c r="I48" s="2">
        <v>46209</v>
      </c>
      <c r="J48" s="1" t="s">
        <v>15</v>
      </c>
      <c r="K48" s="1">
        <v>1047</v>
      </c>
      <c r="L48" s="1">
        <f t="shared" si="0"/>
        <v>96567.680000000008</v>
      </c>
      <c r="M48" s="1">
        <f t="shared" si="1"/>
        <v>1219742.43</v>
      </c>
      <c r="N48" s="1" t="str">
        <f t="shared" si="2"/>
        <v>Sneha</v>
      </c>
    </row>
    <row r="49" spans="1:14" x14ac:dyDescent="0.3">
      <c r="A49" s="1" t="s">
        <v>59</v>
      </c>
      <c r="B49" s="1" t="s">
        <v>25</v>
      </c>
      <c r="C49" s="1" t="s">
        <v>34</v>
      </c>
      <c r="D49" s="1" t="s">
        <v>60</v>
      </c>
      <c r="E49" s="1">
        <v>14</v>
      </c>
      <c r="F49" s="1">
        <v>11762</v>
      </c>
      <c r="G49" s="1">
        <v>7</v>
      </c>
      <c r="H49" s="2">
        <v>46180</v>
      </c>
      <c r="I49" s="2">
        <v>46186</v>
      </c>
      <c r="J49" s="1" t="s">
        <v>24</v>
      </c>
      <c r="K49" s="1">
        <v>1048</v>
      </c>
      <c r="L49" s="1">
        <f t="shared" si="0"/>
        <v>153141.24</v>
      </c>
      <c r="M49" s="1">
        <f t="shared" si="1"/>
        <v>1219742.43</v>
      </c>
      <c r="N49" s="1" t="str">
        <f t="shared" si="2"/>
        <v>Sneha</v>
      </c>
    </row>
    <row r="50" spans="1:14" x14ac:dyDescent="0.3">
      <c r="A50" s="1" t="s">
        <v>52</v>
      </c>
      <c r="B50" s="1" t="s">
        <v>25</v>
      </c>
      <c r="C50" s="1" t="s">
        <v>34</v>
      </c>
      <c r="D50" s="1" t="s">
        <v>45</v>
      </c>
      <c r="E50" s="1">
        <v>2</v>
      </c>
      <c r="F50" s="1">
        <v>40789</v>
      </c>
      <c r="G50" s="1">
        <v>0</v>
      </c>
      <c r="H50" s="2">
        <v>46102</v>
      </c>
      <c r="I50" s="2">
        <v>46108</v>
      </c>
      <c r="J50" s="1" t="s">
        <v>24</v>
      </c>
      <c r="K50" s="1">
        <v>1049</v>
      </c>
      <c r="L50" s="1">
        <f t="shared" si="0"/>
        <v>81578</v>
      </c>
      <c r="M50" s="1">
        <f t="shared" si="1"/>
        <v>1219742.43</v>
      </c>
      <c r="N50" s="1" t="str">
        <f t="shared" si="2"/>
        <v>Sneha</v>
      </c>
    </row>
    <row r="51" spans="1:14" x14ac:dyDescent="0.3">
      <c r="A51" s="1" t="s">
        <v>32</v>
      </c>
      <c r="B51" s="1" t="s">
        <v>25</v>
      </c>
      <c r="C51" s="1" t="s">
        <v>13</v>
      </c>
      <c r="D51" s="1" t="s">
        <v>53</v>
      </c>
      <c r="E51" s="1">
        <v>12</v>
      </c>
      <c r="F51" s="1">
        <v>360</v>
      </c>
      <c r="G51" s="1">
        <v>5</v>
      </c>
      <c r="H51" s="2">
        <v>46127</v>
      </c>
      <c r="I51" s="2">
        <v>46137</v>
      </c>
      <c r="J51" s="1" t="s">
        <v>29</v>
      </c>
      <c r="K51" s="1">
        <v>1050</v>
      </c>
      <c r="L51" s="1">
        <f t="shared" si="0"/>
        <v>4104</v>
      </c>
      <c r="M51" s="1">
        <f t="shared" si="1"/>
        <v>1219742.43</v>
      </c>
      <c r="N51" s="1" t="str">
        <f t="shared" si="2"/>
        <v>Sneha</v>
      </c>
    </row>
    <row r="52" spans="1:14" x14ac:dyDescent="0.3">
      <c r="A52" s="1" t="s">
        <v>58</v>
      </c>
      <c r="B52" s="1" t="s">
        <v>17</v>
      </c>
      <c r="C52" s="1" t="s">
        <v>13</v>
      </c>
      <c r="D52" s="1" t="s">
        <v>36</v>
      </c>
      <c r="E52" s="1">
        <v>12</v>
      </c>
      <c r="F52" s="1">
        <v>47</v>
      </c>
      <c r="G52" s="1">
        <v>2</v>
      </c>
      <c r="H52" s="2">
        <v>46037</v>
      </c>
      <c r="I52" s="2">
        <v>46045</v>
      </c>
      <c r="J52" s="1" t="s">
        <v>15</v>
      </c>
      <c r="K52" s="1">
        <v>1051</v>
      </c>
      <c r="L52" s="1">
        <f t="shared" si="0"/>
        <v>552.72</v>
      </c>
      <c r="M52" s="1">
        <f t="shared" si="1"/>
        <v>1219742.43</v>
      </c>
      <c r="N52" s="1" t="str">
        <f t="shared" si="2"/>
        <v>Sneha</v>
      </c>
    </row>
    <row r="53" spans="1:14" x14ac:dyDescent="0.3">
      <c r="A53" s="1" t="s">
        <v>55</v>
      </c>
      <c r="B53" s="1" t="s">
        <v>12</v>
      </c>
      <c r="C53" s="1" t="s">
        <v>13</v>
      </c>
      <c r="D53" s="1" t="s">
        <v>14</v>
      </c>
      <c r="E53" s="1">
        <v>17</v>
      </c>
      <c r="F53" s="1">
        <v>172</v>
      </c>
      <c r="G53" s="1">
        <v>10</v>
      </c>
      <c r="H53" s="2">
        <v>46159</v>
      </c>
      <c r="I53" s="2">
        <v>46165</v>
      </c>
      <c r="J53" s="1" t="s">
        <v>20</v>
      </c>
      <c r="K53" s="1">
        <v>1052</v>
      </c>
      <c r="L53" s="1">
        <f t="shared" si="0"/>
        <v>2631.6</v>
      </c>
      <c r="M53" s="1">
        <f t="shared" si="1"/>
        <v>1219742.43</v>
      </c>
      <c r="N53" s="1" t="str">
        <f t="shared" si="2"/>
        <v>Sneha</v>
      </c>
    </row>
    <row r="54" spans="1:14" x14ac:dyDescent="0.3">
      <c r="A54" s="1" t="s">
        <v>16</v>
      </c>
      <c r="B54" s="1" t="s">
        <v>33</v>
      </c>
      <c r="C54" s="1" t="s">
        <v>18</v>
      </c>
      <c r="D54" s="1" t="s">
        <v>28</v>
      </c>
      <c r="E54" s="1">
        <v>1</v>
      </c>
      <c r="F54" s="1">
        <v>9749</v>
      </c>
      <c r="G54" s="1">
        <v>15</v>
      </c>
      <c r="H54" s="2">
        <v>46064</v>
      </c>
      <c r="I54" s="2">
        <v>46070</v>
      </c>
      <c r="J54" s="1" t="s">
        <v>24</v>
      </c>
      <c r="K54" s="1">
        <v>1053</v>
      </c>
      <c r="L54" s="1">
        <f t="shared" si="0"/>
        <v>8286.65</v>
      </c>
      <c r="M54" s="1">
        <f t="shared" si="1"/>
        <v>1219742.43</v>
      </c>
      <c r="N54" s="1" t="str">
        <f t="shared" si="2"/>
        <v>Sneha</v>
      </c>
    </row>
    <row r="55" spans="1:14" x14ac:dyDescent="0.3">
      <c r="A55" s="1" t="s">
        <v>26</v>
      </c>
      <c r="B55" s="1" t="s">
        <v>25</v>
      </c>
      <c r="C55" s="1" t="s">
        <v>18</v>
      </c>
      <c r="D55" s="1" t="s">
        <v>23</v>
      </c>
      <c r="E55" s="1">
        <v>8</v>
      </c>
      <c r="F55" s="1">
        <v>9798</v>
      </c>
      <c r="G55" s="1">
        <v>12</v>
      </c>
      <c r="H55" s="2">
        <v>46200</v>
      </c>
      <c r="I55" s="2">
        <v>46201</v>
      </c>
      <c r="J55" s="1" t="s">
        <v>51</v>
      </c>
      <c r="K55" s="1">
        <v>1054</v>
      </c>
      <c r="L55" s="1">
        <f t="shared" si="0"/>
        <v>68977.919999999998</v>
      </c>
      <c r="M55" s="1">
        <f t="shared" si="1"/>
        <v>1219742.43</v>
      </c>
      <c r="N55" s="1" t="str">
        <f t="shared" si="2"/>
        <v>Sneha</v>
      </c>
    </row>
    <row r="56" spans="1:14" x14ac:dyDescent="0.3">
      <c r="A56" s="1" t="s">
        <v>48</v>
      </c>
      <c r="B56" s="1" t="s">
        <v>12</v>
      </c>
      <c r="C56" s="1" t="s">
        <v>13</v>
      </c>
      <c r="D56" s="1" t="s">
        <v>37</v>
      </c>
      <c r="E56" s="1">
        <v>18</v>
      </c>
      <c r="F56" s="1">
        <v>185</v>
      </c>
      <c r="G56" s="1">
        <v>15</v>
      </c>
      <c r="H56" s="2">
        <v>46077</v>
      </c>
      <c r="I56" s="2">
        <v>46078</v>
      </c>
      <c r="J56" s="1" t="s">
        <v>15</v>
      </c>
      <c r="K56" s="1">
        <v>1055</v>
      </c>
      <c r="L56" s="1">
        <f t="shared" si="0"/>
        <v>2830.5</v>
      </c>
      <c r="M56" s="1">
        <f t="shared" si="1"/>
        <v>1219742.43</v>
      </c>
      <c r="N56" s="1" t="str">
        <f t="shared" si="2"/>
        <v>Sneha</v>
      </c>
    </row>
    <row r="57" spans="1:14" x14ac:dyDescent="0.3">
      <c r="A57" s="1" t="s">
        <v>11</v>
      </c>
      <c r="B57" s="1" t="s">
        <v>22</v>
      </c>
      <c r="C57" s="1" t="s">
        <v>18</v>
      </c>
      <c r="D57" s="1" t="s">
        <v>19</v>
      </c>
      <c r="E57" s="1">
        <v>3</v>
      </c>
      <c r="F57" s="1">
        <v>9771</v>
      </c>
      <c r="G57" s="1">
        <v>5</v>
      </c>
      <c r="H57" s="2">
        <v>46133</v>
      </c>
      <c r="I57" s="2">
        <v>46139</v>
      </c>
      <c r="J57" s="1" t="s">
        <v>24</v>
      </c>
      <c r="K57" s="1">
        <v>1056</v>
      </c>
      <c r="L57" s="1">
        <f t="shared" si="0"/>
        <v>27847.35</v>
      </c>
      <c r="M57" s="1">
        <f t="shared" si="1"/>
        <v>1219742.43</v>
      </c>
      <c r="N57" s="1" t="str">
        <f t="shared" si="2"/>
        <v>Sneha</v>
      </c>
    </row>
    <row r="58" spans="1:14" x14ac:dyDescent="0.3">
      <c r="A58" s="1" t="s">
        <v>59</v>
      </c>
      <c r="B58" s="1" t="s">
        <v>22</v>
      </c>
      <c r="C58" s="1" t="s">
        <v>18</v>
      </c>
      <c r="D58" s="1" t="s">
        <v>28</v>
      </c>
      <c r="E58" s="1">
        <v>2</v>
      </c>
      <c r="F58" s="1">
        <v>9531</v>
      </c>
      <c r="G58" s="1">
        <v>15</v>
      </c>
      <c r="H58" s="2">
        <v>46067</v>
      </c>
      <c r="I58" s="2">
        <v>46076</v>
      </c>
      <c r="J58" s="1" t="s">
        <v>51</v>
      </c>
      <c r="K58" s="1">
        <v>1057</v>
      </c>
      <c r="L58" s="1">
        <f t="shared" si="0"/>
        <v>16202.699999999999</v>
      </c>
      <c r="M58" s="1">
        <f t="shared" si="1"/>
        <v>1219742.43</v>
      </c>
      <c r="N58" s="1" t="str">
        <f t="shared" si="2"/>
        <v>Sneha</v>
      </c>
    </row>
    <row r="59" spans="1:14" x14ac:dyDescent="0.3">
      <c r="A59" s="1" t="s">
        <v>52</v>
      </c>
      <c r="B59" s="1" t="s">
        <v>38</v>
      </c>
      <c r="C59" s="1" t="s">
        <v>18</v>
      </c>
      <c r="D59" s="1" t="s">
        <v>28</v>
      </c>
      <c r="E59" s="1">
        <v>10</v>
      </c>
      <c r="F59" s="1">
        <v>5532</v>
      </c>
      <c r="G59" s="1">
        <v>7</v>
      </c>
      <c r="H59" s="2">
        <v>46074</v>
      </c>
      <c r="I59" s="2">
        <v>46084</v>
      </c>
      <c r="J59" s="1" t="s">
        <v>24</v>
      </c>
      <c r="K59" s="1">
        <v>1058</v>
      </c>
      <c r="L59" s="1">
        <f t="shared" si="0"/>
        <v>51447.6</v>
      </c>
      <c r="M59" s="1">
        <f t="shared" si="1"/>
        <v>1219742.43</v>
      </c>
      <c r="N59" s="1" t="str">
        <f t="shared" si="2"/>
        <v>Sneha</v>
      </c>
    </row>
    <row r="60" spans="1:14" x14ac:dyDescent="0.3">
      <c r="A60" s="1" t="s">
        <v>54</v>
      </c>
      <c r="B60" s="1" t="s">
        <v>25</v>
      </c>
      <c r="C60" s="1" t="s">
        <v>13</v>
      </c>
      <c r="D60" s="1" t="s">
        <v>50</v>
      </c>
      <c r="E60" s="1">
        <v>20</v>
      </c>
      <c r="F60" s="1">
        <v>112</v>
      </c>
      <c r="G60" s="1">
        <v>10</v>
      </c>
      <c r="H60" s="2">
        <v>46113</v>
      </c>
      <c r="I60" s="2">
        <v>46122</v>
      </c>
      <c r="J60" s="1" t="s">
        <v>51</v>
      </c>
      <c r="K60" s="1">
        <v>1059</v>
      </c>
      <c r="L60" s="1">
        <f t="shared" si="0"/>
        <v>2016</v>
      </c>
      <c r="M60" s="1">
        <f t="shared" si="1"/>
        <v>1219742.43</v>
      </c>
      <c r="N60" s="1" t="str">
        <f t="shared" si="2"/>
        <v>Sneha</v>
      </c>
    </row>
    <row r="61" spans="1:14" x14ac:dyDescent="0.3">
      <c r="A61" s="1" t="s">
        <v>49</v>
      </c>
      <c r="B61" s="1" t="s">
        <v>12</v>
      </c>
      <c r="C61" s="1" t="s">
        <v>18</v>
      </c>
      <c r="D61" s="1" t="s">
        <v>44</v>
      </c>
      <c r="E61" s="1">
        <v>9</v>
      </c>
      <c r="F61" s="1">
        <v>9727</v>
      </c>
      <c r="G61" s="1">
        <v>2</v>
      </c>
      <c r="H61" s="2">
        <v>46024</v>
      </c>
      <c r="I61" s="2">
        <v>46030</v>
      </c>
      <c r="J61" s="1" t="s">
        <v>20</v>
      </c>
      <c r="K61" s="1">
        <v>1060</v>
      </c>
      <c r="L61" s="1">
        <f t="shared" si="0"/>
        <v>85792.14</v>
      </c>
      <c r="M61" s="1">
        <f t="shared" si="1"/>
        <v>1219742.43</v>
      </c>
      <c r="N61" s="1" t="str">
        <f t="shared" si="2"/>
        <v>Sneha</v>
      </c>
    </row>
    <row r="62" spans="1:14" x14ac:dyDescent="0.3">
      <c r="A62" s="1" t="s">
        <v>57</v>
      </c>
      <c r="B62" s="1" t="s">
        <v>12</v>
      </c>
      <c r="C62" s="1" t="s">
        <v>34</v>
      </c>
      <c r="D62" s="1" t="s">
        <v>41</v>
      </c>
      <c r="E62" s="1">
        <v>16</v>
      </c>
      <c r="F62" s="1">
        <v>59084</v>
      </c>
      <c r="G62" s="1">
        <v>0</v>
      </c>
      <c r="H62" s="2">
        <v>46060</v>
      </c>
      <c r="I62" s="2">
        <v>46069</v>
      </c>
      <c r="J62" s="1" t="s">
        <v>20</v>
      </c>
      <c r="K62" s="1">
        <v>1061</v>
      </c>
      <c r="L62" s="1">
        <f t="shared" si="0"/>
        <v>945344</v>
      </c>
      <c r="M62" s="1">
        <f t="shared" si="1"/>
        <v>1219742.43</v>
      </c>
      <c r="N62" s="1" t="str">
        <f t="shared" si="2"/>
        <v>Sneha</v>
      </c>
    </row>
    <row r="63" spans="1:14" x14ac:dyDescent="0.3">
      <c r="A63" s="1" t="s">
        <v>40</v>
      </c>
      <c r="B63" s="1" t="s">
        <v>43</v>
      </c>
      <c r="C63" s="1" t="s">
        <v>18</v>
      </c>
      <c r="D63" s="1" t="s">
        <v>23</v>
      </c>
      <c r="E63" s="1">
        <v>8</v>
      </c>
      <c r="F63" s="1">
        <v>8360</v>
      </c>
      <c r="G63" s="1">
        <v>2</v>
      </c>
      <c r="H63" s="2">
        <v>46190</v>
      </c>
      <c r="I63" s="2">
        <v>46200</v>
      </c>
      <c r="J63" s="1" t="s">
        <v>51</v>
      </c>
      <c r="K63" s="1">
        <v>1062</v>
      </c>
      <c r="L63" s="1">
        <f t="shared" si="0"/>
        <v>65542.399999999994</v>
      </c>
      <c r="M63" s="1">
        <f t="shared" si="1"/>
        <v>1219742.43</v>
      </c>
      <c r="N63" s="1" t="str">
        <f t="shared" si="2"/>
        <v>Sneha</v>
      </c>
    </row>
    <row r="64" spans="1:14" x14ac:dyDescent="0.3">
      <c r="A64" s="1" t="s">
        <v>54</v>
      </c>
      <c r="B64" s="1" t="s">
        <v>22</v>
      </c>
      <c r="C64" s="1" t="s">
        <v>34</v>
      </c>
      <c r="D64" s="1" t="s">
        <v>45</v>
      </c>
      <c r="E64" s="1">
        <v>7</v>
      </c>
      <c r="F64" s="1">
        <v>66744</v>
      </c>
      <c r="G64" s="1">
        <v>7</v>
      </c>
      <c r="H64" s="2">
        <v>46148</v>
      </c>
      <c r="I64" s="2">
        <v>46155</v>
      </c>
      <c r="J64" s="1" t="s">
        <v>15</v>
      </c>
      <c r="K64" s="1">
        <v>1063</v>
      </c>
      <c r="L64" s="1">
        <f t="shared" si="0"/>
        <v>434503.43999999994</v>
      </c>
      <c r="M64" s="1">
        <f t="shared" si="1"/>
        <v>1219742.43</v>
      </c>
      <c r="N64" s="1" t="str">
        <f t="shared" si="2"/>
        <v>Sneha</v>
      </c>
    </row>
    <row r="65" spans="1:14" x14ac:dyDescent="0.3">
      <c r="A65" s="1" t="s">
        <v>26</v>
      </c>
      <c r="B65" s="1" t="s">
        <v>17</v>
      </c>
      <c r="C65" s="1" t="s">
        <v>13</v>
      </c>
      <c r="D65" s="1" t="s">
        <v>50</v>
      </c>
      <c r="E65" s="1">
        <v>20</v>
      </c>
      <c r="F65" s="1">
        <v>191</v>
      </c>
      <c r="G65" s="1">
        <v>7</v>
      </c>
      <c r="H65" s="2">
        <v>46185</v>
      </c>
      <c r="I65" s="2">
        <v>46195</v>
      </c>
      <c r="J65" s="1" t="s">
        <v>29</v>
      </c>
      <c r="K65" s="1">
        <v>1064</v>
      </c>
      <c r="L65" s="1">
        <f t="shared" si="0"/>
        <v>3552.6</v>
      </c>
      <c r="M65" s="1">
        <f t="shared" si="1"/>
        <v>1219742.43</v>
      </c>
      <c r="N65" s="1" t="str">
        <f t="shared" si="2"/>
        <v>Sneha</v>
      </c>
    </row>
    <row r="66" spans="1:14" x14ac:dyDescent="0.3">
      <c r="A66" s="1" t="s">
        <v>42</v>
      </c>
      <c r="B66" s="1" t="s">
        <v>43</v>
      </c>
      <c r="C66" s="1" t="s">
        <v>18</v>
      </c>
      <c r="D66" s="1" t="s">
        <v>44</v>
      </c>
      <c r="E66" s="1">
        <v>1</v>
      </c>
      <c r="F66" s="1">
        <v>7730</v>
      </c>
      <c r="G66" s="1">
        <v>5</v>
      </c>
      <c r="H66" s="2">
        <v>46192</v>
      </c>
      <c r="I66" s="2">
        <v>46195</v>
      </c>
      <c r="J66" s="1" t="s">
        <v>51</v>
      </c>
      <c r="K66" s="1">
        <v>1065</v>
      </c>
      <c r="L66" s="1">
        <f t="shared" si="0"/>
        <v>7343.5</v>
      </c>
      <c r="M66" s="1">
        <f t="shared" si="1"/>
        <v>1219742.43</v>
      </c>
      <c r="N66" s="1" t="str">
        <f t="shared" si="2"/>
        <v>Sneha</v>
      </c>
    </row>
    <row r="67" spans="1:14" x14ac:dyDescent="0.3">
      <c r="A67" s="1" t="s">
        <v>47</v>
      </c>
      <c r="B67" s="1" t="s">
        <v>25</v>
      </c>
      <c r="C67" s="1" t="s">
        <v>18</v>
      </c>
      <c r="D67" s="1" t="s">
        <v>44</v>
      </c>
      <c r="E67" s="1">
        <v>15</v>
      </c>
      <c r="F67" s="1">
        <v>11987</v>
      </c>
      <c r="G67" s="1">
        <v>5</v>
      </c>
      <c r="H67" s="2">
        <v>46082</v>
      </c>
      <c r="I67" s="2">
        <v>46083</v>
      </c>
      <c r="J67" s="1" t="s">
        <v>15</v>
      </c>
      <c r="K67" s="1">
        <v>1066</v>
      </c>
      <c r="L67" s="1">
        <f t="shared" si="0"/>
        <v>170814.75</v>
      </c>
      <c r="M67" s="1">
        <f t="shared" si="1"/>
        <v>1219742.43</v>
      </c>
      <c r="N67" s="1" t="str">
        <f t="shared" ref="N67:N130" si="3">_xlfn.XLOOKUP(M67,L67:L466,A67:A466)</f>
        <v>Sneha</v>
      </c>
    </row>
    <row r="68" spans="1:14" x14ac:dyDescent="0.3">
      <c r="A68" s="1" t="s">
        <v>32</v>
      </c>
      <c r="B68" s="1" t="s">
        <v>43</v>
      </c>
      <c r="C68" s="1" t="s">
        <v>18</v>
      </c>
      <c r="D68" s="1" t="s">
        <v>56</v>
      </c>
      <c r="E68" s="1">
        <v>14</v>
      </c>
      <c r="F68" s="1">
        <v>10869</v>
      </c>
      <c r="G68" s="1">
        <v>0</v>
      </c>
      <c r="H68" s="2">
        <v>46058</v>
      </c>
      <c r="I68" s="2">
        <v>46062</v>
      </c>
      <c r="J68" s="1" t="s">
        <v>29</v>
      </c>
      <c r="K68" s="1">
        <v>1067</v>
      </c>
      <c r="L68" s="1">
        <f t="shared" si="0"/>
        <v>152166</v>
      </c>
      <c r="M68" s="1">
        <f t="shared" si="1"/>
        <v>1219742.43</v>
      </c>
      <c r="N68" s="1" t="str">
        <f t="shared" si="3"/>
        <v>Sneha</v>
      </c>
    </row>
    <row r="69" spans="1:14" x14ac:dyDescent="0.3">
      <c r="A69" s="1" t="s">
        <v>52</v>
      </c>
      <c r="B69" s="1" t="s">
        <v>43</v>
      </c>
      <c r="C69" s="1" t="s">
        <v>34</v>
      </c>
      <c r="D69" s="1" t="s">
        <v>60</v>
      </c>
      <c r="E69" s="1">
        <v>15</v>
      </c>
      <c r="F69" s="1">
        <v>14534</v>
      </c>
      <c r="G69" s="1">
        <v>5</v>
      </c>
      <c r="H69" s="2">
        <v>46196</v>
      </c>
      <c r="I69" s="2">
        <v>46199</v>
      </c>
      <c r="J69" s="1" t="s">
        <v>29</v>
      </c>
      <c r="K69" s="1">
        <v>1068</v>
      </c>
      <c r="L69" s="1">
        <f t="shared" si="0"/>
        <v>207109.5</v>
      </c>
      <c r="M69" s="1">
        <f t="shared" si="1"/>
        <v>1219742.43</v>
      </c>
      <c r="N69" s="1" t="str">
        <f t="shared" si="3"/>
        <v>Sneha</v>
      </c>
    </row>
    <row r="70" spans="1:14" x14ac:dyDescent="0.3">
      <c r="A70" s="1" t="s">
        <v>52</v>
      </c>
      <c r="B70" s="1" t="s">
        <v>31</v>
      </c>
      <c r="C70" s="1" t="s">
        <v>18</v>
      </c>
      <c r="D70" s="1" t="s">
        <v>28</v>
      </c>
      <c r="E70" s="1">
        <v>9</v>
      </c>
      <c r="F70" s="1">
        <v>4415</v>
      </c>
      <c r="G70" s="1">
        <v>5</v>
      </c>
      <c r="H70" s="2">
        <v>46039</v>
      </c>
      <c r="I70" s="2">
        <v>46046</v>
      </c>
      <c r="J70" s="1" t="s">
        <v>15</v>
      </c>
      <c r="K70" s="1">
        <v>1069</v>
      </c>
      <c r="L70" s="1">
        <f t="shared" si="0"/>
        <v>37748.25</v>
      </c>
      <c r="M70" s="1">
        <f t="shared" si="1"/>
        <v>1219742.43</v>
      </c>
      <c r="N70" s="1" t="str">
        <f t="shared" si="3"/>
        <v>Sneha</v>
      </c>
    </row>
    <row r="71" spans="1:14" x14ac:dyDescent="0.3">
      <c r="A71" s="1" t="s">
        <v>52</v>
      </c>
      <c r="B71" s="1" t="s">
        <v>43</v>
      </c>
      <c r="C71" s="1" t="s">
        <v>13</v>
      </c>
      <c r="D71" s="1" t="s">
        <v>36</v>
      </c>
      <c r="E71" s="1">
        <v>10</v>
      </c>
      <c r="F71" s="1">
        <v>233</v>
      </c>
      <c r="G71" s="1">
        <v>7</v>
      </c>
      <c r="H71" s="2">
        <v>46076</v>
      </c>
      <c r="I71" s="2">
        <v>46077</v>
      </c>
      <c r="J71" s="1" t="s">
        <v>29</v>
      </c>
      <c r="K71" s="1">
        <v>1070</v>
      </c>
      <c r="L71" s="1">
        <f t="shared" si="0"/>
        <v>2166.8999999999996</v>
      </c>
      <c r="M71" s="1">
        <f t="shared" si="1"/>
        <v>1219742.43</v>
      </c>
      <c r="N71" s="1" t="str">
        <f t="shared" si="3"/>
        <v>Sneha</v>
      </c>
    </row>
    <row r="72" spans="1:14" x14ac:dyDescent="0.3">
      <c r="A72" s="1" t="s">
        <v>59</v>
      </c>
      <c r="B72" s="1" t="s">
        <v>22</v>
      </c>
      <c r="C72" s="1" t="s">
        <v>34</v>
      </c>
      <c r="D72" s="1" t="s">
        <v>61</v>
      </c>
      <c r="E72" s="1">
        <v>18</v>
      </c>
      <c r="F72" s="1">
        <v>32197</v>
      </c>
      <c r="G72" s="1">
        <v>5</v>
      </c>
      <c r="H72" s="2">
        <v>46129</v>
      </c>
      <c r="I72" s="2">
        <v>46137</v>
      </c>
      <c r="J72" s="1" t="s">
        <v>20</v>
      </c>
      <c r="K72" s="1">
        <v>1071</v>
      </c>
      <c r="L72" s="1">
        <f t="shared" si="0"/>
        <v>550568.69999999995</v>
      </c>
      <c r="M72" s="1">
        <f t="shared" si="1"/>
        <v>1219742.43</v>
      </c>
      <c r="N72" s="1" t="str">
        <f t="shared" si="3"/>
        <v>Sneha</v>
      </c>
    </row>
    <row r="73" spans="1:14" x14ac:dyDescent="0.3">
      <c r="A73" s="1" t="s">
        <v>16</v>
      </c>
      <c r="B73" s="1" t="s">
        <v>25</v>
      </c>
      <c r="C73" s="1" t="s">
        <v>34</v>
      </c>
      <c r="D73" s="1" t="s">
        <v>61</v>
      </c>
      <c r="E73" s="1">
        <v>20</v>
      </c>
      <c r="F73" s="1">
        <v>58779</v>
      </c>
      <c r="G73" s="1">
        <v>0</v>
      </c>
      <c r="H73" s="2">
        <v>46035</v>
      </c>
      <c r="I73" s="2">
        <v>46036</v>
      </c>
      <c r="J73" s="1" t="s">
        <v>24</v>
      </c>
      <c r="K73" s="1">
        <v>1072</v>
      </c>
      <c r="L73" s="1">
        <f t="shared" si="0"/>
        <v>1175580</v>
      </c>
      <c r="M73" s="1">
        <f t="shared" si="1"/>
        <v>1219742.43</v>
      </c>
      <c r="N73" s="1" t="str">
        <f t="shared" si="3"/>
        <v>Sneha</v>
      </c>
    </row>
    <row r="74" spans="1:14" x14ac:dyDescent="0.3">
      <c r="A74" s="1" t="s">
        <v>58</v>
      </c>
      <c r="B74" s="1" t="s">
        <v>17</v>
      </c>
      <c r="C74" s="1" t="s">
        <v>18</v>
      </c>
      <c r="D74" s="1" t="s">
        <v>56</v>
      </c>
      <c r="E74" s="1">
        <v>4</v>
      </c>
      <c r="F74" s="1">
        <v>2453</v>
      </c>
      <c r="G74" s="1">
        <v>7</v>
      </c>
      <c r="H74" s="2">
        <v>46126</v>
      </c>
      <c r="I74" s="2">
        <v>46129</v>
      </c>
      <c r="J74" s="1" t="s">
        <v>51</v>
      </c>
      <c r="K74" s="1">
        <v>1073</v>
      </c>
      <c r="L74" s="1">
        <f t="shared" si="0"/>
        <v>9125.16</v>
      </c>
      <c r="M74" s="1">
        <f t="shared" si="1"/>
        <v>1219742.43</v>
      </c>
      <c r="N74" s="1" t="str">
        <f t="shared" si="3"/>
        <v>Sneha</v>
      </c>
    </row>
    <row r="75" spans="1:14" x14ac:dyDescent="0.3">
      <c r="A75" s="1" t="s">
        <v>26</v>
      </c>
      <c r="B75" s="1" t="s">
        <v>31</v>
      </c>
      <c r="C75" s="1" t="s">
        <v>13</v>
      </c>
      <c r="D75" s="1" t="s">
        <v>50</v>
      </c>
      <c r="E75" s="1">
        <v>11</v>
      </c>
      <c r="F75" s="1">
        <v>390</v>
      </c>
      <c r="G75" s="1">
        <v>15</v>
      </c>
      <c r="H75" s="2">
        <v>46114</v>
      </c>
      <c r="I75" s="2">
        <v>46123</v>
      </c>
      <c r="J75" s="1" t="s">
        <v>29</v>
      </c>
      <c r="K75" s="1">
        <v>1074</v>
      </c>
      <c r="L75" s="1">
        <f t="shared" si="0"/>
        <v>3646.5</v>
      </c>
      <c r="M75" s="1">
        <f t="shared" si="1"/>
        <v>1219742.43</v>
      </c>
      <c r="N75" s="1" t="str">
        <f t="shared" si="3"/>
        <v>Sneha</v>
      </c>
    </row>
    <row r="76" spans="1:14" x14ac:dyDescent="0.3">
      <c r="A76" s="1" t="s">
        <v>42</v>
      </c>
      <c r="B76" s="1" t="s">
        <v>43</v>
      </c>
      <c r="C76" s="1" t="s">
        <v>34</v>
      </c>
      <c r="D76" s="1" t="s">
        <v>61</v>
      </c>
      <c r="E76" s="1">
        <v>4</v>
      </c>
      <c r="F76" s="1">
        <v>64773</v>
      </c>
      <c r="G76" s="1">
        <v>10</v>
      </c>
      <c r="H76" s="2">
        <v>46185</v>
      </c>
      <c r="I76" s="2">
        <v>46186</v>
      </c>
      <c r="J76" s="1" t="s">
        <v>51</v>
      </c>
      <c r="K76" s="1">
        <v>1075</v>
      </c>
      <c r="L76" s="1">
        <f t="shared" si="0"/>
        <v>233182.80000000002</v>
      </c>
      <c r="M76" s="1">
        <f t="shared" si="1"/>
        <v>1219742.43</v>
      </c>
      <c r="N76" s="1" t="str">
        <f t="shared" si="3"/>
        <v>Sneha</v>
      </c>
    </row>
    <row r="77" spans="1:14" x14ac:dyDescent="0.3">
      <c r="A77" s="1" t="s">
        <v>29</v>
      </c>
      <c r="B77" s="1" t="s">
        <v>17</v>
      </c>
      <c r="C77" s="1" t="s">
        <v>34</v>
      </c>
      <c r="D77" s="1" t="s">
        <v>35</v>
      </c>
      <c r="E77" s="1">
        <v>19</v>
      </c>
      <c r="F77" s="1">
        <v>26714</v>
      </c>
      <c r="G77" s="1">
        <v>5</v>
      </c>
      <c r="H77" s="2">
        <v>46045</v>
      </c>
      <c r="I77" s="2">
        <v>46055</v>
      </c>
      <c r="J77" s="1" t="s">
        <v>29</v>
      </c>
      <c r="K77" s="1">
        <v>1076</v>
      </c>
      <c r="L77" s="1">
        <f t="shared" si="0"/>
        <v>482187.69999999995</v>
      </c>
      <c r="M77" s="1">
        <f t="shared" si="1"/>
        <v>1219742.43</v>
      </c>
      <c r="N77" s="1" t="str">
        <f t="shared" si="3"/>
        <v>Sneha</v>
      </c>
    </row>
    <row r="78" spans="1:14" x14ac:dyDescent="0.3">
      <c r="A78" s="1" t="s">
        <v>55</v>
      </c>
      <c r="B78" s="1" t="s">
        <v>25</v>
      </c>
      <c r="C78" s="1" t="s">
        <v>13</v>
      </c>
      <c r="D78" s="1" t="s">
        <v>14</v>
      </c>
      <c r="E78" s="1">
        <v>1</v>
      </c>
      <c r="F78" s="1">
        <v>123</v>
      </c>
      <c r="G78" s="1">
        <v>10</v>
      </c>
      <c r="H78" s="2">
        <v>46113</v>
      </c>
      <c r="I78" s="2">
        <v>46121</v>
      </c>
      <c r="J78" s="1" t="s">
        <v>51</v>
      </c>
      <c r="K78" s="1">
        <v>1077</v>
      </c>
      <c r="L78" s="1">
        <f t="shared" si="0"/>
        <v>110.7</v>
      </c>
      <c r="M78" s="1">
        <f t="shared" si="1"/>
        <v>1219742.43</v>
      </c>
      <c r="N78" s="1" t="str">
        <f t="shared" si="3"/>
        <v>Sneha</v>
      </c>
    </row>
    <row r="79" spans="1:14" x14ac:dyDescent="0.3">
      <c r="A79" s="1" t="s">
        <v>52</v>
      </c>
      <c r="B79" s="1" t="s">
        <v>17</v>
      </c>
      <c r="C79" s="1" t="s">
        <v>34</v>
      </c>
      <c r="D79" s="1" t="s">
        <v>39</v>
      </c>
      <c r="E79" s="1">
        <v>11</v>
      </c>
      <c r="F79" s="1">
        <v>24278</v>
      </c>
      <c r="G79" s="1">
        <v>12</v>
      </c>
      <c r="H79" s="2">
        <v>46084</v>
      </c>
      <c r="I79" s="2">
        <v>46090</v>
      </c>
      <c r="J79" s="1" t="s">
        <v>29</v>
      </c>
      <c r="K79" s="1">
        <v>1078</v>
      </c>
      <c r="L79" s="1">
        <f t="shared" si="0"/>
        <v>235011.04</v>
      </c>
      <c r="M79" s="1">
        <f t="shared" si="1"/>
        <v>1219742.43</v>
      </c>
      <c r="N79" s="1" t="str">
        <f t="shared" si="3"/>
        <v>Sneha</v>
      </c>
    </row>
    <row r="80" spans="1:14" x14ac:dyDescent="0.3">
      <c r="A80" s="1" t="s">
        <v>26</v>
      </c>
      <c r="B80" s="1" t="s">
        <v>38</v>
      </c>
      <c r="C80" s="1" t="s">
        <v>34</v>
      </c>
      <c r="D80" s="1" t="s">
        <v>41</v>
      </c>
      <c r="E80" s="1">
        <v>19</v>
      </c>
      <c r="F80" s="1">
        <v>48956</v>
      </c>
      <c r="G80" s="1">
        <v>12</v>
      </c>
      <c r="H80" s="2">
        <v>46170</v>
      </c>
      <c r="I80" s="2">
        <v>46177</v>
      </c>
      <c r="J80" s="1" t="s">
        <v>51</v>
      </c>
      <c r="K80" s="1">
        <v>1079</v>
      </c>
      <c r="L80" s="1">
        <f t="shared" si="0"/>
        <v>818544.32</v>
      </c>
      <c r="M80" s="1">
        <f t="shared" si="1"/>
        <v>1219742.43</v>
      </c>
      <c r="N80" s="1" t="str">
        <f t="shared" si="3"/>
        <v>Sneha</v>
      </c>
    </row>
    <row r="81" spans="1:14" x14ac:dyDescent="0.3">
      <c r="A81" s="1" t="s">
        <v>21</v>
      </c>
      <c r="B81" s="1" t="s">
        <v>22</v>
      </c>
      <c r="C81" s="1" t="s">
        <v>34</v>
      </c>
      <c r="D81" s="1" t="s">
        <v>41</v>
      </c>
      <c r="E81" s="1">
        <v>12</v>
      </c>
      <c r="F81" s="1">
        <v>54161</v>
      </c>
      <c r="G81" s="1">
        <v>15</v>
      </c>
      <c r="H81" s="2">
        <v>46133</v>
      </c>
      <c r="I81" s="2">
        <v>46143</v>
      </c>
      <c r="J81" s="1" t="s">
        <v>24</v>
      </c>
      <c r="K81" s="1">
        <v>1080</v>
      </c>
      <c r="L81" s="1">
        <f t="shared" si="0"/>
        <v>552442.19999999995</v>
      </c>
      <c r="M81" s="1">
        <f t="shared" si="1"/>
        <v>1219742.43</v>
      </c>
      <c r="N81" s="1" t="str">
        <f t="shared" si="3"/>
        <v>Sneha</v>
      </c>
    </row>
    <row r="82" spans="1:14" x14ac:dyDescent="0.3">
      <c r="A82" s="1" t="s">
        <v>47</v>
      </c>
      <c r="B82" s="1" t="s">
        <v>12</v>
      </c>
      <c r="C82" s="1" t="s">
        <v>34</v>
      </c>
      <c r="D82" s="1" t="s">
        <v>35</v>
      </c>
      <c r="E82" s="1">
        <v>15</v>
      </c>
      <c r="F82" s="1">
        <v>59912</v>
      </c>
      <c r="G82" s="1">
        <v>7</v>
      </c>
      <c r="H82" s="2">
        <v>46058</v>
      </c>
      <c r="I82" s="2">
        <v>46060</v>
      </c>
      <c r="J82" s="1" t="s">
        <v>51</v>
      </c>
      <c r="K82" s="1">
        <v>1081</v>
      </c>
      <c r="L82" s="1">
        <f t="shared" si="0"/>
        <v>835772.39999999991</v>
      </c>
      <c r="M82" s="1">
        <f t="shared" si="1"/>
        <v>1219742.43</v>
      </c>
      <c r="N82" s="1" t="str">
        <f t="shared" si="3"/>
        <v>Sneha</v>
      </c>
    </row>
    <row r="83" spans="1:14" x14ac:dyDescent="0.3">
      <c r="A83" s="1" t="s">
        <v>21</v>
      </c>
      <c r="B83" s="1" t="s">
        <v>12</v>
      </c>
      <c r="C83" s="1" t="s">
        <v>13</v>
      </c>
      <c r="D83" s="1" t="s">
        <v>14</v>
      </c>
      <c r="E83" s="1">
        <v>7</v>
      </c>
      <c r="F83" s="1">
        <v>133</v>
      </c>
      <c r="G83" s="1">
        <v>10</v>
      </c>
      <c r="H83" s="2">
        <v>46075</v>
      </c>
      <c r="I83" s="2">
        <v>46085</v>
      </c>
      <c r="J83" s="1" t="s">
        <v>51</v>
      </c>
      <c r="K83" s="1">
        <v>1082</v>
      </c>
      <c r="L83" s="1">
        <f t="shared" si="0"/>
        <v>837.9</v>
      </c>
      <c r="M83" s="1">
        <f t="shared" si="1"/>
        <v>1219742.43</v>
      </c>
      <c r="N83" s="1" t="str">
        <f t="shared" si="3"/>
        <v>Sneha</v>
      </c>
    </row>
    <row r="84" spans="1:14" x14ac:dyDescent="0.3">
      <c r="A84" s="1" t="s">
        <v>55</v>
      </c>
      <c r="B84" s="1" t="s">
        <v>33</v>
      </c>
      <c r="C84" s="1" t="s">
        <v>13</v>
      </c>
      <c r="D84" s="1" t="s">
        <v>53</v>
      </c>
      <c r="E84" s="1">
        <v>4</v>
      </c>
      <c r="F84" s="1">
        <v>397</v>
      </c>
      <c r="G84" s="1">
        <v>7</v>
      </c>
      <c r="H84" s="2">
        <v>46185</v>
      </c>
      <c r="I84" s="2">
        <v>46193</v>
      </c>
      <c r="J84" s="1" t="s">
        <v>15</v>
      </c>
      <c r="K84" s="1">
        <v>1083</v>
      </c>
      <c r="L84" s="1">
        <f t="shared" si="0"/>
        <v>1476.84</v>
      </c>
      <c r="M84" s="1">
        <f t="shared" si="1"/>
        <v>1219742.43</v>
      </c>
      <c r="N84" s="1" t="str">
        <f t="shared" si="3"/>
        <v>Sneha</v>
      </c>
    </row>
    <row r="85" spans="1:14" x14ac:dyDescent="0.3">
      <c r="A85" s="1" t="s">
        <v>49</v>
      </c>
      <c r="B85" s="1" t="s">
        <v>31</v>
      </c>
      <c r="C85" s="1" t="s">
        <v>18</v>
      </c>
      <c r="D85" s="1" t="s">
        <v>28</v>
      </c>
      <c r="E85" s="1">
        <v>4</v>
      </c>
      <c r="F85" s="1">
        <v>6901</v>
      </c>
      <c r="G85" s="1">
        <v>10</v>
      </c>
      <c r="H85" s="2">
        <v>46047</v>
      </c>
      <c r="I85" s="2">
        <v>46057</v>
      </c>
      <c r="J85" s="1" t="s">
        <v>20</v>
      </c>
      <c r="K85" s="1">
        <v>1084</v>
      </c>
      <c r="L85" s="1">
        <f t="shared" si="0"/>
        <v>24843.600000000002</v>
      </c>
      <c r="M85" s="1">
        <f t="shared" si="1"/>
        <v>1219742.43</v>
      </c>
      <c r="N85" s="1" t="str">
        <f t="shared" si="3"/>
        <v>Sneha</v>
      </c>
    </row>
    <row r="86" spans="1:14" x14ac:dyDescent="0.3">
      <c r="A86" s="1" t="s">
        <v>32</v>
      </c>
      <c r="B86" s="1" t="s">
        <v>38</v>
      </c>
      <c r="C86" s="1" t="s">
        <v>34</v>
      </c>
      <c r="D86" s="1" t="s">
        <v>60</v>
      </c>
      <c r="E86" s="1">
        <v>19</v>
      </c>
      <c r="F86" s="1">
        <v>45307</v>
      </c>
      <c r="G86" s="1">
        <v>12</v>
      </c>
      <c r="H86" s="2">
        <v>46146</v>
      </c>
      <c r="I86" s="2">
        <v>46150</v>
      </c>
      <c r="J86" s="1" t="s">
        <v>24</v>
      </c>
      <c r="K86" s="1">
        <v>1085</v>
      </c>
      <c r="L86" s="1">
        <f t="shared" si="0"/>
        <v>757533.04</v>
      </c>
      <c r="M86" s="1">
        <f t="shared" si="1"/>
        <v>1219742.43</v>
      </c>
      <c r="N86" s="1" t="str">
        <f t="shared" si="3"/>
        <v>Sneha</v>
      </c>
    </row>
    <row r="87" spans="1:14" x14ac:dyDescent="0.3">
      <c r="A87" s="1" t="s">
        <v>32</v>
      </c>
      <c r="B87" s="1" t="s">
        <v>12</v>
      </c>
      <c r="C87" s="1" t="s">
        <v>13</v>
      </c>
      <c r="D87" s="1" t="s">
        <v>53</v>
      </c>
      <c r="E87" s="1">
        <v>15</v>
      </c>
      <c r="F87" s="1">
        <v>40</v>
      </c>
      <c r="G87" s="1">
        <v>10</v>
      </c>
      <c r="H87" s="2">
        <v>46045</v>
      </c>
      <c r="I87" s="2">
        <v>46049</v>
      </c>
      <c r="J87" s="1" t="s">
        <v>24</v>
      </c>
      <c r="K87" s="1">
        <v>1086</v>
      </c>
      <c r="L87" s="1">
        <f t="shared" si="0"/>
        <v>540</v>
      </c>
      <c r="M87" s="1">
        <f t="shared" si="1"/>
        <v>1219742.43</v>
      </c>
      <c r="N87" s="1" t="str">
        <f t="shared" si="3"/>
        <v>Sneha</v>
      </c>
    </row>
    <row r="88" spans="1:14" x14ac:dyDescent="0.3">
      <c r="A88" s="1" t="s">
        <v>11</v>
      </c>
      <c r="B88" s="1" t="s">
        <v>31</v>
      </c>
      <c r="C88" s="1" t="s">
        <v>13</v>
      </c>
      <c r="D88" s="1" t="s">
        <v>37</v>
      </c>
      <c r="E88" s="1">
        <v>13</v>
      </c>
      <c r="F88" s="1">
        <v>387</v>
      </c>
      <c r="G88" s="1">
        <v>7</v>
      </c>
      <c r="H88" s="2">
        <v>46171</v>
      </c>
      <c r="I88" s="2">
        <v>46176</v>
      </c>
      <c r="J88" s="1" t="s">
        <v>24</v>
      </c>
      <c r="K88" s="1">
        <v>1087</v>
      </c>
      <c r="L88" s="1">
        <f t="shared" si="0"/>
        <v>4678.83</v>
      </c>
      <c r="M88" s="1">
        <f t="shared" si="1"/>
        <v>1219742.43</v>
      </c>
      <c r="N88" s="1" t="str">
        <f t="shared" si="3"/>
        <v>Sneha</v>
      </c>
    </row>
    <row r="89" spans="1:14" x14ac:dyDescent="0.3">
      <c r="A89" s="1" t="s">
        <v>40</v>
      </c>
      <c r="B89" s="1" t="s">
        <v>33</v>
      </c>
      <c r="C89" s="1" t="s">
        <v>34</v>
      </c>
      <c r="D89" s="1" t="s">
        <v>41</v>
      </c>
      <c r="E89" s="1">
        <v>20</v>
      </c>
      <c r="F89" s="1">
        <v>41165</v>
      </c>
      <c r="G89" s="1">
        <v>0</v>
      </c>
      <c r="H89" s="2">
        <v>46068</v>
      </c>
      <c r="I89" s="2">
        <v>46069</v>
      </c>
      <c r="J89" s="1" t="s">
        <v>20</v>
      </c>
      <c r="K89" s="1">
        <v>1088</v>
      </c>
      <c r="L89" s="1">
        <f t="shared" si="0"/>
        <v>823300</v>
      </c>
      <c r="M89" s="1">
        <f t="shared" si="1"/>
        <v>1219742.43</v>
      </c>
      <c r="N89" s="1" t="str">
        <f t="shared" si="3"/>
        <v>Sneha</v>
      </c>
    </row>
    <row r="90" spans="1:14" x14ac:dyDescent="0.3">
      <c r="A90" s="1" t="s">
        <v>46</v>
      </c>
      <c r="B90" s="1" t="s">
        <v>12</v>
      </c>
      <c r="C90" s="1" t="s">
        <v>34</v>
      </c>
      <c r="D90" s="1" t="s">
        <v>35</v>
      </c>
      <c r="E90" s="1">
        <v>10</v>
      </c>
      <c r="F90" s="1">
        <v>17041</v>
      </c>
      <c r="G90" s="1">
        <v>2</v>
      </c>
      <c r="H90" s="2">
        <v>46066</v>
      </c>
      <c r="I90" s="2">
        <v>46071</v>
      </c>
      <c r="J90" s="1" t="s">
        <v>24</v>
      </c>
      <c r="K90" s="1">
        <v>1089</v>
      </c>
      <c r="L90" s="1">
        <f t="shared" si="0"/>
        <v>167001.79999999999</v>
      </c>
      <c r="M90" s="1">
        <f t="shared" si="1"/>
        <v>1219742.43</v>
      </c>
      <c r="N90" s="1" t="str">
        <f t="shared" si="3"/>
        <v>Sneha</v>
      </c>
    </row>
    <row r="91" spans="1:14" x14ac:dyDescent="0.3">
      <c r="A91" s="1" t="s">
        <v>49</v>
      </c>
      <c r="B91" s="1" t="s">
        <v>31</v>
      </c>
      <c r="C91" s="1" t="s">
        <v>34</v>
      </c>
      <c r="D91" s="1" t="s">
        <v>45</v>
      </c>
      <c r="E91" s="1">
        <v>19</v>
      </c>
      <c r="F91" s="1">
        <v>66139</v>
      </c>
      <c r="G91" s="1">
        <v>5</v>
      </c>
      <c r="H91" s="2">
        <v>46088</v>
      </c>
      <c r="I91" s="2">
        <v>46095</v>
      </c>
      <c r="J91" s="1" t="s">
        <v>24</v>
      </c>
      <c r="K91" s="1">
        <v>1090</v>
      </c>
      <c r="L91" s="1">
        <f t="shared" si="0"/>
        <v>1193808.95</v>
      </c>
      <c r="M91" s="1">
        <f t="shared" si="1"/>
        <v>1219742.43</v>
      </c>
      <c r="N91" s="1" t="str">
        <f t="shared" si="3"/>
        <v>Sneha</v>
      </c>
    </row>
    <row r="92" spans="1:14" x14ac:dyDescent="0.3">
      <c r="A92" s="1" t="s">
        <v>55</v>
      </c>
      <c r="B92" s="1" t="s">
        <v>17</v>
      </c>
      <c r="C92" s="1" t="s">
        <v>13</v>
      </c>
      <c r="D92" s="1" t="s">
        <v>53</v>
      </c>
      <c r="E92" s="1">
        <v>2</v>
      </c>
      <c r="F92" s="1">
        <v>305</v>
      </c>
      <c r="G92" s="1">
        <v>0</v>
      </c>
      <c r="H92" s="2">
        <v>46136</v>
      </c>
      <c r="I92" s="2">
        <v>46144</v>
      </c>
      <c r="J92" s="1" t="s">
        <v>15</v>
      </c>
      <c r="K92" s="1">
        <v>1091</v>
      </c>
      <c r="L92" s="1">
        <f t="shared" si="0"/>
        <v>610</v>
      </c>
      <c r="M92" s="1">
        <f t="shared" si="1"/>
        <v>1219742.43</v>
      </c>
      <c r="N92" s="1" t="str">
        <f t="shared" si="3"/>
        <v>Sneha</v>
      </c>
    </row>
    <row r="93" spans="1:14" x14ac:dyDescent="0.3">
      <c r="A93" s="1" t="s">
        <v>21</v>
      </c>
      <c r="B93" s="1" t="s">
        <v>22</v>
      </c>
      <c r="C93" s="1" t="s">
        <v>34</v>
      </c>
      <c r="D93" s="1" t="s">
        <v>41</v>
      </c>
      <c r="E93" s="1">
        <v>9</v>
      </c>
      <c r="F93" s="1">
        <v>23438</v>
      </c>
      <c r="G93" s="1">
        <v>2</v>
      </c>
      <c r="H93" s="2">
        <v>46049</v>
      </c>
      <c r="I93" s="2">
        <v>46055</v>
      </c>
      <c r="J93" s="1" t="s">
        <v>29</v>
      </c>
      <c r="K93" s="1">
        <v>1092</v>
      </c>
      <c r="L93" s="1">
        <f t="shared" si="0"/>
        <v>206723.16</v>
      </c>
      <c r="M93" s="1">
        <f t="shared" si="1"/>
        <v>1219742.43</v>
      </c>
      <c r="N93" s="1" t="str">
        <f t="shared" si="3"/>
        <v>Sneha</v>
      </c>
    </row>
    <row r="94" spans="1:14" x14ac:dyDescent="0.3">
      <c r="A94" s="1" t="s">
        <v>47</v>
      </c>
      <c r="B94" s="1" t="s">
        <v>25</v>
      </c>
      <c r="C94" s="1" t="s">
        <v>18</v>
      </c>
      <c r="D94" s="1" t="s">
        <v>23</v>
      </c>
      <c r="E94" s="1">
        <v>6</v>
      </c>
      <c r="F94" s="1">
        <v>8224</v>
      </c>
      <c r="G94" s="1">
        <v>15</v>
      </c>
      <c r="H94" s="2">
        <v>46175</v>
      </c>
      <c r="I94" s="2">
        <v>46185</v>
      </c>
      <c r="J94" s="1" t="s">
        <v>51</v>
      </c>
      <c r="K94" s="1">
        <v>1093</v>
      </c>
      <c r="L94" s="1">
        <f t="shared" si="0"/>
        <v>41942.400000000001</v>
      </c>
      <c r="M94" s="1">
        <f t="shared" si="1"/>
        <v>1219742.43</v>
      </c>
      <c r="N94" s="1" t="str">
        <f t="shared" si="3"/>
        <v>Sneha</v>
      </c>
    </row>
    <row r="95" spans="1:14" x14ac:dyDescent="0.3">
      <c r="A95" s="1" t="s">
        <v>47</v>
      </c>
      <c r="B95" s="1" t="s">
        <v>43</v>
      </c>
      <c r="C95" s="1" t="s">
        <v>34</v>
      </c>
      <c r="D95" s="1" t="s">
        <v>61</v>
      </c>
      <c r="E95" s="1">
        <v>4</v>
      </c>
      <c r="F95" s="1">
        <v>7073</v>
      </c>
      <c r="G95" s="1">
        <v>0</v>
      </c>
      <c r="H95" s="2">
        <v>46101</v>
      </c>
      <c r="I95" s="2">
        <v>46105</v>
      </c>
      <c r="J95" s="1" t="s">
        <v>29</v>
      </c>
      <c r="K95" s="1">
        <v>1094</v>
      </c>
      <c r="L95" s="1">
        <f t="shared" si="0"/>
        <v>28292</v>
      </c>
      <c r="M95" s="1">
        <f t="shared" si="1"/>
        <v>1219742.43</v>
      </c>
      <c r="N95" s="1" t="str">
        <f t="shared" si="3"/>
        <v>Sneha</v>
      </c>
    </row>
    <row r="96" spans="1:14" x14ac:dyDescent="0.3">
      <c r="A96" s="1" t="s">
        <v>47</v>
      </c>
      <c r="B96" s="1" t="s">
        <v>25</v>
      </c>
      <c r="C96" s="1" t="s">
        <v>34</v>
      </c>
      <c r="D96" s="1" t="s">
        <v>41</v>
      </c>
      <c r="E96" s="1">
        <v>18</v>
      </c>
      <c r="F96" s="1">
        <v>587</v>
      </c>
      <c r="G96" s="1">
        <v>2</v>
      </c>
      <c r="H96" s="2">
        <v>46167</v>
      </c>
      <c r="I96" s="2">
        <v>46171</v>
      </c>
      <c r="J96" s="1" t="s">
        <v>20</v>
      </c>
      <c r="K96" s="1">
        <v>1095</v>
      </c>
      <c r="L96" s="1">
        <f t="shared" si="0"/>
        <v>10354.68</v>
      </c>
      <c r="M96" s="1">
        <f t="shared" si="1"/>
        <v>1219742.43</v>
      </c>
      <c r="N96" s="1" t="str">
        <f t="shared" si="3"/>
        <v>Sneha</v>
      </c>
    </row>
    <row r="97" spans="1:14" x14ac:dyDescent="0.3">
      <c r="A97" s="1" t="s">
        <v>49</v>
      </c>
      <c r="B97" s="1" t="s">
        <v>17</v>
      </c>
      <c r="C97" s="1" t="s">
        <v>18</v>
      </c>
      <c r="D97" s="1" t="s">
        <v>23</v>
      </c>
      <c r="E97" s="1">
        <v>15</v>
      </c>
      <c r="F97" s="1">
        <v>14724</v>
      </c>
      <c r="G97" s="1">
        <v>15</v>
      </c>
      <c r="H97" s="2">
        <v>46054</v>
      </c>
      <c r="I97" s="2">
        <v>46061</v>
      </c>
      <c r="J97" s="1" t="s">
        <v>20</v>
      </c>
      <c r="K97" s="1">
        <v>1096</v>
      </c>
      <c r="L97" s="1">
        <f t="shared" si="0"/>
        <v>187731</v>
      </c>
      <c r="M97" s="1">
        <f t="shared" si="1"/>
        <v>1219742.43</v>
      </c>
      <c r="N97" s="1" t="str">
        <f t="shared" si="3"/>
        <v>Sneha</v>
      </c>
    </row>
    <row r="98" spans="1:14" x14ac:dyDescent="0.3">
      <c r="A98" s="1" t="s">
        <v>52</v>
      </c>
      <c r="B98" s="1" t="s">
        <v>22</v>
      </c>
      <c r="C98" s="1" t="s">
        <v>34</v>
      </c>
      <c r="D98" s="1" t="s">
        <v>61</v>
      </c>
      <c r="E98" s="1">
        <v>10</v>
      </c>
      <c r="F98" s="1">
        <v>28980</v>
      </c>
      <c r="G98" s="1">
        <v>10</v>
      </c>
      <c r="H98" s="2">
        <v>46089</v>
      </c>
      <c r="I98" s="2">
        <v>46094</v>
      </c>
      <c r="J98" s="1" t="s">
        <v>24</v>
      </c>
      <c r="K98" s="1">
        <v>1097</v>
      </c>
      <c r="L98" s="1">
        <f t="shared" si="0"/>
        <v>260820</v>
      </c>
      <c r="M98" s="1">
        <f t="shared" si="1"/>
        <v>1219742.43</v>
      </c>
      <c r="N98" s="1" t="str">
        <f t="shared" si="3"/>
        <v>Sneha</v>
      </c>
    </row>
    <row r="99" spans="1:14" x14ac:dyDescent="0.3">
      <c r="A99" s="1" t="s">
        <v>26</v>
      </c>
      <c r="B99" s="1" t="s">
        <v>25</v>
      </c>
      <c r="C99" s="1" t="s">
        <v>13</v>
      </c>
      <c r="D99" s="1" t="s">
        <v>53</v>
      </c>
      <c r="E99" s="1">
        <v>17</v>
      </c>
      <c r="F99" s="1">
        <v>345</v>
      </c>
      <c r="G99" s="1">
        <v>2</v>
      </c>
      <c r="H99" s="2">
        <v>46126</v>
      </c>
      <c r="I99" s="2">
        <v>46127</v>
      </c>
      <c r="J99" s="1" t="s">
        <v>51</v>
      </c>
      <c r="K99" s="1">
        <v>1098</v>
      </c>
      <c r="L99" s="1">
        <f t="shared" si="0"/>
        <v>5747.7</v>
      </c>
      <c r="M99" s="1">
        <f t="shared" si="1"/>
        <v>1219742.43</v>
      </c>
      <c r="N99" s="1" t="str">
        <f t="shared" si="3"/>
        <v>Sneha</v>
      </c>
    </row>
    <row r="100" spans="1:14" x14ac:dyDescent="0.3">
      <c r="A100" s="1" t="s">
        <v>26</v>
      </c>
      <c r="B100" s="1" t="s">
        <v>31</v>
      </c>
      <c r="C100" s="1" t="s">
        <v>18</v>
      </c>
      <c r="D100" s="1" t="s">
        <v>19</v>
      </c>
      <c r="E100" s="1">
        <v>1</v>
      </c>
      <c r="F100" s="1">
        <v>5165</v>
      </c>
      <c r="G100" s="1">
        <v>2</v>
      </c>
      <c r="H100" s="2">
        <v>46058</v>
      </c>
      <c r="I100" s="2">
        <v>46060</v>
      </c>
      <c r="J100" s="1" t="s">
        <v>15</v>
      </c>
      <c r="K100" s="1">
        <v>1099</v>
      </c>
      <c r="L100" s="1">
        <f t="shared" si="0"/>
        <v>5061.7</v>
      </c>
      <c r="M100" s="1">
        <f t="shared" si="1"/>
        <v>1219742.43</v>
      </c>
      <c r="N100" s="1" t="str">
        <f t="shared" si="3"/>
        <v>Sneha</v>
      </c>
    </row>
    <row r="101" spans="1:14" x14ac:dyDescent="0.3">
      <c r="A101" s="1" t="s">
        <v>11</v>
      </c>
      <c r="B101" s="1" t="s">
        <v>31</v>
      </c>
      <c r="C101" s="1" t="s">
        <v>13</v>
      </c>
      <c r="D101" s="1" t="s">
        <v>14</v>
      </c>
      <c r="E101" s="1">
        <v>11</v>
      </c>
      <c r="F101" s="1">
        <v>296</v>
      </c>
      <c r="G101" s="1">
        <v>10</v>
      </c>
      <c r="H101" s="2">
        <v>46027</v>
      </c>
      <c r="I101" s="2">
        <v>46031</v>
      </c>
      <c r="J101" s="1" t="s">
        <v>51</v>
      </c>
      <c r="K101" s="1">
        <v>1100</v>
      </c>
      <c r="L101" s="1">
        <f t="shared" si="0"/>
        <v>2930.4</v>
      </c>
      <c r="M101" s="1">
        <f t="shared" si="1"/>
        <v>1219742.43</v>
      </c>
      <c r="N101" s="1" t="str">
        <f t="shared" si="3"/>
        <v>Sneha</v>
      </c>
    </row>
    <row r="102" spans="1:14" x14ac:dyDescent="0.3">
      <c r="A102" s="1" t="s">
        <v>27</v>
      </c>
      <c r="B102" s="1" t="s">
        <v>22</v>
      </c>
      <c r="C102" s="1" t="s">
        <v>34</v>
      </c>
      <c r="D102" s="1" t="s">
        <v>61</v>
      </c>
      <c r="E102" s="1">
        <v>9</v>
      </c>
      <c r="F102" s="1">
        <v>37361</v>
      </c>
      <c r="G102" s="1">
        <v>10</v>
      </c>
      <c r="H102" s="2">
        <v>46141</v>
      </c>
      <c r="I102" s="2">
        <v>46142</v>
      </c>
      <c r="J102" s="1" t="s">
        <v>24</v>
      </c>
      <c r="K102" s="1">
        <v>1101</v>
      </c>
      <c r="L102" s="1">
        <f t="shared" si="0"/>
        <v>302624.10000000003</v>
      </c>
      <c r="M102" s="1">
        <f t="shared" si="1"/>
        <v>1219742.43</v>
      </c>
      <c r="N102" s="1" t="str">
        <f t="shared" si="3"/>
        <v>Sneha</v>
      </c>
    </row>
    <row r="103" spans="1:14" x14ac:dyDescent="0.3">
      <c r="A103" s="1" t="s">
        <v>54</v>
      </c>
      <c r="B103" s="1" t="s">
        <v>25</v>
      </c>
      <c r="C103" s="1" t="s">
        <v>34</v>
      </c>
      <c r="D103" s="1" t="s">
        <v>45</v>
      </c>
      <c r="E103" s="1">
        <v>12</v>
      </c>
      <c r="F103" s="1">
        <v>63402</v>
      </c>
      <c r="G103" s="1">
        <v>7</v>
      </c>
      <c r="H103" s="2">
        <v>46106</v>
      </c>
      <c r="I103" s="2">
        <v>46113</v>
      </c>
      <c r="J103" s="1" t="s">
        <v>51</v>
      </c>
      <c r="K103" s="1">
        <v>1102</v>
      </c>
      <c r="L103" s="1">
        <f t="shared" si="0"/>
        <v>707566.32</v>
      </c>
      <c r="M103" s="1">
        <f t="shared" si="1"/>
        <v>1219742.43</v>
      </c>
      <c r="N103" s="1" t="str">
        <f t="shared" si="3"/>
        <v>Sneha</v>
      </c>
    </row>
    <row r="104" spans="1:14" x14ac:dyDescent="0.3">
      <c r="A104" s="1" t="s">
        <v>16</v>
      </c>
      <c r="B104" s="1" t="s">
        <v>12</v>
      </c>
      <c r="C104" s="1" t="s">
        <v>18</v>
      </c>
      <c r="D104" s="1" t="s">
        <v>23</v>
      </c>
      <c r="E104" s="1">
        <v>7</v>
      </c>
      <c r="F104" s="1">
        <v>11925</v>
      </c>
      <c r="G104" s="1">
        <v>5</v>
      </c>
      <c r="H104" s="2">
        <v>46040</v>
      </c>
      <c r="I104" s="2">
        <v>46041</v>
      </c>
      <c r="J104" s="1" t="s">
        <v>29</v>
      </c>
      <c r="K104" s="1">
        <v>1103</v>
      </c>
      <c r="L104" s="1">
        <f t="shared" si="0"/>
        <v>79301.25</v>
      </c>
      <c r="M104" s="1">
        <f t="shared" si="1"/>
        <v>1219742.43</v>
      </c>
      <c r="N104" s="1" t="str">
        <f t="shared" si="3"/>
        <v>Sneha</v>
      </c>
    </row>
    <row r="105" spans="1:14" x14ac:dyDescent="0.3">
      <c r="A105" s="1" t="s">
        <v>16</v>
      </c>
      <c r="B105" s="1" t="s">
        <v>43</v>
      </c>
      <c r="C105" s="1" t="s">
        <v>18</v>
      </c>
      <c r="D105" s="1" t="s">
        <v>19</v>
      </c>
      <c r="E105" s="1">
        <v>10</v>
      </c>
      <c r="F105" s="1">
        <v>12848</v>
      </c>
      <c r="G105" s="1">
        <v>15</v>
      </c>
      <c r="H105" s="2">
        <v>46060</v>
      </c>
      <c r="I105" s="2">
        <v>46064</v>
      </c>
      <c r="J105" s="1" t="s">
        <v>29</v>
      </c>
      <c r="K105" s="1">
        <v>1104</v>
      </c>
      <c r="L105" s="1">
        <f t="shared" si="0"/>
        <v>109208</v>
      </c>
      <c r="M105" s="1">
        <f t="shared" si="1"/>
        <v>1219742.43</v>
      </c>
      <c r="N105" s="1" t="str">
        <f t="shared" si="3"/>
        <v>Sneha</v>
      </c>
    </row>
    <row r="106" spans="1:14" x14ac:dyDescent="0.3">
      <c r="A106" s="1" t="s">
        <v>59</v>
      </c>
      <c r="B106" s="1" t="s">
        <v>25</v>
      </c>
      <c r="C106" s="1" t="s">
        <v>13</v>
      </c>
      <c r="D106" s="1" t="s">
        <v>50</v>
      </c>
      <c r="E106" s="1">
        <v>2</v>
      </c>
      <c r="F106" s="1">
        <v>493</v>
      </c>
      <c r="G106" s="1">
        <v>12</v>
      </c>
      <c r="H106" s="2">
        <v>46057</v>
      </c>
      <c r="I106" s="2">
        <v>46066</v>
      </c>
      <c r="J106" s="1" t="s">
        <v>51</v>
      </c>
      <c r="K106" s="1">
        <v>1105</v>
      </c>
      <c r="L106" s="1">
        <f t="shared" si="0"/>
        <v>867.68</v>
      </c>
      <c r="M106" s="1">
        <f t="shared" si="1"/>
        <v>1219742.43</v>
      </c>
      <c r="N106" s="1" t="str">
        <f t="shared" si="3"/>
        <v>Sneha</v>
      </c>
    </row>
    <row r="107" spans="1:14" x14ac:dyDescent="0.3">
      <c r="A107" s="1" t="s">
        <v>27</v>
      </c>
      <c r="B107" s="1" t="s">
        <v>43</v>
      </c>
      <c r="C107" s="1" t="s">
        <v>18</v>
      </c>
      <c r="D107" s="1" t="s">
        <v>23</v>
      </c>
      <c r="E107" s="1">
        <v>20</v>
      </c>
      <c r="F107" s="1">
        <v>2141</v>
      </c>
      <c r="G107" s="1">
        <v>2</v>
      </c>
      <c r="H107" s="2">
        <v>46091</v>
      </c>
      <c r="I107" s="2">
        <v>46097</v>
      </c>
      <c r="J107" s="1" t="s">
        <v>29</v>
      </c>
      <c r="K107" s="1">
        <v>1106</v>
      </c>
      <c r="L107" s="1">
        <f t="shared" si="0"/>
        <v>41963.6</v>
      </c>
      <c r="M107" s="1">
        <f t="shared" si="1"/>
        <v>1219742.43</v>
      </c>
      <c r="N107" s="1" t="str">
        <f t="shared" si="3"/>
        <v>Sneha</v>
      </c>
    </row>
    <row r="108" spans="1:14" x14ac:dyDescent="0.3">
      <c r="A108" s="1" t="s">
        <v>52</v>
      </c>
      <c r="B108" s="1" t="s">
        <v>17</v>
      </c>
      <c r="C108" s="1" t="s">
        <v>34</v>
      </c>
      <c r="D108" s="1" t="s">
        <v>60</v>
      </c>
      <c r="E108" s="1">
        <v>4</v>
      </c>
      <c r="F108" s="1">
        <v>14291</v>
      </c>
      <c r="G108" s="1">
        <v>2</v>
      </c>
      <c r="H108" s="2">
        <v>46076</v>
      </c>
      <c r="I108" s="2">
        <v>46078</v>
      </c>
      <c r="J108" s="1" t="s">
        <v>15</v>
      </c>
      <c r="K108" s="1">
        <v>1107</v>
      </c>
      <c r="L108" s="1">
        <f t="shared" si="0"/>
        <v>56020.72</v>
      </c>
      <c r="M108" s="1">
        <f t="shared" si="1"/>
        <v>1219742.43</v>
      </c>
      <c r="N108" s="1" t="str">
        <f t="shared" si="3"/>
        <v>Sneha</v>
      </c>
    </row>
    <row r="109" spans="1:14" x14ac:dyDescent="0.3">
      <c r="A109" s="1" t="s">
        <v>42</v>
      </c>
      <c r="B109" s="1" t="s">
        <v>33</v>
      </c>
      <c r="C109" s="1" t="s">
        <v>18</v>
      </c>
      <c r="D109" s="1" t="s">
        <v>28</v>
      </c>
      <c r="E109" s="1">
        <v>15</v>
      </c>
      <c r="F109" s="1">
        <v>13843</v>
      </c>
      <c r="G109" s="1">
        <v>7</v>
      </c>
      <c r="H109" s="2">
        <v>46119</v>
      </c>
      <c r="I109" s="2">
        <v>46127</v>
      </c>
      <c r="J109" s="1" t="s">
        <v>20</v>
      </c>
      <c r="K109" s="1">
        <v>1108</v>
      </c>
      <c r="L109" s="1">
        <f t="shared" si="0"/>
        <v>193109.84999999998</v>
      </c>
      <c r="M109" s="1">
        <f t="shared" si="1"/>
        <v>1219742.43</v>
      </c>
      <c r="N109" s="1" t="str">
        <f t="shared" si="3"/>
        <v>Sneha</v>
      </c>
    </row>
    <row r="110" spans="1:14" x14ac:dyDescent="0.3">
      <c r="A110" s="1" t="s">
        <v>21</v>
      </c>
      <c r="B110" s="1" t="s">
        <v>31</v>
      </c>
      <c r="C110" s="1" t="s">
        <v>18</v>
      </c>
      <c r="D110" s="1" t="s">
        <v>44</v>
      </c>
      <c r="E110" s="1">
        <v>19</v>
      </c>
      <c r="F110" s="1">
        <v>6512</v>
      </c>
      <c r="G110" s="1">
        <v>10</v>
      </c>
      <c r="H110" s="2">
        <v>46033</v>
      </c>
      <c r="I110" s="2">
        <v>46037</v>
      </c>
      <c r="J110" s="1" t="s">
        <v>20</v>
      </c>
      <c r="K110" s="1">
        <v>1109</v>
      </c>
      <c r="L110" s="1">
        <f t="shared" si="0"/>
        <v>111355.2</v>
      </c>
      <c r="M110" s="1">
        <f t="shared" si="1"/>
        <v>1219742.43</v>
      </c>
      <c r="N110" s="1" t="str">
        <f t="shared" si="3"/>
        <v>Sneha</v>
      </c>
    </row>
    <row r="111" spans="1:14" x14ac:dyDescent="0.3">
      <c r="A111" s="1" t="s">
        <v>49</v>
      </c>
      <c r="B111" s="1" t="s">
        <v>38</v>
      </c>
      <c r="C111" s="1" t="s">
        <v>18</v>
      </c>
      <c r="D111" s="1" t="s">
        <v>23</v>
      </c>
      <c r="E111" s="1">
        <v>14</v>
      </c>
      <c r="F111" s="1">
        <v>6793</v>
      </c>
      <c r="G111" s="1">
        <v>7</v>
      </c>
      <c r="H111" s="2">
        <v>46077</v>
      </c>
      <c r="I111" s="2">
        <v>46082</v>
      </c>
      <c r="J111" s="1" t="s">
        <v>29</v>
      </c>
      <c r="K111" s="1">
        <v>1110</v>
      </c>
      <c r="L111" s="1">
        <f t="shared" si="0"/>
        <v>88444.86</v>
      </c>
      <c r="M111" s="1">
        <f t="shared" si="1"/>
        <v>1219742.43</v>
      </c>
      <c r="N111" s="1" t="str">
        <f t="shared" si="3"/>
        <v>Sneha</v>
      </c>
    </row>
    <row r="112" spans="1:14" x14ac:dyDescent="0.3">
      <c r="A112" s="1" t="s">
        <v>47</v>
      </c>
      <c r="B112" s="1" t="s">
        <v>17</v>
      </c>
      <c r="C112" s="1" t="s">
        <v>34</v>
      </c>
      <c r="D112" s="1" t="s">
        <v>35</v>
      </c>
      <c r="E112" s="1">
        <v>5</v>
      </c>
      <c r="F112" s="1">
        <v>49945</v>
      </c>
      <c r="G112" s="1">
        <v>12</v>
      </c>
      <c r="H112" s="2">
        <v>46133</v>
      </c>
      <c r="I112" s="2">
        <v>46141</v>
      </c>
      <c r="J112" s="1" t="s">
        <v>29</v>
      </c>
      <c r="K112" s="1">
        <v>1111</v>
      </c>
      <c r="L112" s="1">
        <f t="shared" si="0"/>
        <v>219758</v>
      </c>
      <c r="M112" s="1">
        <f t="shared" si="1"/>
        <v>1219742.43</v>
      </c>
      <c r="N112" s="1" t="str">
        <f t="shared" si="3"/>
        <v>Sneha</v>
      </c>
    </row>
    <row r="113" spans="1:14" x14ac:dyDescent="0.3">
      <c r="A113" s="1" t="s">
        <v>21</v>
      </c>
      <c r="B113" s="1" t="s">
        <v>43</v>
      </c>
      <c r="C113" s="1" t="s">
        <v>18</v>
      </c>
      <c r="D113" s="1" t="s">
        <v>44</v>
      </c>
      <c r="E113" s="1">
        <v>7</v>
      </c>
      <c r="F113" s="1">
        <v>1959</v>
      </c>
      <c r="G113" s="1">
        <v>15</v>
      </c>
      <c r="H113" s="2">
        <v>46090</v>
      </c>
      <c r="I113" s="2">
        <v>46100</v>
      </c>
      <c r="J113" s="1" t="s">
        <v>15</v>
      </c>
      <c r="K113" s="1">
        <v>1112</v>
      </c>
      <c r="L113" s="1">
        <f t="shared" si="0"/>
        <v>11656.05</v>
      </c>
      <c r="M113" s="1">
        <f t="shared" si="1"/>
        <v>1219742.43</v>
      </c>
      <c r="N113" s="1" t="str">
        <f t="shared" si="3"/>
        <v>Sneha</v>
      </c>
    </row>
    <row r="114" spans="1:14" x14ac:dyDescent="0.3">
      <c r="A114" s="1" t="s">
        <v>26</v>
      </c>
      <c r="B114" s="1" t="s">
        <v>43</v>
      </c>
      <c r="C114" s="1" t="s">
        <v>18</v>
      </c>
      <c r="D114" s="1" t="s">
        <v>56</v>
      </c>
      <c r="E114" s="1">
        <v>13</v>
      </c>
      <c r="F114" s="1">
        <v>6719</v>
      </c>
      <c r="G114" s="1">
        <v>15</v>
      </c>
      <c r="H114" s="2">
        <v>46076</v>
      </c>
      <c r="I114" s="2">
        <v>46081</v>
      </c>
      <c r="J114" s="1" t="s">
        <v>24</v>
      </c>
      <c r="K114" s="1">
        <v>1113</v>
      </c>
      <c r="L114" s="1">
        <f t="shared" si="0"/>
        <v>74244.95</v>
      </c>
      <c r="M114" s="1">
        <f t="shared" si="1"/>
        <v>1219742.43</v>
      </c>
      <c r="N114" s="1" t="str">
        <f t="shared" si="3"/>
        <v>Sneha</v>
      </c>
    </row>
    <row r="115" spans="1:14" x14ac:dyDescent="0.3">
      <c r="A115" s="1" t="s">
        <v>16</v>
      </c>
      <c r="B115" s="1" t="s">
        <v>25</v>
      </c>
      <c r="C115" s="1" t="s">
        <v>13</v>
      </c>
      <c r="D115" s="1" t="s">
        <v>50</v>
      </c>
      <c r="E115" s="1">
        <v>13</v>
      </c>
      <c r="F115" s="1">
        <v>32</v>
      </c>
      <c r="G115" s="1">
        <v>15</v>
      </c>
      <c r="H115" s="2">
        <v>46066</v>
      </c>
      <c r="I115" s="2">
        <v>46069</v>
      </c>
      <c r="J115" s="1" t="s">
        <v>15</v>
      </c>
      <c r="K115" s="1">
        <v>1114</v>
      </c>
      <c r="L115" s="1">
        <f t="shared" si="0"/>
        <v>353.59999999999997</v>
      </c>
      <c r="M115" s="1">
        <f t="shared" si="1"/>
        <v>1219742.43</v>
      </c>
      <c r="N115" s="1" t="str">
        <f t="shared" si="3"/>
        <v>Sneha</v>
      </c>
    </row>
    <row r="116" spans="1:14" x14ac:dyDescent="0.3">
      <c r="A116" s="1" t="s">
        <v>59</v>
      </c>
      <c r="B116" s="1" t="s">
        <v>43</v>
      </c>
      <c r="C116" s="1" t="s">
        <v>13</v>
      </c>
      <c r="D116" s="1" t="s">
        <v>50</v>
      </c>
      <c r="E116" s="1">
        <v>9</v>
      </c>
      <c r="F116" s="1">
        <v>303</v>
      </c>
      <c r="G116" s="1">
        <v>10</v>
      </c>
      <c r="H116" s="2">
        <v>46149</v>
      </c>
      <c r="I116" s="2">
        <v>46157</v>
      </c>
      <c r="J116" s="1" t="s">
        <v>29</v>
      </c>
      <c r="K116" s="1">
        <v>1115</v>
      </c>
      <c r="L116" s="1">
        <f t="shared" si="0"/>
        <v>2454.3000000000002</v>
      </c>
      <c r="M116" s="1">
        <f t="shared" si="1"/>
        <v>1219742.43</v>
      </c>
      <c r="N116" s="1" t="str">
        <f t="shared" si="3"/>
        <v>Sneha</v>
      </c>
    </row>
    <row r="117" spans="1:14" x14ac:dyDescent="0.3">
      <c r="A117" s="1" t="s">
        <v>16</v>
      </c>
      <c r="B117" s="1" t="s">
        <v>25</v>
      </c>
      <c r="C117" s="1" t="s">
        <v>18</v>
      </c>
      <c r="D117" s="1" t="s">
        <v>56</v>
      </c>
      <c r="E117" s="1">
        <v>2</v>
      </c>
      <c r="F117" s="1">
        <v>12692</v>
      </c>
      <c r="G117" s="1">
        <v>15</v>
      </c>
      <c r="H117" s="2">
        <v>46049</v>
      </c>
      <c r="I117" s="2">
        <v>46051</v>
      </c>
      <c r="J117" s="1" t="s">
        <v>15</v>
      </c>
      <c r="K117" s="1">
        <v>1116</v>
      </c>
      <c r="L117" s="1">
        <f t="shared" si="0"/>
        <v>21576.399999999998</v>
      </c>
      <c r="M117" s="1">
        <f t="shared" si="1"/>
        <v>1219742.43</v>
      </c>
      <c r="N117" s="1" t="str">
        <f t="shared" si="3"/>
        <v>Sneha</v>
      </c>
    </row>
    <row r="118" spans="1:14" x14ac:dyDescent="0.3">
      <c r="A118" s="1" t="s">
        <v>55</v>
      </c>
      <c r="B118" s="1" t="s">
        <v>43</v>
      </c>
      <c r="C118" s="1" t="s">
        <v>34</v>
      </c>
      <c r="D118" s="1" t="s">
        <v>39</v>
      </c>
      <c r="E118" s="1">
        <v>16</v>
      </c>
      <c r="F118" s="1">
        <v>33162</v>
      </c>
      <c r="G118" s="1">
        <v>7</v>
      </c>
      <c r="H118" s="2">
        <v>46147</v>
      </c>
      <c r="I118" s="2">
        <v>46155</v>
      </c>
      <c r="J118" s="1" t="s">
        <v>29</v>
      </c>
      <c r="K118" s="1">
        <v>1117</v>
      </c>
      <c r="L118" s="1">
        <f t="shared" si="0"/>
        <v>493450.55999999994</v>
      </c>
      <c r="M118" s="1">
        <f t="shared" si="1"/>
        <v>1219742.43</v>
      </c>
      <c r="N118" s="1" t="str">
        <f t="shared" si="3"/>
        <v>Sneha</v>
      </c>
    </row>
    <row r="119" spans="1:14" x14ac:dyDescent="0.3">
      <c r="A119" s="1" t="s">
        <v>21</v>
      </c>
      <c r="B119" s="1" t="s">
        <v>22</v>
      </c>
      <c r="C119" s="1" t="s">
        <v>18</v>
      </c>
      <c r="D119" s="1" t="s">
        <v>23</v>
      </c>
      <c r="E119" s="1">
        <v>18</v>
      </c>
      <c r="F119" s="1">
        <v>9118</v>
      </c>
      <c r="G119" s="1">
        <v>5</v>
      </c>
      <c r="H119" s="2">
        <v>46178</v>
      </c>
      <c r="I119" s="2">
        <v>46187</v>
      </c>
      <c r="J119" s="1" t="s">
        <v>29</v>
      </c>
      <c r="K119" s="1">
        <v>1118</v>
      </c>
      <c r="L119" s="1">
        <f t="shared" si="0"/>
        <v>155917.79999999999</v>
      </c>
      <c r="M119" s="1">
        <f t="shared" si="1"/>
        <v>1219742.43</v>
      </c>
      <c r="N119" s="1" t="str">
        <f t="shared" si="3"/>
        <v>Sneha</v>
      </c>
    </row>
    <row r="120" spans="1:14" x14ac:dyDescent="0.3">
      <c r="A120" s="1" t="s">
        <v>30</v>
      </c>
      <c r="B120" s="1" t="s">
        <v>43</v>
      </c>
      <c r="C120" s="1" t="s">
        <v>18</v>
      </c>
      <c r="D120" s="1" t="s">
        <v>28</v>
      </c>
      <c r="E120" s="1">
        <v>2</v>
      </c>
      <c r="F120" s="1">
        <v>3706</v>
      </c>
      <c r="G120" s="1">
        <v>5</v>
      </c>
      <c r="H120" s="2">
        <v>46184</v>
      </c>
      <c r="I120" s="2">
        <v>46192</v>
      </c>
      <c r="J120" s="1" t="s">
        <v>51</v>
      </c>
      <c r="K120" s="1">
        <v>1119</v>
      </c>
      <c r="L120" s="1">
        <f t="shared" si="0"/>
        <v>7041.4</v>
      </c>
      <c r="M120" s="1">
        <f t="shared" si="1"/>
        <v>1219742.43</v>
      </c>
      <c r="N120" s="1" t="str">
        <f t="shared" si="3"/>
        <v>Sneha</v>
      </c>
    </row>
    <row r="121" spans="1:14" x14ac:dyDescent="0.3">
      <c r="A121" s="1" t="s">
        <v>32</v>
      </c>
      <c r="B121" s="1" t="s">
        <v>38</v>
      </c>
      <c r="C121" s="1" t="s">
        <v>13</v>
      </c>
      <c r="D121" s="1" t="s">
        <v>36</v>
      </c>
      <c r="E121" s="1">
        <v>10</v>
      </c>
      <c r="F121" s="1">
        <v>438</v>
      </c>
      <c r="G121" s="1">
        <v>10</v>
      </c>
      <c r="H121" s="2">
        <v>46061</v>
      </c>
      <c r="I121" s="2">
        <v>46065</v>
      </c>
      <c r="J121" s="1" t="s">
        <v>51</v>
      </c>
      <c r="K121" s="1">
        <v>1120</v>
      </c>
      <c r="L121" s="1">
        <f t="shared" si="0"/>
        <v>3942</v>
      </c>
      <c r="M121" s="1">
        <f t="shared" si="1"/>
        <v>1219742.43</v>
      </c>
      <c r="N121" s="1" t="str">
        <f t="shared" si="3"/>
        <v>Sneha</v>
      </c>
    </row>
    <row r="122" spans="1:14" x14ac:dyDescent="0.3">
      <c r="A122" s="1" t="s">
        <v>29</v>
      </c>
      <c r="B122" s="1" t="s">
        <v>12</v>
      </c>
      <c r="C122" s="1" t="s">
        <v>34</v>
      </c>
      <c r="D122" s="1" t="s">
        <v>39</v>
      </c>
      <c r="E122" s="1">
        <v>4</v>
      </c>
      <c r="F122" s="1">
        <v>55809</v>
      </c>
      <c r="G122" s="1">
        <v>2</v>
      </c>
      <c r="H122" s="2">
        <v>46103</v>
      </c>
      <c r="I122" s="2">
        <v>46108</v>
      </c>
      <c r="J122" s="1" t="s">
        <v>29</v>
      </c>
      <c r="K122" s="1">
        <v>1121</v>
      </c>
      <c r="L122" s="1">
        <f t="shared" si="0"/>
        <v>218771.28</v>
      </c>
      <c r="M122" s="1">
        <f t="shared" si="1"/>
        <v>1219742.43</v>
      </c>
      <c r="N122" s="1" t="str">
        <f t="shared" si="3"/>
        <v>Sneha</v>
      </c>
    </row>
    <row r="123" spans="1:14" x14ac:dyDescent="0.3">
      <c r="A123" s="1" t="s">
        <v>40</v>
      </c>
      <c r="B123" s="1" t="s">
        <v>22</v>
      </c>
      <c r="C123" s="1" t="s">
        <v>34</v>
      </c>
      <c r="D123" s="1" t="s">
        <v>39</v>
      </c>
      <c r="E123" s="1">
        <v>14</v>
      </c>
      <c r="F123" s="1">
        <v>49990</v>
      </c>
      <c r="G123" s="1">
        <v>10</v>
      </c>
      <c r="H123" s="2">
        <v>46132</v>
      </c>
      <c r="I123" s="2">
        <v>46135</v>
      </c>
      <c r="J123" s="1" t="s">
        <v>29</v>
      </c>
      <c r="K123" s="1">
        <v>1122</v>
      </c>
      <c r="L123" s="1">
        <f t="shared" si="0"/>
        <v>629874</v>
      </c>
      <c r="M123" s="1">
        <f t="shared" si="1"/>
        <v>1219742.43</v>
      </c>
      <c r="N123" s="1" t="str">
        <f t="shared" si="3"/>
        <v>Sneha</v>
      </c>
    </row>
    <row r="124" spans="1:14" x14ac:dyDescent="0.3">
      <c r="A124" s="1" t="s">
        <v>32</v>
      </c>
      <c r="B124" s="1" t="s">
        <v>31</v>
      </c>
      <c r="C124" s="1" t="s">
        <v>34</v>
      </c>
      <c r="D124" s="1" t="s">
        <v>45</v>
      </c>
      <c r="E124" s="1">
        <v>16</v>
      </c>
      <c r="F124" s="1">
        <v>1332</v>
      </c>
      <c r="G124" s="1">
        <v>7</v>
      </c>
      <c r="H124" s="2">
        <v>46107</v>
      </c>
      <c r="I124" s="2">
        <v>46109</v>
      </c>
      <c r="J124" s="1" t="s">
        <v>29</v>
      </c>
      <c r="K124" s="1">
        <v>1123</v>
      </c>
      <c r="L124" s="1">
        <f t="shared" si="0"/>
        <v>19820.16</v>
      </c>
      <c r="M124" s="1">
        <f t="shared" si="1"/>
        <v>1219742.43</v>
      </c>
      <c r="N124" s="1" t="str">
        <f t="shared" si="3"/>
        <v>Sneha</v>
      </c>
    </row>
    <row r="125" spans="1:14" x14ac:dyDescent="0.3">
      <c r="A125" s="1" t="s">
        <v>27</v>
      </c>
      <c r="B125" s="1" t="s">
        <v>38</v>
      </c>
      <c r="C125" s="1" t="s">
        <v>18</v>
      </c>
      <c r="D125" s="1" t="s">
        <v>56</v>
      </c>
      <c r="E125" s="1">
        <v>4</v>
      </c>
      <c r="F125" s="1">
        <v>14195</v>
      </c>
      <c r="G125" s="1">
        <v>15</v>
      </c>
      <c r="H125" s="2">
        <v>46182</v>
      </c>
      <c r="I125" s="2">
        <v>46189</v>
      </c>
      <c r="J125" s="1" t="s">
        <v>51</v>
      </c>
      <c r="K125" s="1">
        <v>1124</v>
      </c>
      <c r="L125" s="1">
        <f t="shared" si="0"/>
        <v>48263</v>
      </c>
      <c r="M125" s="1">
        <f t="shared" si="1"/>
        <v>1219742.43</v>
      </c>
      <c r="N125" s="1" t="str">
        <f t="shared" si="3"/>
        <v>Sneha</v>
      </c>
    </row>
    <row r="126" spans="1:14" x14ac:dyDescent="0.3">
      <c r="A126" s="1" t="s">
        <v>49</v>
      </c>
      <c r="B126" s="1" t="s">
        <v>33</v>
      </c>
      <c r="C126" s="1" t="s">
        <v>13</v>
      </c>
      <c r="D126" s="1" t="s">
        <v>14</v>
      </c>
      <c r="E126" s="1">
        <v>6</v>
      </c>
      <c r="F126" s="1">
        <v>30</v>
      </c>
      <c r="G126" s="1">
        <v>2</v>
      </c>
      <c r="H126" s="2">
        <v>46133</v>
      </c>
      <c r="I126" s="2">
        <v>46138</v>
      </c>
      <c r="J126" s="1" t="s">
        <v>24</v>
      </c>
      <c r="K126" s="1">
        <v>1125</v>
      </c>
      <c r="L126" s="1">
        <f t="shared" si="0"/>
        <v>176.4</v>
      </c>
      <c r="M126" s="1">
        <f t="shared" si="1"/>
        <v>1219742.43</v>
      </c>
      <c r="N126" s="1" t="str">
        <f t="shared" si="3"/>
        <v>Sneha</v>
      </c>
    </row>
    <row r="127" spans="1:14" x14ac:dyDescent="0.3">
      <c r="A127" s="1" t="s">
        <v>46</v>
      </c>
      <c r="B127" s="1" t="s">
        <v>22</v>
      </c>
      <c r="C127" s="1" t="s">
        <v>34</v>
      </c>
      <c r="D127" s="1" t="s">
        <v>39</v>
      </c>
      <c r="E127" s="1">
        <v>17</v>
      </c>
      <c r="F127" s="1">
        <v>19390</v>
      </c>
      <c r="G127" s="1">
        <v>12</v>
      </c>
      <c r="H127" s="2">
        <v>46201</v>
      </c>
      <c r="I127" s="2">
        <v>46206</v>
      </c>
      <c r="J127" s="1" t="s">
        <v>29</v>
      </c>
      <c r="K127" s="1">
        <v>1126</v>
      </c>
      <c r="L127" s="1">
        <f t="shared" si="0"/>
        <v>290074.40000000002</v>
      </c>
      <c r="M127" s="1">
        <f t="shared" si="1"/>
        <v>1219742.43</v>
      </c>
      <c r="N127" s="1" t="str">
        <f t="shared" si="3"/>
        <v>Sneha</v>
      </c>
    </row>
    <row r="128" spans="1:14" x14ac:dyDescent="0.3">
      <c r="A128" s="1" t="s">
        <v>26</v>
      </c>
      <c r="B128" s="1" t="s">
        <v>33</v>
      </c>
      <c r="C128" s="1" t="s">
        <v>18</v>
      </c>
      <c r="D128" s="1" t="s">
        <v>28</v>
      </c>
      <c r="E128" s="1">
        <v>15</v>
      </c>
      <c r="F128" s="1">
        <v>11694</v>
      </c>
      <c r="G128" s="1">
        <v>12</v>
      </c>
      <c r="H128" s="2">
        <v>46170</v>
      </c>
      <c r="I128" s="2">
        <v>46179</v>
      </c>
      <c r="J128" s="1" t="s">
        <v>29</v>
      </c>
      <c r="K128" s="1">
        <v>1127</v>
      </c>
      <c r="L128" s="1">
        <f t="shared" si="0"/>
        <v>154360.79999999999</v>
      </c>
      <c r="M128" s="1">
        <f t="shared" si="1"/>
        <v>1219742.43</v>
      </c>
      <c r="N128" s="1" t="str">
        <f t="shared" si="3"/>
        <v>Sneha</v>
      </c>
    </row>
    <row r="129" spans="1:14" x14ac:dyDescent="0.3">
      <c r="A129" s="1" t="s">
        <v>30</v>
      </c>
      <c r="B129" s="1" t="s">
        <v>22</v>
      </c>
      <c r="C129" s="1" t="s">
        <v>34</v>
      </c>
      <c r="D129" s="1" t="s">
        <v>61</v>
      </c>
      <c r="E129" s="1">
        <v>6</v>
      </c>
      <c r="F129" s="1">
        <v>5001</v>
      </c>
      <c r="G129" s="1">
        <v>7</v>
      </c>
      <c r="H129" s="2">
        <v>46044</v>
      </c>
      <c r="I129" s="2">
        <v>46050</v>
      </c>
      <c r="J129" s="1" t="s">
        <v>29</v>
      </c>
      <c r="K129" s="1">
        <v>1128</v>
      </c>
      <c r="L129" s="1">
        <f t="shared" si="0"/>
        <v>27905.579999999998</v>
      </c>
      <c r="M129" s="1">
        <f t="shared" si="1"/>
        <v>1219742.43</v>
      </c>
      <c r="N129" s="1" t="str">
        <f t="shared" si="3"/>
        <v>Sneha</v>
      </c>
    </row>
    <row r="130" spans="1:14" x14ac:dyDescent="0.3">
      <c r="A130" s="1" t="s">
        <v>58</v>
      </c>
      <c r="B130" s="1" t="s">
        <v>17</v>
      </c>
      <c r="C130" s="1" t="s">
        <v>13</v>
      </c>
      <c r="D130" s="1" t="s">
        <v>50</v>
      </c>
      <c r="E130" s="1">
        <v>15</v>
      </c>
      <c r="F130" s="1">
        <v>75</v>
      </c>
      <c r="G130" s="1">
        <v>7</v>
      </c>
      <c r="H130" s="2">
        <v>46160</v>
      </c>
      <c r="I130" s="2">
        <v>46164</v>
      </c>
      <c r="J130" s="1" t="s">
        <v>29</v>
      </c>
      <c r="K130" s="1">
        <v>1129</v>
      </c>
      <c r="L130" s="1">
        <f t="shared" si="0"/>
        <v>1046.25</v>
      </c>
      <c r="M130" s="1">
        <f t="shared" si="1"/>
        <v>1219742.43</v>
      </c>
      <c r="N130" s="1" t="str">
        <f t="shared" si="3"/>
        <v>Sneha</v>
      </c>
    </row>
    <row r="131" spans="1:14" x14ac:dyDescent="0.3">
      <c r="A131" s="1" t="s">
        <v>48</v>
      </c>
      <c r="B131" s="1" t="s">
        <v>33</v>
      </c>
      <c r="C131" s="1" t="s">
        <v>13</v>
      </c>
      <c r="D131" s="1" t="s">
        <v>14</v>
      </c>
      <c r="E131" s="1">
        <v>12</v>
      </c>
      <c r="F131" s="1">
        <v>50</v>
      </c>
      <c r="G131" s="1">
        <v>2</v>
      </c>
      <c r="H131" s="2">
        <v>46125</v>
      </c>
      <c r="I131" s="2">
        <v>46131</v>
      </c>
      <c r="J131" s="1" t="s">
        <v>24</v>
      </c>
      <c r="K131" s="1">
        <v>1130</v>
      </c>
      <c r="L131" s="1">
        <f t="shared" si="0"/>
        <v>588</v>
      </c>
      <c r="M131" s="1">
        <f t="shared" si="1"/>
        <v>1219742.43</v>
      </c>
      <c r="N131" s="1" t="str">
        <f t="shared" ref="N131:N194" si="4">_xlfn.XLOOKUP(M131,L131:L530,A131:A530)</f>
        <v>Sneha</v>
      </c>
    </row>
    <row r="132" spans="1:14" x14ac:dyDescent="0.3">
      <c r="A132" s="1" t="s">
        <v>21</v>
      </c>
      <c r="B132" s="1" t="s">
        <v>31</v>
      </c>
      <c r="C132" s="1" t="s">
        <v>18</v>
      </c>
      <c r="D132" s="1" t="s">
        <v>23</v>
      </c>
      <c r="E132" s="1">
        <v>13</v>
      </c>
      <c r="F132" s="1">
        <v>3083</v>
      </c>
      <c r="G132" s="1">
        <v>7</v>
      </c>
      <c r="H132" s="2">
        <v>46168</v>
      </c>
      <c r="I132" s="2">
        <v>46173</v>
      </c>
      <c r="J132" s="1" t="s">
        <v>51</v>
      </c>
      <c r="K132" s="1">
        <v>1131</v>
      </c>
      <c r="L132" s="1">
        <f t="shared" si="0"/>
        <v>37273.469999999994</v>
      </c>
      <c r="M132" s="1">
        <f t="shared" si="1"/>
        <v>1219742.43</v>
      </c>
      <c r="N132" s="1" t="str">
        <f t="shared" si="4"/>
        <v>Sneha</v>
      </c>
    </row>
    <row r="133" spans="1:14" x14ac:dyDescent="0.3">
      <c r="A133" s="1" t="s">
        <v>11</v>
      </c>
      <c r="B133" s="1" t="s">
        <v>31</v>
      </c>
      <c r="C133" s="1" t="s">
        <v>13</v>
      </c>
      <c r="D133" s="1" t="s">
        <v>50</v>
      </c>
      <c r="E133" s="1">
        <v>10</v>
      </c>
      <c r="F133" s="1">
        <v>270</v>
      </c>
      <c r="G133" s="1">
        <v>7</v>
      </c>
      <c r="H133" s="2">
        <v>46024</v>
      </c>
      <c r="I133" s="2">
        <v>46034</v>
      </c>
      <c r="J133" s="1" t="s">
        <v>24</v>
      </c>
      <c r="K133" s="1">
        <v>1132</v>
      </c>
      <c r="L133" s="1">
        <f t="shared" si="0"/>
        <v>2511</v>
      </c>
      <c r="M133" s="1">
        <f t="shared" si="1"/>
        <v>1219742.43</v>
      </c>
      <c r="N133" s="1" t="str">
        <f t="shared" si="4"/>
        <v>Sneha</v>
      </c>
    </row>
    <row r="134" spans="1:14" x14ac:dyDescent="0.3">
      <c r="A134" s="1" t="s">
        <v>11</v>
      </c>
      <c r="B134" s="1" t="s">
        <v>12</v>
      </c>
      <c r="C134" s="1" t="s">
        <v>18</v>
      </c>
      <c r="D134" s="1" t="s">
        <v>56</v>
      </c>
      <c r="E134" s="1">
        <v>6</v>
      </c>
      <c r="F134" s="1">
        <v>9037</v>
      </c>
      <c r="G134" s="1">
        <v>2</v>
      </c>
      <c r="H134" s="2">
        <v>46112</v>
      </c>
      <c r="I134" s="2">
        <v>46121</v>
      </c>
      <c r="J134" s="1" t="s">
        <v>51</v>
      </c>
      <c r="K134" s="1">
        <v>1133</v>
      </c>
      <c r="L134" s="1">
        <f t="shared" si="0"/>
        <v>53137.56</v>
      </c>
      <c r="M134" s="1">
        <f t="shared" si="1"/>
        <v>1219742.43</v>
      </c>
      <c r="N134" s="1" t="str">
        <f t="shared" si="4"/>
        <v>Sneha</v>
      </c>
    </row>
    <row r="135" spans="1:14" x14ac:dyDescent="0.3">
      <c r="A135" s="1" t="s">
        <v>57</v>
      </c>
      <c r="B135" s="1" t="s">
        <v>31</v>
      </c>
      <c r="C135" s="1" t="s">
        <v>34</v>
      </c>
      <c r="D135" s="1" t="s">
        <v>61</v>
      </c>
      <c r="E135" s="1">
        <v>10</v>
      </c>
      <c r="F135" s="1">
        <v>29217</v>
      </c>
      <c r="G135" s="1">
        <v>15</v>
      </c>
      <c r="H135" s="2">
        <v>46148</v>
      </c>
      <c r="I135" s="2">
        <v>46150</v>
      </c>
      <c r="J135" s="1" t="s">
        <v>24</v>
      </c>
      <c r="K135" s="1">
        <v>1134</v>
      </c>
      <c r="L135" s="1">
        <f t="shared" si="0"/>
        <v>248344.5</v>
      </c>
      <c r="M135" s="1">
        <f t="shared" si="1"/>
        <v>1219742.43</v>
      </c>
      <c r="N135" s="1" t="str">
        <f t="shared" si="4"/>
        <v>Sneha</v>
      </c>
    </row>
    <row r="136" spans="1:14" x14ac:dyDescent="0.3">
      <c r="A136" s="1" t="s">
        <v>49</v>
      </c>
      <c r="B136" s="1" t="s">
        <v>43</v>
      </c>
      <c r="C136" s="1" t="s">
        <v>34</v>
      </c>
      <c r="D136" s="1" t="s">
        <v>39</v>
      </c>
      <c r="E136" s="1">
        <v>14</v>
      </c>
      <c r="F136" s="1">
        <v>68534</v>
      </c>
      <c r="G136" s="1">
        <v>0</v>
      </c>
      <c r="H136" s="2">
        <v>46041</v>
      </c>
      <c r="I136" s="2">
        <v>46042</v>
      </c>
      <c r="J136" s="1" t="s">
        <v>15</v>
      </c>
      <c r="K136" s="1">
        <v>1135</v>
      </c>
      <c r="L136" s="1">
        <f t="shared" si="0"/>
        <v>959476</v>
      </c>
      <c r="M136" s="1">
        <f t="shared" si="1"/>
        <v>1219742.43</v>
      </c>
      <c r="N136" s="1" t="str">
        <f t="shared" si="4"/>
        <v>Sneha</v>
      </c>
    </row>
    <row r="137" spans="1:14" x14ac:dyDescent="0.3">
      <c r="A137" s="1" t="s">
        <v>27</v>
      </c>
      <c r="B137" s="1" t="s">
        <v>43</v>
      </c>
      <c r="C137" s="1" t="s">
        <v>18</v>
      </c>
      <c r="D137" s="1" t="s">
        <v>56</v>
      </c>
      <c r="E137" s="1">
        <v>19</v>
      </c>
      <c r="F137" s="1">
        <v>14528</v>
      </c>
      <c r="G137" s="1">
        <v>12</v>
      </c>
      <c r="H137" s="2">
        <v>46056</v>
      </c>
      <c r="I137" s="2">
        <v>46062</v>
      </c>
      <c r="J137" s="1" t="s">
        <v>24</v>
      </c>
      <c r="K137" s="1">
        <v>1136</v>
      </c>
      <c r="L137" s="1">
        <f t="shared" si="0"/>
        <v>242908.16</v>
      </c>
      <c r="M137" s="1">
        <f t="shared" si="1"/>
        <v>1219742.43</v>
      </c>
      <c r="N137" s="1" t="str">
        <f t="shared" si="4"/>
        <v>Sneha</v>
      </c>
    </row>
    <row r="138" spans="1:14" x14ac:dyDescent="0.3">
      <c r="A138" s="1" t="s">
        <v>52</v>
      </c>
      <c r="B138" s="1" t="s">
        <v>12</v>
      </c>
      <c r="C138" s="1" t="s">
        <v>13</v>
      </c>
      <c r="D138" s="1" t="s">
        <v>37</v>
      </c>
      <c r="E138" s="1">
        <v>16</v>
      </c>
      <c r="F138" s="1">
        <v>270</v>
      </c>
      <c r="G138" s="1">
        <v>10</v>
      </c>
      <c r="H138" s="2">
        <v>46184</v>
      </c>
      <c r="I138" s="2">
        <v>46190</v>
      </c>
      <c r="J138" s="1" t="s">
        <v>29</v>
      </c>
      <c r="K138" s="1">
        <v>1137</v>
      </c>
      <c r="L138" s="1">
        <f t="shared" si="0"/>
        <v>3888</v>
      </c>
      <c r="M138" s="1">
        <f t="shared" si="1"/>
        <v>1219742.43</v>
      </c>
      <c r="N138" s="1" t="str">
        <f t="shared" si="4"/>
        <v>Sneha</v>
      </c>
    </row>
    <row r="139" spans="1:14" x14ac:dyDescent="0.3">
      <c r="A139" s="1" t="s">
        <v>55</v>
      </c>
      <c r="B139" s="1" t="s">
        <v>43</v>
      </c>
      <c r="C139" s="1" t="s">
        <v>18</v>
      </c>
      <c r="D139" s="1" t="s">
        <v>19</v>
      </c>
      <c r="E139" s="1">
        <v>5</v>
      </c>
      <c r="F139" s="1">
        <v>14466</v>
      </c>
      <c r="G139" s="1">
        <v>2</v>
      </c>
      <c r="H139" s="2">
        <v>46084</v>
      </c>
      <c r="I139" s="2">
        <v>46092</v>
      </c>
      <c r="J139" s="1" t="s">
        <v>51</v>
      </c>
      <c r="K139" s="1">
        <v>1138</v>
      </c>
      <c r="L139" s="1">
        <f t="shared" si="0"/>
        <v>70883.399999999994</v>
      </c>
      <c r="M139" s="1">
        <f t="shared" si="1"/>
        <v>1219742.43</v>
      </c>
      <c r="N139" s="1" t="str">
        <f t="shared" si="4"/>
        <v>Sneha</v>
      </c>
    </row>
    <row r="140" spans="1:14" x14ac:dyDescent="0.3">
      <c r="A140" s="1" t="s">
        <v>55</v>
      </c>
      <c r="B140" s="1" t="s">
        <v>33</v>
      </c>
      <c r="C140" s="1" t="s">
        <v>34</v>
      </c>
      <c r="D140" s="1" t="s">
        <v>61</v>
      </c>
      <c r="E140" s="1">
        <v>17</v>
      </c>
      <c r="F140" s="1">
        <v>28839</v>
      </c>
      <c r="G140" s="1">
        <v>10</v>
      </c>
      <c r="H140" s="2">
        <v>46093</v>
      </c>
      <c r="I140" s="2">
        <v>46099</v>
      </c>
      <c r="J140" s="1" t="s">
        <v>15</v>
      </c>
      <c r="K140" s="1">
        <v>1139</v>
      </c>
      <c r="L140" s="1">
        <f t="shared" si="0"/>
        <v>441236.7</v>
      </c>
      <c r="M140" s="1">
        <f t="shared" si="1"/>
        <v>1219742.43</v>
      </c>
      <c r="N140" s="1" t="str">
        <f t="shared" si="4"/>
        <v>Sneha</v>
      </c>
    </row>
    <row r="141" spans="1:14" x14ac:dyDescent="0.3">
      <c r="A141" s="1" t="s">
        <v>57</v>
      </c>
      <c r="B141" s="1" t="s">
        <v>38</v>
      </c>
      <c r="C141" s="1" t="s">
        <v>34</v>
      </c>
      <c r="D141" s="1" t="s">
        <v>41</v>
      </c>
      <c r="E141" s="1">
        <v>5</v>
      </c>
      <c r="F141" s="1">
        <v>68012</v>
      </c>
      <c r="G141" s="1">
        <v>5</v>
      </c>
      <c r="H141" s="2">
        <v>46061</v>
      </c>
      <c r="I141" s="2">
        <v>46065</v>
      </c>
      <c r="J141" s="1" t="s">
        <v>15</v>
      </c>
      <c r="K141" s="1">
        <v>1140</v>
      </c>
      <c r="L141" s="1">
        <f t="shared" si="0"/>
        <v>323057</v>
      </c>
      <c r="M141" s="1">
        <f t="shared" si="1"/>
        <v>1219742.43</v>
      </c>
      <c r="N141" s="1" t="str">
        <f t="shared" si="4"/>
        <v>Sneha</v>
      </c>
    </row>
    <row r="142" spans="1:14" x14ac:dyDescent="0.3">
      <c r="A142" s="1" t="s">
        <v>11</v>
      </c>
      <c r="B142" s="1" t="s">
        <v>17</v>
      </c>
      <c r="C142" s="1" t="s">
        <v>18</v>
      </c>
      <c r="D142" s="1" t="s">
        <v>44</v>
      </c>
      <c r="E142" s="1">
        <v>20</v>
      </c>
      <c r="F142" s="1">
        <v>6835</v>
      </c>
      <c r="G142" s="1">
        <v>2</v>
      </c>
      <c r="H142" s="2">
        <v>46043</v>
      </c>
      <c r="I142" s="2">
        <v>46053</v>
      </c>
      <c r="J142" s="1" t="s">
        <v>15</v>
      </c>
      <c r="K142" s="1">
        <v>1141</v>
      </c>
      <c r="L142" s="1">
        <f t="shared" si="0"/>
        <v>133966</v>
      </c>
      <c r="M142" s="1">
        <f t="shared" si="1"/>
        <v>1219742.43</v>
      </c>
      <c r="N142" s="1" t="str">
        <f t="shared" si="4"/>
        <v>Sneha</v>
      </c>
    </row>
    <row r="143" spans="1:14" x14ac:dyDescent="0.3">
      <c r="A143" s="1" t="s">
        <v>40</v>
      </c>
      <c r="B143" s="1" t="s">
        <v>25</v>
      </c>
      <c r="C143" s="1" t="s">
        <v>34</v>
      </c>
      <c r="D143" s="1" t="s">
        <v>60</v>
      </c>
      <c r="E143" s="1">
        <v>9</v>
      </c>
      <c r="F143" s="1">
        <v>59788</v>
      </c>
      <c r="G143" s="1">
        <v>7</v>
      </c>
      <c r="H143" s="2">
        <v>46064</v>
      </c>
      <c r="I143" s="2">
        <v>46071</v>
      </c>
      <c r="J143" s="1" t="s">
        <v>29</v>
      </c>
      <c r="K143" s="1">
        <v>1142</v>
      </c>
      <c r="L143" s="1">
        <f t="shared" si="0"/>
        <v>500425.55999999994</v>
      </c>
      <c r="M143" s="1">
        <f t="shared" si="1"/>
        <v>1219742.43</v>
      </c>
      <c r="N143" s="1" t="str">
        <f t="shared" si="4"/>
        <v>Sneha</v>
      </c>
    </row>
    <row r="144" spans="1:14" x14ac:dyDescent="0.3">
      <c r="A144" s="1" t="s">
        <v>29</v>
      </c>
      <c r="B144" s="1" t="s">
        <v>17</v>
      </c>
      <c r="C144" s="1" t="s">
        <v>13</v>
      </c>
      <c r="D144" s="1" t="s">
        <v>37</v>
      </c>
      <c r="E144" s="1">
        <v>13</v>
      </c>
      <c r="F144" s="1">
        <v>456</v>
      </c>
      <c r="G144" s="1">
        <v>2</v>
      </c>
      <c r="H144" s="2">
        <v>46160</v>
      </c>
      <c r="I144" s="2">
        <v>46167</v>
      </c>
      <c r="J144" s="1" t="s">
        <v>24</v>
      </c>
      <c r="K144" s="1">
        <v>1143</v>
      </c>
      <c r="L144" s="1">
        <f t="shared" si="0"/>
        <v>5809.44</v>
      </c>
      <c r="M144" s="1">
        <f t="shared" si="1"/>
        <v>1219742.43</v>
      </c>
      <c r="N144" s="1" t="str">
        <f t="shared" si="4"/>
        <v>Sneha</v>
      </c>
    </row>
    <row r="145" spans="1:14" x14ac:dyDescent="0.3">
      <c r="A145" s="1" t="s">
        <v>42</v>
      </c>
      <c r="B145" s="1" t="s">
        <v>25</v>
      </c>
      <c r="C145" s="1" t="s">
        <v>13</v>
      </c>
      <c r="D145" s="1" t="s">
        <v>14</v>
      </c>
      <c r="E145" s="1">
        <v>16</v>
      </c>
      <c r="F145" s="1">
        <v>219</v>
      </c>
      <c r="G145" s="1">
        <v>7</v>
      </c>
      <c r="H145" s="2">
        <v>46138</v>
      </c>
      <c r="I145" s="2">
        <v>46140</v>
      </c>
      <c r="J145" s="1" t="s">
        <v>20</v>
      </c>
      <c r="K145" s="1">
        <v>1144</v>
      </c>
      <c r="L145" s="1">
        <f t="shared" si="0"/>
        <v>3258.72</v>
      </c>
      <c r="M145" s="1">
        <f t="shared" si="1"/>
        <v>1219742.43</v>
      </c>
      <c r="N145" s="1" t="str">
        <f t="shared" si="4"/>
        <v>Sneha</v>
      </c>
    </row>
    <row r="146" spans="1:14" x14ac:dyDescent="0.3">
      <c r="A146" s="1" t="s">
        <v>42</v>
      </c>
      <c r="B146" s="1" t="s">
        <v>33</v>
      </c>
      <c r="C146" s="1" t="s">
        <v>34</v>
      </c>
      <c r="D146" s="1" t="s">
        <v>39</v>
      </c>
      <c r="E146" s="1">
        <v>2</v>
      </c>
      <c r="F146" s="1">
        <v>34429</v>
      </c>
      <c r="G146" s="1">
        <v>12</v>
      </c>
      <c r="H146" s="2">
        <v>46102</v>
      </c>
      <c r="I146" s="2">
        <v>46112</v>
      </c>
      <c r="J146" s="1" t="s">
        <v>24</v>
      </c>
      <c r="K146" s="1">
        <v>1145</v>
      </c>
      <c r="L146" s="1">
        <f t="shared" si="0"/>
        <v>60595.040000000001</v>
      </c>
      <c r="M146" s="1">
        <f t="shared" si="1"/>
        <v>1219742.43</v>
      </c>
      <c r="N146" s="1" t="str">
        <f t="shared" si="4"/>
        <v>Sneha</v>
      </c>
    </row>
    <row r="147" spans="1:14" x14ac:dyDescent="0.3">
      <c r="A147" s="1" t="s">
        <v>16</v>
      </c>
      <c r="B147" s="1" t="s">
        <v>43</v>
      </c>
      <c r="C147" s="1" t="s">
        <v>34</v>
      </c>
      <c r="D147" s="1" t="s">
        <v>45</v>
      </c>
      <c r="E147" s="1">
        <v>7</v>
      </c>
      <c r="F147" s="1">
        <v>68217</v>
      </c>
      <c r="G147" s="1">
        <v>0</v>
      </c>
      <c r="H147" s="2">
        <v>46190</v>
      </c>
      <c r="I147" s="2">
        <v>46197</v>
      </c>
      <c r="J147" s="1" t="s">
        <v>29</v>
      </c>
      <c r="K147" s="1">
        <v>1146</v>
      </c>
      <c r="L147" s="1">
        <f t="shared" si="0"/>
        <v>477519</v>
      </c>
      <c r="M147" s="1">
        <f t="shared" si="1"/>
        <v>1219742.43</v>
      </c>
      <c r="N147" s="1" t="str">
        <f t="shared" si="4"/>
        <v>Sneha</v>
      </c>
    </row>
    <row r="148" spans="1:14" x14ac:dyDescent="0.3">
      <c r="A148" s="1" t="s">
        <v>11</v>
      </c>
      <c r="B148" s="1" t="s">
        <v>22</v>
      </c>
      <c r="C148" s="1" t="s">
        <v>18</v>
      </c>
      <c r="D148" s="1" t="s">
        <v>28</v>
      </c>
      <c r="E148" s="1">
        <v>7</v>
      </c>
      <c r="F148" s="1">
        <v>9581</v>
      </c>
      <c r="G148" s="1">
        <v>5</v>
      </c>
      <c r="H148" s="2">
        <v>46154</v>
      </c>
      <c r="I148" s="2">
        <v>46155</v>
      </c>
      <c r="J148" s="1" t="s">
        <v>20</v>
      </c>
      <c r="K148" s="1">
        <v>1147</v>
      </c>
      <c r="L148" s="1">
        <f t="shared" si="0"/>
        <v>63713.649999999994</v>
      </c>
      <c r="M148" s="1">
        <f t="shared" si="1"/>
        <v>1219742.43</v>
      </c>
      <c r="N148" s="1" t="str">
        <f t="shared" si="4"/>
        <v>Sneha</v>
      </c>
    </row>
    <row r="149" spans="1:14" x14ac:dyDescent="0.3">
      <c r="A149" s="1" t="s">
        <v>59</v>
      </c>
      <c r="B149" s="1" t="s">
        <v>33</v>
      </c>
      <c r="C149" s="1" t="s">
        <v>18</v>
      </c>
      <c r="D149" s="1" t="s">
        <v>28</v>
      </c>
      <c r="E149" s="1">
        <v>11</v>
      </c>
      <c r="F149" s="1">
        <v>3023</v>
      </c>
      <c r="G149" s="1">
        <v>7</v>
      </c>
      <c r="H149" s="2">
        <v>46030</v>
      </c>
      <c r="I149" s="2">
        <v>46032</v>
      </c>
      <c r="J149" s="1" t="s">
        <v>24</v>
      </c>
      <c r="K149" s="1">
        <v>1148</v>
      </c>
      <c r="L149" s="1">
        <f t="shared" si="0"/>
        <v>30925.289999999997</v>
      </c>
      <c r="M149" s="1">
        <f t="shared" si="1"/>
        <v>1219742.43</v>
      </c>
      <c r="N149" s="1" t="str">
        <f t="shared" si="4"/>
        <v>Sneha</v>
      </c>
    </row>
    <row r="150" spans="1:14" x14ac:dyDescent="0.3">
      <c r="A150" s="1" t="s">
        <v>26</v>
      </c>
      <c r="B150" s="1" t="s">
        <v>38</v>
      </c>
      <c r="C150" s="1" t="s">
        <v>34</v>
      </c>
      <c r="D150" s="1" t="s">
        <v>35</v>
      </c>
      <c r="E150" s="1">
        <v>10</v>
      </c>
      <c r="F150" s="1">
        <v>22853</v>
      </c>
      <c r="G150" s="1">
        <v>7</v>
      </c>
      <c r="H150" s="2">
        <v>46053</v>
      </c>
      <c r="I150" s="2">
        <v>46054</v>
      </c>
      <c r="J150" s="1" t="s">
        <v>29</v>
      </c>
      <c r="K150" s="1">
        <v>1149</v>
      </c>
      <c r="L150" s="1">
        <f t="shared" si="0"/>
        <v>212532.9</v>
      </c>
      <c r="M150" s="1">
        <f t="shared" si="1"/>
        <v>1219742.43</v>
      </c>
      <c r="N150" s="1" t="str">
        <f t="shared" si="4"/>
        <v>Sneha</v>
      </c>
    </row>
    <row r="151" spans="1:14" x14ac:dyDescent="0.3">
      <c r="A151" s="1" t="s">
        <v>42</v>
      </c>
      <c r="B151" s="1" t="s">
        <v>12</v>
      </c>
      <c r="C151" s="1" t="s">
        <v>18</v>
      </c>
      <c r="D151" s="1" t="s">
        <v>56</v>
      </c>
      <c r="E151" s="1">
        <v>10</v>
      </c>
      <c r="F151" s="1">
        <v>5323</v>
      </c>
      <c r="G151" s="1">
        <v>7</v>
      </c>
      <c r="H151" s="2">
        <v>46143</v>
      </c>
      <c r="I151" s="2">
        <v>46153</v>
      </c>
      <c r="J151" s="1" t="s">
        <v>24</v>
      </c>
      <c r="K151" s="1">
        <v>1150</v>
      </c>
      <c r="L151" s="1">
        <f t="shared" si="0"/>
        <v>49503.899999999994</v>
      </c>
      <c r="M151" s="1">
        <f t="shared" si="1"/>
        <v>1219742.43</v>
      </c>
      <c r="N151" s="1" t="str">
        <f t="shared" si="4"/>
        <v>Sneha</v>
      </c>
    </row>
    <row r="152" spans="1:14" x14ac:dyDescent="0.3">
      <c r="A152" s="1" t="s">
        <v>46</v>
      </c>
      <c r="B152" s="1" t="s">
        <v>43</v>
      </c>
      <c r="C152" s="1" t="s">
        <v>13</v>
      </c>
      <c r="D152" s="1" t="s">
        <v>50</v>
      </c>
      <c r="E152" s="1">
        <v>20</v>
      </c>
      <c r="F152" s="1">
        <v>272</v>
      </c>
      <c r="G152" s="1">
        <v>15</v>
      </c>
      <c r="H152" s="2">
        <v>46024</v>
      </c>
      <c r="I152" s="2">
        <v>46029</v>
      </c>
      <c r="J152" s="1" t="s">
        <v>51</v>
      </c>
      <c r="K152" s="1">
        <v>1151</v>
      </c>
      <c r="L152" s="1">
        <f t="shared" si="0"/>
        <v>4624</v>
      </c>
      <c r="M152" s="1">
        <f t="shared" si="1"/>
        <v>1219742.43</v>
      </c>
      <c r="N152" s="1" t="str">
        <f t="shared" si="4"/>
        <v>Sneha</v>
      </c>
    </row>
    <row r="153" spans="1:14" x14ac:dyDescent="0.3">
      <c r="A153" s="1" t="s">
        <v>27</v>
      </c>
      <c r="B153" s="1" t="s">
        <v>31</v>
      </c>
      <c r="C153" s="1" t="s">
        <v>34</v>
      </c>
      <c r="D153" s="1" t="s">
        <v>61</v>
      </c>
      <c r="E153" s="1">
        <v>14</v>
      </c>
      <c r="F153" s="1">
        <v>8150</v>
      </c>
      <c r="G153" s="1">
        <v>10</v>
      </c>
      <c r="H153" s="2">
        <v>46062</v>
      </c>
      <c r="I153" s="2">
        <v>46070</v>
      </c>
      <c r="J153" s="1" t="s">
        <v>15</v>
      </c>
      <c r="K153" s="1">
        <v>1152</v>
      </c>
      <c r="L153" s="1">
        <f t="shared" si="0"/>
        <v>102690</v>
      </c>
      <c r="M153" s="1">
        <f t="shared" si="1"/>
        <v>1219742.43</v>
      </c>
      <c r="N153" s="1" t="str">
        <f t="shared" si="4"/>
        <v>Sneha</v>
      </c>
    </row>
    <row r="154" spans="1:14" x14ac:dyDescent="0.3">
      <c r="A154" s="1" t="s">
        <v>42</v>
      </c>
      <c r="B154" s="1" t="s">
        <v>25</v>
      </c>
      <c r="C154" s="1" t="s">
        <v>18</v>
      </c>
      <c r="D154" s="1" t="s">
        <v>23</v>
      </c>
      <c r="E154" s="1">
        <v>19</v>
      </c>
      <c r="F154" s="1">
        <v>10273</v>
      </c>
      <c r="G154" s="1">
        <v>12</v>
      </c>
      <c r="H154" s="2">
        <v>46069</v>
      </c>
      <c r="I154" s="2">
        <v>46072</v>
      </c>
      <c r="J154" s="1" t="s">
        <v>29</v>
      </c>
      <c r="K154" s="1">
        <v>1153</v>
      </c>
      <c r="L154" s="1">
        <f t="shared" si="0"/>
        <v>171764.56</v>
      </c>
      <c r="M154" s="1">
        <f t="shared" si="1"/>
        <v>1219742.43</v>
      </c>
      <c r="N154" s="1" t="str">
        <f t="shared" si="4"/>
        <v>Sneha</v>
      </c>
    </row>
    <row r="155" spans="1:14" x14ac:dyDescent="0.3">
      <c r="A155" s="1" t="s">
        <v>32</v>
      </c>
      <c r="B155" s="1" t="s">
        <v>17</v>
      </c>
      <c r="C155" s="1" t="s">
        <v>18</v>
      </c>
      <c r="D155" s="1" t="s">
        <v>56</v>
      </c>
      <c r="E155" s="1">
        <v>15</v>
      </c>
      <c r="F155" s="1">
        <v>6101</v>
      </c>
      <c r="G155" s="1">
        <v>0</v>
      </c>
      <c r="H155" s="2">
        <v>46178</v>
      </c>
      <c r="I155" s="2">
        <v>46183</v>
      </c>
      <c r="J155" s="1" t="s">
        <v>51</v>
      </c>
      <c r="K155" s="1">
        <v>1154</v>
      </c>
      <c r="L155" s="1">
        <f t="shared" si="0"/>
        <v>91515</v>
      </c>
      <c r="M155" s="1">
        <f t="shared" si="1"/>
        <v>1219742.43</v>
      </c>
      <c r="N155" s="1" t="str">
        <f t="shared" si="4"/>
        <v>Sneha</v>
      </c>
    </row>
    <row r="156" spans="1:14" x14ac:dyDescent="0.3">
      <c r="A156" s="1" t="s">
        <v>11</v>
      </c>
      <c r="B156" s="1" t="s">
        <v>31</v>
      </c>
      <c r="C156" s="1" t="s">
        <v>18</v>
      </c>
      <c r="D156" s="1" t="s">
        <v>28</v>
      </c>
      <c r="E156" s="1">
        <v>13</v>
      </c>
      <c r="F156" s="1">
        <v>4341</v>
      </c>
      <c r="G156" s="1">
        <v>15</v>
      </c>
      <c r="H156" s="2">
        <v>46093</v>
      </c>
      <c r="I156" s="2">
        <v>46096</v>
      </c>
      <c r="J156" s="1" t="s">
        <v>24</v>
      </c>
      <c r="K156" s="1">
        <v>1155</v>
      </c>
      <c r="L156" s="1">
        <f t="shared" si="0"/>
        <v>47968.049999999996</v>
      </c>
      <c r="M156" s="1">
        <f t="shared" si="1"/>
        <v>1219742.43</v>
      </c>
      <c r="N156" s="1" t="str">
        <f t="shared" si="4"/>
        <v>Sneha</v>
      </c>
    </row>
    <row r="157" spans="1:14" x14ac:dyDescent="0.3">
      <c r="A157" s="1" t="s">
        <v>54</v>
      </c>
      <c r="B157" s="1" t="s">
        <v>38</v>
      </c>
      <c r="C157" s="1" t="s">
        <v>13</v>
      </c>
      <c r="D157" s="1" t="s">
        <v>36</v>
      </c>
      <c r="E157" s="1">
        <v>5</v>
      </c>
      <c r="F157" s="1">
        <v>466</v>
      </c>
      <c r="G157" s="1">
        <v>15</v>
      </c>
      <c r="H157" s="2">
        <v>46025</v>
      </c>
      <c r="I157" s="2">
        <v>46029</v>
      </c>
      <c r="J157" s="1" t="s">
        <v>15</v>
      </c>
      <c r="K157" s="1">
        <v>1156</v>
      </c>
      <c r="L157" s="1">
        <f t="shared" si="0"/>
        <v>1980.5</v>
      </c>
      <c r="M157" s="1">
        <f t="shared" si="1"/>
        <v>1219742.43</v>
      </c>
      <c r="N157" s="1" t="str">
        <f t="shared" si="4"/>
        <v>Sneha</v>
      </c>
    </row>
    <row r="158" spans="1:14" x14ac:dyDescent="0.3">
      <c r="A158" s="1" t="s">
        <v>52</v>
      </c>
      <c r="B158" s="1" t="s">
        <v>33</v>
      </c>
      <c r="C158" s="1" t="s">
        <v>13</v>
      </c>
      <c r="D158" s="1" t="s">
        <v>50</v>
      </c>
      <c r="E158" s="1">
        <v>3</v>
      </c>
      <c r="F158" s="1">
        <v>203</v>
      </c>
      <c r="G158" s="1">
        <v>15</v>
      </c>
      <c r="H158" s="2">
        <v>46076</v>
      </c>
      <c r="I158" s="2">
        <v>46080</v>
      </c>
      <c r="J158" s="1" t="s">
        <v>29</v>
      </c>
      <c r="K158" s="1">
        <v>1157</v>
      </c>
      <c r="L158" s="1">
        <f t="shared" si="0"/>
        <v>517.65</v>
      </c>
      <c r="M158" s="1">
        <f t="shared" si="1"/>
        <v>1219742.43</v>
      </c>
      <c r="N158" s="1" t="str">
        <f t="shared" si="4"/>
        <v>Sneha</v>
      </c>
    </row>
    <row r="159" spans="1:14" x14ac:dyDescent="0.3">
      <c r="A159" s="1" t="s">
        <v>26</v>
      </c>
      <c r="B159" s="1" t="s">
        <v>38</v>
      </c>
      <c r="C159" s="1" t="s">
        <v>34</v>
      </c>
      <c r="D159" s="1" t="s">
        <v>41</v>
      </c>
      <c r="E159" s="1">
        <v>13</v>
      </c>
      <c r="F159" s="1">
        <v>12518</v>
      </c>
      <c r="G159" s="1">
        <v>2</v>
      </c>
      <c r="H159" s="2">
        <v>46079</v>
      </c>
      <c r="I159" s="2">
        <v>46082</v>
      </c>
      <c r="J159" s="1" t="s">
        <v>51</v>
      </c>
      <c r="K159" s="1">
        <v>1158</v>
      </c>
      <c r="L159" s="1">
        <f t="shared" si="0"/>
        <v>159479.32</v>
      </c>
      <c r="M159" s="1">
        <f t="shared" si="1"/>
        <v>1219742.43</v>
      </c>
      <c r="N159" s="1" t="str">
        <f t="shared" si="4"/>
        <v>Sneha</v>
      </c>
    </row>
    <row r="160" spans="1:14" x14ac:dyDescent="0.3">
      <c r="A160" s="1" t="s">
        <v>32</v>
      </c>
      <c r="B160" s="1" t="s">
        <v>43</v>
      </c>
      <c r="C160" s="1" t="s">
        <v>18</v>
      </c>
      <c r="D160" s="1" t="s">
        <v>28</v>
      </c>
      <c r="E160" s="1">
        <v>20</v>
      </c>
      <c r="F160" s="1">
        <v>14000</v>
      </c>
      <c r="G160" s="1">
        <v>15</v>
      </c>
      <c r="H160" s="2">
        <v>46184</v>
      </c>
      <c r="I160" s="2">
        <v>46187</v>
      </c>
      <c r="J160" s="1" t="s">
        <v>15</v>
      </c>
      <c r="K160" s="1">
        <v>1159</v>
      </c>
      <c r="L160" s="1">
        <f t="shared" si="0"/>
        <v>238000</v>
      </c>
      <c r="M160" s="1">
        <f t="shared" si="1"/>
        <v>1219742.43</v>
      </c>
      <c r="N160" s="1" t="str">
        <f t="shared" si="4"/>
        <v>Sneha</v>
      </c>
    </row>
    <row r="161" spans="1:14" x14ac:dyDescent="0.3">
      <c r="A161" s="1" t="s">
        <v>59</v>
      </c>
      <c r="B161" s="1" t="s">
        <v>22</v>
      </c>
      <c r="C161" s="1" t="s">
        <v>34</v>
      </c>
      <c r="D161" s="1" t="s">
        <v>39</v>
      </c>
      <c r="E161" s="1">
        <v>7</v>
      </c>
      <c r="F161" s="1">
        <v>53986</v>
      </c>
      <c r="G161" s="1">
        <v>10</v>
      </c>
      <c r="H161" s="2">
        <v>46142</v>
      </c>
      <c r="I161" s="2">
        <v>46147</v>
      </c>
      <c r="J161" s="1" t="s">
        <v>51</v>
      </c>
      <c r="K161" s="1">
        <v>1160</v>
      </c>
      <c r="L161" s="1">
        <f t="shared" si="0"/>
        <v>340111.8</v>
      </c>
      <c r="M161" s="1">
        <f t="shared" si="1"/>
        <v>1219742.43</v>
      </c>
      <c r="N161" s="1" t="str">
        <f t="shared" si="4"/>
        <v>Sneha</v>
      </c>
    </row>
    <row r="162" spans="1:14" x14ac:dyDescent="0.3">
      <c r="A162" s="1" t="s">
        <v>27</v>
      </c>
      <c r="B162" s="1" t="s">
        <v>25</v>
      </c>
      <c r="C162" s="1" t="s">
        <v>34</v>
      </c>
      <c r="D162" s="1" t="s">
        <v>39</v>
      </c>
      <c r="E162" s="1">
        <v>4</v>
      </c>
      <c r="F162" s="1">
        <v>54659</v>
      </c>
      <c r="G162" s="1">
        <v>7</v>
      </c>
      <c r="H162" s="2">
        <v>46105</v>
      </c>
      <c r="I162" s="2">
        <v>46109</v>
      </c>
      <c r="J162" s="1" t="s">
        <v>20</v>
      </c>
      <c r="K162" s="1">
        <v>1161</v>
      </c>
      <c r="L162" s="1">
        <f t="shared" si="0"/>
        <v>203331.47999999998</v>
      </c>
      <c r="M162" s="1">
        <f t="shared" si="1"/>
        <v>1219742.43</v>
      </c>
      <c r="N162" s="1" t="str">
        <f t="shared" si="4"/>
        <v>Sneha</v>
      </c>
    </row>
    <row r="163" spans="1:14" x14ac:dyDescent="0.3">
      <c r="A163" s="1" t="s">
        <v>57</v>
      </c>
      <c r="B163" s="1" t="s">
        <v>31</v>
      </c>
      <c r="C163" s="1" t="s">
        <v>34</v>
      </c>
      <c r="D163" s="1" t="s">
        <v>45</v>
      </c>
      <c r="E163" s="1">
        <v>2</v>
      </c>
      <c r="F163" s="1">
        <v>28176</v>
      </c>
      <c r="G163" s="1">
        <v>10</v>
      </c>
      <c r="H163" s="2">
        <v>46100</v>
      </c>
      <c r="I163" s="2">
        <v>46101</v>
      </c>
      <c r="J163" s="1" t="s">
        <v>20</v>
      </c>
      <c r="K163" s="1">
        <v>1162</v>
      </c>
      <c r="L163" s="1">
        <f t="shared" si="0"/>
        <v>50716.800000000003</v>
      </c>
      <c r="M163" s="1">
        <f t="shared" si="1"/>
        <v>1219742.43</v>
      </c>
      <c r="N163" s="1" t="str">
        <f t="shared" si="4"/>
        <v>Sneha</v>
      </c>
    </row>
    <row r="164" spans="1:14" x14ac:dyDescent="0.3">
      <c r="A164" s="1" t="s">
        <v>29</v>
      </c>
      <c r="B164" s="1" t="s">
        <v>38</v>
      </c>
      <c r="C164" s="1" t="s">
        <v>34</v>
      </c>
      <c r="D164" s="1" t="s">
        <v>39</v>
      </c>
      <c r="E164" s="1">
        <v>9</v>
      </c>
      <c r="F164" s="1">
        <v>62440</v>
      </c>
      <c r="G164" s="1">
        <v>2</v>
      </c>
      <c r="H164" s="2">
        <v>46081</v>
      </c>
      <c r="I164" s="2">
        <v>46086</v>
      </c>
      <c r="J164" s="1" t="s">
        <v>29</v>
      </c>
      <c r="K164" s="1">
        <v>1163</v>
      </c>
      <c r="L164" s="1">
        <f t="shared" si="0"/>
        <v>550720.80000000005</v>
      </c>
      <c r="M164" s="1">
        <f t="shared" si="1"/>
        <v>1219742.43</v>
      </c>
      <c r="N164" s="1" t="str">
        <f t="shared" si="4"/>
        <v>Sneha</v>
      </c>
    </row>
    <row r="165" spans="1:14" x14ac:dyDescent="0.3">
      <c r="A165" s="1" t="s">
        <v>40</v>
      </c>
      <c r="B165" s="1" t="s">
        <v>43</v>
      </c>
      <c r="C165" s="1" t="s">
        <v>34</v>
      </c>
      <c r="D165" s="1" t="s">
        <v>61</v>
      </c>
      <c r="E165" s="1">
        <v>7</v>
      </c>
      <c r="F165" s="1">
        <v>24615</v>
      </c>
      <c r="G165" s="1">
        <v>12</v>
      </c>
      <c r="H165" s="2">
        <v>46196</v>
      </c>
      <c r="I165" s="2">
        <v>46203</v>
      </c>
      <c r="J165" s="1" t="s">
        <v>51</v>
      </c>
      <c r="K165" s="1">
        <v>1164</v>
      </c>
      <c r="L165" s="1">
        <f t="shared" si="0"/>
        <v>151628.4</v>
      </c>
      <c r="M165" s="1">
        <f t="shared" si="1"/>
        <v>1219742.43</v>
      </c>
      <c r="N165" s="1" t="str">
        <f t="shared" si="4"/>
        <v>Sneha</v>
      </c>
    </row>
    <row r="166" spans="1:14" x14ac:dyDescent="0.3">
      <c r="A166" s="1" t="s">
        <v>48</v>
      </c>
      <c r="B166" s="1" t="s">
        <v>25</v>
      </c>
      <c r="C166" s="1" t="s">
        <v>13</v>
      </c>
      <c r="D166" s="1" t="s">
        <v>37</v>
      </c>
      <c r="E166" s="1">
        <v>1</v>
      </c>
      <c r="F166" s="1">
        <v>427</v>
      </c>
      <c r="G166" s="1">
        <v>0</v>
      </c>
      <c r="H166" s="2">
        <v>46042</v>
      </c>
      <c r="I166" s="2">
        <v>46050</v>
      </c>
      <c r="J166" s="1" t="s">
        <v>51</v>
      </c>
      <c r="K166" s="1">
        <v>1165</v>
      </c>
      <c r="L166" s="1">
        <f t="shared" si="0"/>
        <v>427</v>
      </c>
      <c r="M166" s="1">
        <f t="shared" si="1"/>
        <v>1219742.43</v>
      </c>
      <c r="N166" s="1" t="str">
        <f t="shared" si="4"/>
        <v>Sneha</v>
      </c>
    </row>
    <row r="167" spans="1:14" x14ac:dyDescent="0.3">
      <c r="A167" s="1" t="s">
        <v>32</v>
      </c>
      <c r="B167" s="1" t="s">
        <v>31</v>
      </c>
      <c r="C167" s="1" t="s">
        <v>13</v>
      </c>
      <c r="D167" s="1" t="s">
        <v>37</v>
      </c>
      <c r="E167" s="1">
        <v>1</v>
      </c>
      <c r="F167" s="1">
        <v>396</v>
      </c>
      <c r="G167" s="1">
        <v>5</v>
      </c>
      <c r="H167" s="2">
        <v>46092</v>
      </c>
      <c r="I167" s="2">
        <v>46093</v>
      </c>
      <c r="J167" s="1" t="s">
        <v>20</v>
      </c>
      <c r="K167" s="1">
        <v>1166</v>
      </c>
      <c r="L167" s="1">
        <f t="shared" si="0"/>
        <v>376.2</v>
      </c>
      <c r="M167" s="1">
        <f t="shared" si="1"/>
        <v>1219742.43</v>
      </c>
      <c r="N167" s="1" t="str">
        <f t="shared" si="4"/>
        <v>Sneha</v>
      </c>
    </row>
    <row r="168" spans="1:14" x14ac:dyDescent="0.3">
      <c r="A168" s="1" t="s">
        <v>48</v>
      </c>
      <c r="B168" s="1" t="s">
        <v>17</v>
      </c>
      <c r="C168" s="1" t="s">
        <v>13</v>
      </c>
      <c r="D168" s="1" t="s">
        <v>37</v>
      </c>
      <c r="E168" s="1">
        <v>20</v>
      </c>
      <c r="F168" s="1">
        <v>251</v>
      </c>
      <c r="G168" s="1">
        <v>5</v>
      </c>
      <c r="H168" s="2">
        <v>46160</v>
      </c>
      <c r="I168" s="2">
        <v>46170</v>
      </c>
      <c r="J168" s="1" t="s">
        <v>29</v>
      </c>
      <c r="K168" s="1">
        <v>1167</v>
      </c>
      <c r="L168" s="1">
        <f t="shared" si="0"/>
        <v>4769</v>
      </c>
      <c r="M168" s="1">
        <f t="shared" si="1"/>
        <v>1219742.43</v>
      </c>
      <c r="N168" s="1" t="str">
        <f t="shared" si="4"/>
        <v>Sneha</v>
      </c>
    </row>
    <row r="169" spans="1:14" x14ac:dyDescent="0.3">
      <c r="A169" s="1" t="s">
        <v>54</v>
      </c>
      <c r="B169" s="1" t="s">
        <v>12</v>
      </c>
      <c r="C169" s="1" t="s">
        <v>13</v>
      </c>
      <c r="D169" s="1" t="s">
        <v>37</v>
      </c>
      <c r="E169" s="1">
        <v>18</v>
      </c>
      <c r="F169" s="1">
        <v>335</v>
      </c>
      <c r="G169" s="1">
        <v>15</v>
      </c>
      <c r="H169" s="2">
        <v>46130</v>
      </c>
      <c r="I169" s="2">
        <v>46140</v>
      </c>
      <c r="J169" s="1" t="s">
        <v>29</v>
      </c>
      <c r="K169" s="1">
        <v>1168</v>
      </c>
      <c r="L169" s="1">
        <f t="shared" si="0"/>
        <v>5125.5</v>
      </c>
      <c r="M169" s="1">
        <f t="shared" si="1"/>
        <v>1219742.43</v>
      </c>
      <c r="N169" s="1" t="str">
        <f t="shared" si="4"/>
        <v>Sneha</v>
      </c>
    </row>
    <row r="170" spans="1:14" x14ac:dyDescent="0.3">
      <c r="A170" s="1" t="s">
        <v>47</v>
      </c>
      <c r="B170" s="1" t="s">
        <v>12</v>
      </c>
      <c r="C170" s="1" t="s">
        <v>18</v>
      </c>
      <c r="D170" s="1" t="s">
        <v>56</v>
      </c>
      <c r="E170" s="1">
        <v>12</v>
      </c>
      <c r="F170" s="1">
        <v>12104</v>
      </c>
      <c r="G170" s="1">
        <v>7</v>
      </c>
      <c r="H170" s="2">
        <v>46121</v>
      </c>
      <c r="I170" s="2">
        <v>46130</v>
      </c>
      <c r="J170" s="1" t="s">
        <v>24</v>
      </c>
      <c r="K170" s="1">
        <v>1169</v>
      </c>
      <c r="L170" s="1">
        <f t="shared" si="0"/>
        <v>135080.63999999998</v>
      </c>
      <c r="M170" s="1">
        <f t="shared" si="1"/>
        <v>1219742.43</v>
      </c>
      <c r="N170" s="1" t="str">
        <f t="shared" si="4"/>
        <v>Sneha</v>
      </c>
    </row>
    <row r="171" spans="1:14" x14ac:dyDescent="0.3">
      <c r="A171" s="1" t="s">
        <v>49</v>
      </c>
      <c r="B171" s="1" t="s">
        <v>38</v>
      </c>
      <c r="C171" s="1" t="s">
        <v>13</v>
      </c>
      <c r="D171" s="1" t="s">
        <v>14</v>
      </c>
      <c r="E171" s="1">
        <v>6</v>
      </c>
      <c r="F171" s="1">
        <v>339</v>
      </c>
      <c r="G171" s="1">
        <v>12</v>
      </c>
      <c r="H171" s="2">
        <v>46105</v>
      </c>
      <c r="I171" s="2">
        <v>46106</v>
      </c>
      <c r="J171" s="1" t="s">
        <v>24</v>
      </c>
      <c r="K171" s="1">
        <v>1170</v>
      </c>
      <c r="L171" s="1">
        <f t="shared" si="0"/>
        <v>1789.92</v>
      </c>
      <c r="M171" s="1">
        <f t="shared" si="1"/>
        <v>1219742.43</v>
      </c>
      <c r="N171" s="1" t="str">
        <f t="shared" si="4"/>
        <v>Sneha</v>
      </c>
    </row>
    <row r="172" spans="1:14" x14ac:dyDescent="0.3">
      <c r="A172" s="1" t="s">
        <v>57</v>
      </c>
      <c r="B172" s="1" t="s">
        <v>25</v>
      </c>
      <c r="C172" s="1" t="s">
        <v>13</v>
      </c>
      <c r="D172" s="1" t="s">
        <v>50</v>
      </c>
      <c r="E172" s="1">
        <v>17</v>
      </c>
      <c r="F172" s="1">
        <v>147</v>
      </c>
      <c r="G172" s="1">
        <v>12</v>
      </c>
      <c r="H172" s="2">
        <v>46155</v>
      </c>
      <c r="I172" s="2">
        <v>46160</v>
      </c>
      <c r="J172" s="1" t="s">
        <v>20</v>
      </c>
      <c r="K172" s="1">
        <v>1171</v>
      </c>
      <c r="L172" s="1">
        <f t="shared" si="0"/>
        <v>2199.12</v>
      </c>
      <c r="M172" s="1">
        <f t="shared" si="1"/>
        <v>1219742.43</v>
      </c>
      <c r="N172" s="1" t="str">
        <f t="shared" si="4"/>
        <v>Sneha</v>
      </c>
    </row>
    <row r="173" spans="1:14" x14ac:dyDescent="0.3">
      <c r="A173" s="1" t="s">
        <v>16</v>
      </c>
      <c r="B173" s="1" t="s">
        <v>12</v>
      </c>
      <c r="C173" s="1" t="s">
        <v>34</v>
      </c>
      <c r="D173" s="1" t="s">
        <v>45</v>
      </c>
      <c r="E173" s="1">
        <v>13</v>
      </c>
      <c r="F173" s="1">
        <v>43163</v>
      </c>
      <c r="G173" s="1">
        <v>12</v>
      </c>
      <c r="H173" s="2">
        <v>46120</v>
      </c>
      <c r="I173" s="2">
        <v>46129</v>
      </c>
      <c r="J173" s="1" t="s">
        <v>24</v>
      </c>
      <c r="K173" s="1">
        <v>1172</v>
      </c>
      <c r="L173" s="1">
        <f t="shared" si="0"/>
        <v>493784.72000000003</v>
      </c>
      <c r="M173" s="1">
        <f t="shared" si="1"/>
        <v>1219742.43</v>
      </c>
      <c r="N173" s="1" t="str">
        <f t="shared" si="4"/>
        <v>Sneha</v>
      </c>
    </row>
    <row r="174" spans="1:14" x14ac:dyDescent="0.3">
      <c r="A174" s="1" t="s">
        <v>40</v>
      </c>
      <c r="B174" s="1" t="s">
        <v>17</v>
      </c>
      <c r="C174" s="1" t="s">
        <v>13</v>
      </c>
      <c r="D174" s="1" t="s">
        <v>37</v>
      </c>
      <c r="E174" s="1">
        <v>15</v>
      </c>
      <c r="F174" s="1">
        <v>214</v>
      </c>
      <c r="G174" s="1">
        <v>10</v>
      </c>
      <c r="H174" s="2">
        <v>46050</v>
      </c>
      <c r="I174" s="2">
        <v>46060</v>
      </c>
      <c r="J174" s="1" t="s">
        <v>51</v>
      </c>
      <c r="K174" s="1">
        <v>1173</v>
      </c>
      <c r="L174" s="1">
        <f t="shared" si="0"/>
        <v>2889</v>
      </c>
      <c r="M174" s="1">
        <f t="shared" si="1"/>
        <v>1219742.43</v>
      </c>
      <c r="N174" s="1" t="str">
        <f t="shared" si="4"/>
        <v>Sneha</v>
      </c>
    </row>
    <row r="175" spans="1:14" x14ac:dyDescent="0.3">
      <c r="A175" s="1" t="s">
        <v>58</v>
      </c>
      <c r="B175" s="1" t="s">
        <v>38</v>
      </c>
      <c r="C175" s="1" t="s">
        <v>13</v>
      </c>
      <c r="D175" s="1" t="s">
        <v>14</v>
      </c>
      <c r="E175" s="1">
        <v>13</v>
      </c>
      <c r="F175" s="1">
        <v>155</v>
      </c>
      <c r="G175" s="1">
        <v>2</v>
      </c>
      <c r="H175" s="2">
        <v>46066</v>
      </c>
      <c r="I175" s="2">
        <v>46069</v>
      </c>
      <c r="J175" s="1" t="s">
        <v>24</v>
      </c>
      <c r="K175" s="1">
        <v>1174</v>
      </c>
      <c r="L175" s="1">
        <f t="shared" si="0"/>
        <v>1974.7</v>
      </c>
      <c r="M175" s="1">
        <f t="shared" si="1"/>
        <v>1219742.43</v>
      </c>
      <c r="N175" s="1" t="str">
        <f t="shared" si="4"/>
        <v>Sneha</v>
      </c>
    </row>
    <row r="176" spans="1:14" x14ac:dyDescent="0.3">
      <c r="A176" s="1" t="s">
        <v>26</v>
      </c>
      <c r="B176" s="1" t="s">
        <v>17</v>
      </c>
      <c r="C176" s="1" t="s">
        <v>34</v>
      </c>
      <c r="D176" s="1" t="s">
        <v>41</v>
      </c>
      <c r="E176" s="1">
        <v>10</v>
      </c>
      <c r="F176" s="1">
        <v>20339</v>
      </c>
      <c r="G176" s="1">
        <v>2</v>
      </c>
      <c r="H176" s="2">
        <v>46088</v>
      </c>
      <c r="I176" s="2">
        <v>46094</v>
      </c>
      <c r="J176" s="1" t="s">
        <v>20</v>
      </c>
      <c r="K176" s="1">
        <v>1175</v>
      </c>
      <c r="L176" s="1">
        <f t="shared" si="0"/>
        <v>199322.19999999998</v>
      </c>
      <c r="M176" s="1">
        <f t="shared" si="1"/>
        <v>1219742.43</v>
      </c>
      <c r="N176" s="1" t="str">
        <f t="shared" si="4"/>
        <v>Sneha</v>
      </c>
    </row>
    <row r="177" spans="1:14" x14ac:dyDescent="0.3">
      <c r="A177" s="1" t="s">
        <v>58</v>
      </c>
      <c r="B177" s="1" t="s">
        <v>38</v>
      </c>
      <c r="C177" s="1" t="s">
        <v>34</v>
      </c>
      <c r="D177" s="1" t="s">
        <v>41</v>
      </c>
      <c r="E177" s="1">
        <v>17</v>
      </c>
      <c r="F177" s="1">
        <v>46937</v>
      </c>
      <c r="G177" s="1">
        <v>12</v>
      </c>
      <c r="H177" s="2">
        <v>46048</v>
      </c>
      <c r="I177" s="2">
        <v>46056</v>
      </c>
      <c r="J177" s="1" t="s">
        <v>29</v>
      </c>
      <c r="K177" s="1">
        <v>1176</v>
      </c>
      <c r="L177" s="1">
        <f t="shared" si="0"/>
        <v>702177.52</v>
      </c>
      <c r="M177" s="1">
        <f t="shared" si="1"/>
        <v>1219742.43</v>
      </c>
      <c r="N177" s="1" t="str">
        <f t="shared" si="4"/>
        <v>Sneha</v>
      </c>
    </row>
    <row r="178" spans="1:14" x14ac:dyDescent="0.3">
      <c r="A178" s="1" t="s">
        <v>29</v>
      </c>
      <c r="B178" s="1" t="s">
        <v>22</v>
      </c>
      <c r="C178" s="1" t="s">
        <v>18</v>
      </c>
      <c r="D178" s="1" t="s">
        <v>19</v>
      </c>
      <c r="E178" s="1">
        <v>14</v>
      </c>
      <c r="F178" s="1">
        <v>7501</v>
      </c>
      <c r="G178" s="1">
        <v>7</v>
      </c>
      <c r="H178" s="2">
        <v>46169</v>
      </c>
      <c r="I178" s="2">
        <v>46179</v>
      </c>
      <c r="J178" s="1" t="s">
        <v>20</v>
      </c>
      <c r="K178" s="1">
        <v>1177</v>
      </c>
      <c r="L178" s="1">
        <f t="shared" si="0"/>
        <v>97663.01999999999</v>
      </c>
      <c r="M178" s="1">
        <f t="shared" si="1"/>
        <v>1219742.43</v>
      </c>
      <c r="N178" s="1" t="str">
        <f t="shared" si="4"/>
        <v>Sneha</v>
      </c>
    </row>
    <row r="179" spans="1:14" x14ac:dyDescent="0.3">
      <c r="A179" s="1" t="s">
        <v>57</v>
      </c>
      <c r="B179" s="1" t="s">
        <v>17</v>
      </c>
      <c r="C179" s="1" t="s">
        <v>13</v>
      </c>
      <c r="D179" s="1" t="s">
        <v>50</v>
      </c>
      <c r="E179" s="1">
        <v>5</v>
      </c>
      <c r="F179" s="1">
        <v>50</v>
      </c>
      <c r="G179" s="1">
        <v>0</v>
      </c>
      <c r="H179" s="2">
        <v>46111</v>
      </c>
      <c r="I179" s="2">
        <v>46117</v>
      </c>
      <c r="J179" s="1" t="s">
        <v>20</v>
      </c>
      <c r="K179" s="1">
        <v>1178</v>
      </c>
      <c r="L179" s="1">
        <f t="shared" si="0"/>
        <v>250</v>
      </c>
      <c r="M179" s="1">
        <f t="shared" si="1"/>
        <v>1219742.43</v>
      </c>
      <c r="N179" s="1" t="str">
        <f t="shared" si="4"/>
        <v>Sneha</v>
      </c>
    </row>
    <row r="180" spans="1:14" x14ac:dyDescent="0.3">
      <c r="A180" s="1" t="s">
        <v>47</v>
      </c>
      <c r="B180" s="1" t="s">
        <v>17</v>
      </c>
      <c r="C180" s="1" t="s">
        <v>34</v>
      </c>
      <c r="D180" s="1" t="s">
        <v>39</v>
      </c>
      <c r="E180" s="1">
        <v>6</v>
      </c>
      <c r="F180" s="1">
        <v>10400</v>
      </c>
      <c r="G180" s="1">
        <v>2</v>
      </c>
      <c r="H180" s="2">
        <v>46155</v>
      </c>
      <c r="I180" s="2">
        <v>46158</v>
      </c>
      <c r="J180" s="1" t="s">
        <v>15</v>
      </c>
      <c r="K180" s="1">
        <v>1179</v>
      </c>
      <c r="L180" s="1">
        <f t="shared" si="0"/>
        <v>61152</v>
      </c>
      <c r="M180" s="1">
        <f t="shared" si="1"/>
        <v>1219742.43</v>
      </c>
      <c r="N180" s="1" t="str">
        <f t="shared" si="4"/>
        <v>Sneha</v>
      </c>
    </row>
    <row r="181" spans="1:14" x14ac:dyDescent="0.3">
      <c r="A181" s="1" t="s">
        <v>40</v>
      </c>
      <c r="B181" s="1" t="s">
        <v>31</v>
      </c>
      <c r="C181" s="1" t="s">
        <v>18</v>
      </c>
      <c r="D181" s="1" t="s">
        <v>28</v>
      </c>
      <c r="E181" s="1">
        <v>2</v>
      </c>
      <c r="F181" s="1">
        <v>2076</v>
      </c>
      <c r="G181" s="1">
        <v>2</v>
      </c>
      <c r="H181" s="2">
        <v>46111</v>
      </c>
      <c r="I181" s="2">
        <v>46121</v>
      </c>
      <c r="J181" s="1" t="s">
        <v>29</v>
      </c>
      <c r="K181" s="1">
        <v>1180</v>
      </c>
      <c r="L181" s="1">
        <f t="shared" si="0"/>
        <v>4068.96</v>
      </c>
      <c r="M181" s="1">
        <f t="shared" si="1"/>
        <v>1219742.43</v>
      </c>
      <c r="N181" s="1" t="str">
        <f t="shared" si="4"/>
        <v>Sneha</v>
      </c>
    </row>
    <row r="182" spans="1:14" x14ac:dyDescent="0.3">
      <c r="A182" s="1" t="s">
        <v>58</v>
      </c>
      <c r="B182" s="1" t="s">
        <v>33</v>
      </c>
      <c r="C182" s="1" t="s">
        <v>13</v>
      </c>
      <c r="D182" s="1" t="s">
        <v>36</v>
      </c>
      <c r="E182" s="1">
        <v>4</v>
      </c>
      <c r="F182" s="1">
        <v>357</v>
      </c>
      <c r="G182" s="1">
        <v>2</v>
      </c>
      <c r="H182" s="2">
        <v>46033</v>
      </c>
      <c r="I182" s="2">
        <v>46035</v>
      </c>
      <c r="J182" s="1" t="s">
        <v>15</v>
      </c>
      <c r="K182" s="1">
        <v>1181</v>
      </c>
      <c r="L182" s="1">
        <f t="shared" si="0"/>
        <v>1399.44</v>
      </c>
      <c r="M182" s="1">
        <f t="shared" si="1"/>
        <v>1219742.43</v>
      </c>
      <c r="N182" s="1" t="str">
        <f t="shared" si="4"/>
        <v>Sneha</v>
      </c>
    </row>
    <row r="183" spans="1:14" x14ac:dyDescent="0.3">
      <c r="A183" s="1" t="s">
        <v>42</v>
      </c>
      <c r="B183" s="1" t="s">
        <v>12</v>
      </c>
      <c r="C183" s="1" t="s">
        <v>34</v>
      </c>
      <c r="D183" s="1" t="s">
        <v>39</v>
      </c>
      <c r="E183" s="1">
        <v>8</v>
      </c>
      <c r="F183" s="1">
        <v>66022</v>
      </c>
      <c r="G183" s="1">
        <v>12</v>
      </c>
      <c r="H183" s="2">
        <v>46108</v>
      </c>
      <c r="I183" s="2">
        <v>46114</v>
      </c>
      <c r="J183" s="1" t="s">
        <v>24</v>
      </c>
      <c r="K183" s="1">
        <v>1182</v>
      </c>
      <c r="L183" s="1">
        <f t="shared" si="0"/>
        <v>464794.88</v>
      </c>
      <c r="M183" s="1">
        <f t="shared" si="1"/>
        <v>1219742.43</v>
      </c>
      <c r="N183" s="1" t="str">
        <f t="shared" si="4"/>
        <v>Sneha</v>
      </c>
    </row>
    <row r="184" spans="1:14" x14ac:dyDescent="0.3">
      <c r="A184" s="1" t="s">
        <v>52</v>
      </c>
      <c r="B184" s="1" t="s">
        <v>43</v>
      </c>
      <c r="C184" s="1" t="s">
        <v>13</v>
      </c>
      <c r="D184" s="1" t="s">
        <v>14</v>
      </c>
      <c r="E184" s="1">
        <v>2</v>
      </c>
      <c r="F184" s="1">
        <v>309</v>
      </c>
      <c r="G184" s="1">
        <v>2</v>
      </c>
      <c r="H184" s="2">
        <v>46109</v>
      </c>
      <c r="I184" s="2">
        <v>46111</v>
      </c>
      <c r="J184" s="1" t="s">
        <v>20</v>
      </c>
      <c r="K184" s="1">
        <v>1183</v>
      </c>
      <c r="L184" s="1">
        <f t="shared" si="0"/>
        <v>605.64</v>
      </c>
      <c r="M184" s="1">
        <f t="shared" si="1"/>
        <v>1219742.43</v>
      </c>
      <c r="N184" s="1" t="str">
        <f t="shared" si="4"/>
        <v>Sneha</v>
      </c>
    </row>
    <row r="185" spans="1:14" x14ac:dyDescent="0.3">
      <c r="A185" s="1" t="s">
        <v>40</v>
      </c>
      <c r="B185" s="1" t="s">
        <v>31</v>
      </c>
      <c r="C185" s="1" t="s">
        <v>34</v>
      </c>
      <c r="D185" s="1" t="s">
        <v>39</v>
      </c>
      <c r="E185" s="1">
        <v>12</v>
      </c>
      <c r="F185" s="1">
        <v>50517</v>
      </c>
      <c r="G185" s="1">
        <v>15</v>
      </c>
      <c r="H185" s="2">
        <v>46145</v>
      </c>
      <c r="I185" s="2">
        <v>46153</v>
      </c>
      <c r="J185" s="1" t="s">
        <v>29</v>
      </c>
      <c r="K185" s="1">
        <v>1184</v>
      </c>
      <c r="L185" s="1">
        <f t="shared" si="0"/>
        <v>515273.39999999997</v>
      </c>
      <c r="M185" s="1">
        <f t="shared" si="1"/>
        <v>1219742.43</v>
      </c>
      <c r="N185" s="1" t="str">
        <f t="shared" si="4"/>
        <v>Sneha</v>
      </c>
    </row>
    <row r="186" spans="1:14" x14ac:dyDescent="0.3">
      <c r="A186" s="1" t="s">
        <v>58</v>
      </c>
      <c r="B186" s="1" t="s">
        <v>22</v>
      </c>
      <c r="C186" s="1" t="s">
        <v>34</v>
      </c>
      <c r="D186" s="1" t="s">
        <v>60</v>
      </c>
      <c r="E186" s="1">
        <v>16</v>
      </c>
      <c r="F186" s="1">
        <v>15536</v>
      </c>
      <c r="G186" s="1">
        <v>2</v>
      </c>
      <c r="H186" s="2">
        <v>46153</v>
      </c>
      <c r="I186" s="2">
        <v>46156</v>
      </c>
      <c r="J186" s="1" t="s">
        <v>15</v>
      </c>
      <c r="K186" s="1">
        <v>1185</v>
      </c>
      <c r="L186" s="1">
        <f t="shared" si="0"/>
        <v>243604.47999999998</v>
      </c>
      <c r="M186" s="1">
        <f t="shared" si="1"/>
        <v>1219742.43</v>
      </c>
      <c r="N186" s="1" t="str">
        <f t="shared" si="4"/>
        <v>Sneha</v>
      </c>
    </row>
    <row r="187" spans="1:14" x14ac:dyDescent="0.3">
      <c r="A187" s="1" t="s">
        <v>16</v>
      </c>
      <c r="B187" s="1" t="s">
        <v>25</v>
      </c>
      <c r="C187" s="1" t="s">
        <v>18</v>
      </c>
      <c r="D187" s="1" t="s">
        <v>44</v>
      </c>
      <c r="E187" s="1">
        <v>10</v>
      </c>
      <c r="F187" s="1">
        <v>14951</v>
      </c>
      <c r="G187" s="1">
        <v>2</v>
      </c>
      <c r="H187" s="2">
        <v>46188</v>
      </c>
      <c r="I187" s="2">
        <v>46196</v>
      </c>
      <c r="J187" s="1" t="s">
        <v>24</v>
      </c>
      <c r="K187" s="1">
        <v>1186</v>
      </c>
      <c r="L187" s="1">
        <f t="shared" si="0"/>
        <v>146519.79999999999</v>
      </c>
      <c r="M187" s="1">
        <f t="shared" si="1"/>
        <v>1219742.43</v>
      </c>
      <c r="N187" s="1" t="str">
        <f t="shared" si="4"/>
        <v>Sneha</v>
      </c>
    </row>
    <row r="188" spans="1:14" x14ac:dyDescent="0.3">
      <c r="A188" s="1" t="s">
        <v>54</v>
      </c>
      <c r="B188" s="1" t="s">
        <v>22</v>
      </c>
      <c r="C188" s="1" t="s">
        <v>34</v>
      </c>
      <c r="D188" s="1" t="s">
        <v>45</v>
      </c>
      <c r="E188" s="1">
        <v>18</v>
      </c>
      <c r="F188" s="1">
        <v>68527</v>
      </c>
      <c r="G188" s="1">
        <v>12</v>
      </c>
      <c r="H188" s="2">
        <v>46178</v>
      </c>
      <c r="I188" s="2">
        <v>46184</v>
      </c>
      <c r="J188" s="1" t="s">
        <v>51</v>
      </c>
      <c r="K188" s="1">
        <v>1187</v>
      </c>
      <c r="L188" s="1">
        <f t="shared" si="0"/>
        <v>1085467.68</v>
      </c>
      <c r="M188" s="1">
        <f t="shared" si="1"/>
        <v>1219742.43</v>
      </c>
      <c r="N188" s="1" t="str">
        <f t="shared" si="4"/>
        <v>Sneha</v>
      </c>
    </row>
    <row r="189" spans="1:14" x14ac:dyDescent="0.3">
      <c r="A189" s="1" t="s">
        <v>29</v>
      </c>
      <c r="B189" s="1" t="s">
        <v>22</v>
      </c>
      <c r="C189" s="1" t="s">
        <v>18</v>
      </c>
      <c r="D189" s="1" t="s">
        <v>56</v>
      </c>
      <c r="E189" s="1">
        <v>6</v>
      </c>
      <c r="F189" s="1">
        <v>10368</v>
      </c>
      <c r="G189" s="1">
        <v>7</v>
      </c>
      <c r="H189" s="2">
        <v>46137</v>
      </c>
      <c r="I189" s="2">
        <v>46142</v>
      </c>
      <c r="J189" s="1" t="s">
        <v>15</v>
      </c>
      <c r="K189" s="1">
        <v>1188</v>
      </c>
      <c r="L189" s="1">
        <f t="shared" si="0"/>
        <v>57853.439999999995</v>
      </c>
      <c r="M189" s="1">
        <f t="shared" si="1"/>
        <v>1219742.43</v>
      </c>
      <c r="N189" s="1" t="str">
        <f t="shared" si="4"/>
        <v>Sneha</v>
      </c>
    </row>
    <row r="190" spans="1:14" x14ac:dyDescent="0.3">
      <c r="A190" s="1" t="s">
        <v>49</v>
      </c>
      <c r="B190" s="1" t="s">
        <v>31</v>
      </c>
      <c r="C190" s="1" t="s">
        <v>18</v>
      </c>
      <c r="D190" s="1" t="s">
        <v>56</v>
      </c>
      <c r="E190" s="1">
        <v>12</v>
      </c>
      <c r="F190" s="1">
        <v>8327</v>
      </c>
      <c r="G190" s="1">
        <v>10</v>
      </c>
      <c r="H190" s="2">
        <v>46184</v>
      </c>
      <c r="I190" s="2">
        <v>46185</v>
      </c>
      <c r="J190" s="1" t="s">
        <v>29</v>
      </c>
      <c r="K190" s="1">
        <v>1189</v>
      </c>
      <c r="L190" s="1">
        <f t="shared" si="0"/>
        <v>89931.6</v>
      </c>
      <c r="M190" s="1">
        <f t="shared" si="1"/>
        <v>1219742.43</v>
      </c>
      <c r="N190" s="1" t="str">
        <f t="shared" si="4"/>
        <v>Sneha</v>
      </c>
    </row>
    <row r="191" spans="1:14" x14ac:dyDescent="0.3">
      <c r="A191" s="1" t="s">
        <v>57</v>
      </c>
      <c r="B191" s="1" t="s">
        <v>17</v>
      </c>
      <c r="C191" s="1" t="s">
        <v>18</v>
      </c>
      <c r="D191" s="1" t="s">
        <v>28</v>
      </c>
      <c r="E191" s="1">
        <v>4</v>
      </c>
      <c r="F191" s="1">
        <v>10154</v>
      </c>
      <c r="G191" s="1">
        <v>7</v>
      </c>
      <c r="H191" s="2">
        <v>46052</v>
      </c>
      <c r="I191" s="2">
        <v>46062</v>
      </c>
      <c r="J191" s="1" t="s">
        <v>20</v>
      </c>
      <c r="K191" s="1">
        <v>1190</v>
      </c>
      <c r="L191" s="1">
        <f t="shared" si="0"/>
        <v>37772.879999999997</v>
      </c>
      <c r="M191" s="1">
        <f t="shared" si="1"/>
        <v>1219742.43</v>
      </c>
      <c r="N191" s="1" t="str">
        <f t="shared" si="4"/>
        <v>Sneha</v>
      </c>
    </row>
    <row r="192" spans="1:14" x14ac:dyDescent="0.3">
      <c r="A192" s="1" t="s">
        <v>52</v>
      </c>
      <c r="B192" s="1" t="s">
        <v>33</v>
      </c>
      <c r="C192" s="1" t="s">
        <v>18</v>
      </c>
      <c r="D192" s="1" t="s">
        <v>56</v>
      </c>
      <c r="E192" s="1">
        <v>9</v>
      </c>
      <c r="F192" s="1">
        <v>8631</v>
      </c>
      <c r="G192" s="1">
        <v>10</v>
      </c>
      <c r="H192" s="2">
        <v>46149</v>
      </c>
      <c r="I192" s="2">
        <v>46156</v>
      </c>
      <c r="J192" s="1" t="s">
        <v>20</v>
      </c>
      <c r="K192" s="1">
        <v>1191</v>
      </c>
      <c r="L192" s="1">
        <f t="shared" si="0"/>
        <v>69911.100000000006</v>
      </c>
      <c r="M192" s="1">
        <f t="shared" si="1"/>
        <v>1219742.43</v>
      </c>
      <c r="N192" s="1" t="str">
        <f t="shared" si="4"/>
        <v>Sneha</v>
      </c>
    </row>
    <row r="193" spans="1:14" x14ac:dyDescent="0.3">
      <c r="A193" s="1" t="s">
        <v>21</v>
      </c>
      <c r="B193" s="1" t="s">
        <v>33</v>
      </c>
      <c r="C193" s="1" t="s">
        <v>13</v>
      </c>
      <c r="D193" s="1" t="s">
        <v>53</v>
      </c>
      <c r="E193" s="1">
        <v>18</v>
      </c>
      <c r="F193" s="1">
        <v>49</v>
      </c>
      <c r="G193" s="1">
        <v>12</v>
      </c>
      <c r="H193" s="2">
        <v>46089</v>
      </c>
      <c r="I193" s="2">
        <v>46095</v>
      </c>
      <c r="J193" s="1" t="s">
        <v>24</v>
      </c>
      <c r="K193" s="1">
        <v>1192</v>
      </c>
      <c r="L193" s="1">
        <f t="shared" si="0"/>
        <v>776.16</v>
      </c>
      <c r="M193" s="1">
        <f t="shared" si="1"/>
        <v>1219742.43</v>
      </c>
      <c r="N193" s="1" t="str">
        <f t="shared" si="4"/>
        <v>Sneha</v>
      </c>
    </row>
    <row r="194" spans="1:14" x14ac:dyDescent="0.3">
      <c r="A194" s="1" t="s">
        <v>57</v>
      </c>
      <c r="B194" s="1" t="s">
        <v>12</v>
      </c>
      <c r="C194" s="1" t="s">
        <v>18</v>
      </c>
      <c r="D194" s="1" t="s">
        <v>23</v>
      </c>
      <c r="E194" s="1">
        <v>19</v>
      </c>
      <c r="F194" s="1">
        <v>2699</v>
      </c>
      <c r="G194" s="1">
        <v>7</v>
      </c>
      <c r="H194" s="2">
        <v>46110</v>
      </c>
      <c r="I194" s="2">
        <v>46112</v>
      </c>
      <c r="J194" s="1" t="s">
        <v>29</v>
      </c>
      <c r="K194" s="1">
        <v>1193</v>
      </c>
      <c r="L194" s="1">
        <f t="shared" si="0"/>
        <v>47691.329999999994</v>
      </c>
      <c r="M194" s="1">
        <f t="shared" si="1"/>
        <v>1219742.43</v>
      </c>
      <c r="N194" s="1" t="str">
        <f t="shared" si="4"/>
        <v>Sneha</v>
      </c>
    </row>
    <row r="195" spans="1:14" x14ac:dyDescent="0.3">
      <c r="A195" s="1" t="s">
        <v>57</v>
      </c>
      <c r="B195" s="1" t="s">
        <v>43</v>
      </c>
      <c r="C195" s="1" t="s">
        <v>18</v>
      </c>
      <c r="D195" s="1" t="s">
        <v>28</v>
      </c>
      <c r="E195" s="1">
        <v>13</v>
      </c>
      <c r="F195" s="1">
        <v>12856</v>
      </c>
      <c r="G195" s="1">
        <v>15</v>
      </c>
      <c r="H195" s="2">
        <v>46129</v>
      </c>
      <c r="I195" s="2">
        <v>46133</v>
      </c>
      <c r="J195" s="1" t="s">
        <v>51</v>
      </c>
      <c r="K195" s="1">
        <v>1194</v>
      </c>
      <c r="L195" s="1">
        <f t="shared" si="0"/>
        <v>142058.79999999999</v>
      </c>
      <c r="M195" s="1">
        <f t="shared" si="1"/>
        <v>1219742.43</v>
      </c>
      <c r="N195" s="1" t="str">
        <f t="shared" ref="N195:N258" si="5">_xlfn.XLOOKUP(M195,L195:L594,A195:A594)</f>
        <v>Sneha</v>
      </c>
    </row>
    <row r="196" spans="1:14" x14ac:dyDescent="0.3">
      <c r="A196" s="1" t="s">
        <v>59</v>
      </c>
      <c r="B196" s="1" t="s">
        <v>17</v>
      </c>
      <c r="C196" s="1" t="s">
        <v>13</v>
      </c>
      <c r="D196" s="1" t="s">
        <v>50</v>
      </c>
      <c r="E196" s="1">
        <v>19</v>
      </c>
      <c r="F196" s="1">
        <v>313</v>
      </c>
      <c r="G196" s="1">
        <v>2</v>
      </c>
      <c r="H196" s="2">
        <v>46198</v>
      </c>
      <c r="I196" s="2">
        <v>46206</v>
      </c>
      <c r="J196" s="1" t="s">
        <v>51</v>
      </c>
      <c r="K196" s="1">
        <v>1195</v>
      </c>
      <c r="L196" s="1">
        <f t="shared" si="0"/>
        <v>5828.0599999999995</v>
      </c>
      <c r="M196" s="1">
        <f t="shared" si="1"/>
        <v>1219742.43</v>
      </c>
      <c r="N196" s="1" t="str">
        <f t="shared" si="5"/>
        <v>Sneha</v>
      </c>
    </row>
    <row r="197" spans="1:14" x14ac:dyDescent="0.3">
      <c r="A197" s="1" t="s">
        <v>48</v>
      </c>
      <c r="B197" s="1" t="s">
        <v>22</v>
      </c>
      <c r="C197" s="1" t="s">
        <v>34</v>
      </c>
      <c r="D197" s="1" t="s">
        <v>35</v>
      </c>
      <c r="E197" s="1">
        <v>20</v>
      </c>
      <c r="F197" s="1">
        <v>3172</v>
      </c>
      <c r="G197" s="1">
        <v>5</v>
      </c>
      <c r="H197" s="2">
        <v>46155</v>
      </c>
      <c r="I197" s="2">
        <v>46159</v>
      </c>
      <c r="J197" s="1" t="s">
        <v>20</v>
      </c>
      <c r="K197" s="1">
        <v>1196</v>
      </c>
      <c r="L197" s="1">
        <f t="shared" si="0"/>
        <v>60268</v>
      </c>
      <c r="M197" s="1">
        <f t="shared" si="1"/>
        <v>1219742.43</v>
      </c>
      <c r="N197" s="1" t="str">
        <f t="shared" si="5"/>
        <v>Sneha</v>
      </c>
    </row>
    <row r="198" spans="1:14" x14ac:dyDescent="0.3">
      <c r="A198" s="1" t="s">
        <v>52</v>
      </c>
      <c r="B198" s="1" t="s">
        <v>31</v>
      </c>
      <c r="C198" s="1" t="s">
        <v>34</v>
      </c>
      <c r="D198" s="1" t="s">
        <v>35</v>
      </c>
      <c r="E198" s="1">
        <v>5</v>
      </c>
      <c r="F198" s="1">
        <v>45352</v>
      </c>
      <c r="G198" s="1">
        <v>12</v>
      </c>
      <c r="H198" s="2">
        <v>46045</v>
      </c>
      <c r="I198" s="2">
        <v>46048</v>
      </c>
      <c r="J198" s="1" t="s">
        <v>15</v>
      </c>
      <c r="K198" s="1">
        <v>1197</v>
      </c>
      <c r="L198" s="1">
        <f t="shared" si="0"/>
        <v>199548.79999999999</v>
      </c>
      <c r="M198" s="1">
        <f t="shared" si="1"/>
        <v>1219742.43</v>
      </c>
      <c r="N198" s="1" t="str">
        <f t="shared" si="5"/>
        <v>Sneha</v>
      </c>
    </row>
    <row r="199" spans="1:14" x14ac:dyDescent="0.3">
      <c r="A199" s="1" t="s">
        <v>58</v>
      </c>
      <c r="B199" s="1" t="s">
        <v>12</v>
      </c>
      <c r="C199" s="1" t="s">
        <v>13</v>
      </c>
      <c r="D199" s="1" t="s">
        <v>14</v>
      </c>
      <c r="E199" s="1">
        <v>12</v>
      </c>
      <c r="F199" s="1">
        <v>491</v>
      </c>
      <c r="G199" s="1">
        <v>2</v>
      </c>
      <c r="H199" s="2">
        <v>46106</v>
      </c>
      <c r="I199" s="2">
        <v>46109</v>
      </c>
      <c r="J199" s="1" t="s">
        <v>51</v>
      </c>
      <c r="K199" s="1">
        <v>1198</v>
      </c>
      <c r="L199" s="1">
        <f t="shared" si="0"/>
        <v>5774.16</v>
      </c>
      <c r="M199" s="1">
        <f t="shared" si="1"/>
        <v>1219742.43</v>
      </c>
      <c r="N199" s="1" t="str">
        <f t="shared" si="5"/>
        <v>Sneha</v>
      </c>
    </row>
    <row r="200" spans="1:14" x14ac:dyDescent="0.3">
      <c r="A200" s="1" t="s">
        <v>11</v>
      </c>
      <c r="B200" s="1" t="s">
        <v>25</v>
      </c>
      <c r="C200" s="1" t="s">
        <v>34</v>
      </c>
      <c r="D200" s="1" t="s">
        <v>45</v>
      </c>
      <c r="E200" s="1">
        <v>2</v>
      </c>
      <c r="F200" s="1">
        <v>4375</v>
      </c>
      <c r="G200" s="1">
        <v>7</v>
      </c>
      <c r="H200" s="2">
        <v>46178</v>
      </c>
      <c r="I200" s="2">
        <v>46180</v>
      </c>
      <c r="J200" s="1" t="s">
        <v>24</v>
      </c>
      <c r="K200" s="1">
        <v>1199</v>
      </c>
      <c r="L200" s="1">
        <f t="shared" si="0"/>
        <v>8137.4999999999991</v>
      </c>
      <c r="M200" s="1">
        <f t="shared" si="1"/>
        <v>1219742.43</v>
      </c>
      <c r="N200" s="1" t="str">
        <f t="shared" si="5"/>
        <v>Sneha</v>
      </c>
    </row>
    <row r="201" spans="1:14" x14ac:dyDescent="0.3">
      <c r="A201" s="1" t="s">
        <v>29</v>
      </c>
      <c r="B201" s="1" t="s">
        <v>31</v>
      </c>
      <c r="C201" s="1" t="s">
        <v>34</v>
      </c>
      <c r="D201" s="1" t="s">
        <v>45</v>
      </c>
      <c r="E201" s="1">
        <v>13</v>
      </c>
      <c r="F201" s="1">
        <v>69422</v>
      </c>
      <c r="G201" s="1">
        <v>0</v>
      </c>
      <c r="H201" s="2">
        <v>46134</v>
      </c>
      <c r="I201" s="2">
        <v>46143</v>
      </c>
      <c r="J201" s="1" t="s">
        <v>29</v>
      </c>
      <c r="K201" s="1">
        <v>1200</v>
      </c>
      <c r="L201" s="1">
        <f t="shared" si="0"/>
        <v>902486</v>
      </c>
      <c r="M201" s="1">
        <f t="shared" si="1"/>
        <v>1219742.43</v>
      </c>
      <c r="N201" s="1" t="str">
        <f t="shared" si="5"/>
        <v>Sneha</v>
      </c>
    </row>
    <row r="202" spans="1:14" x14ac:dyDescent="0.3">
      <c r="A202" s="1" t="s">
        <v>54</v>
      </c>
      <c r="B202" s="1" t="s">
        <v>31</v>
      </c>
      <c r="C202" s="1" t="s">
        <v>13</v>
      </c>
      <c r="D202" s="1" t="s">
        <v>53</v>
      </c>
      <c r="E202" s="1">
        <v>18</v>
      </c>
      <c r="F202" s="1">
        <v>139</v>
      </c>
      <c r="G202" s="1">
        <v>12</v>
      </c>
      <c r="H202" s="2">
        <v>46075</v>
      </c>
      <c r="I202" s="2">
        <v>46076</v>
      </c>
      <c r="J202" s="1" t="s">
        <v>20</v>
      </c>
      <c r="K202" s="1">
        <v>1201</v>
      </c>
      <c r="L202" s="1">
        <f t="shared" si="0"/>
        <v>2201.7600000000002</v>
      </c>
      <c r="M202" s="1">
        <f t="shared" si="1"/>
        <v>1219742.43</v>
      </c>
      <c r="N202" s="1" t="str">
        <f t="shared" si="5"/>
        <v>Sneha</v>
      </c>
    </row>
    <row r="203" spans="1:14" x14ac:dyDescent="0.3">
      <c r="A203" s="1" t="s">
        <v>57</v>
      </c>
      <c r="B203" s="1" t="s">
        <v>22</v>
      </c>
      <c r="C203" s="1" t="s">
        <v>34</v>
      </c>
      <c r="D203" s="1" t="s">
        <v>35</v>
      </c>
      <c r="E203" s="1">
        <v>2</v>
      </c>
      <c r="F203" s="1">
        <v>20312</v>
      </c>
      <c r="G203" s="1">
        <v>12</v>
      </c>
      <c r="H203" s="2">
        <v>46082</v>
      </c>
      <c r="I203" s="2">
        <v>46091</v>
      </c>
      <c r="J203" s="1" t="s">
        <v>15</v>
      </c>
      <c r="K203" s="1">
        <v>1202</v>
      </c>
      <c r="L203" s="1">
        <f t="shared" si="0"/>
        <v>35749.120000000003</v>
      </c>
      <c r="M203" s="1">
        <f t="shared" si="1"/>
        <v>1219742.43</v>
      </c>
      <c r="N203" s="1" t="str">
        <f t="shared" si="5"/>
        <v>Sneha</v>
      </c>
    </row>
    <row r="204" spans="1:14" x14ac:dyDescent="0.3">
      <c r="A204" s="1" t="s">
        <v>40</v>
      </c>
      <c r="B204" s="1" t="s">
        <v>22</v>
      </c>
      <c r="C204" s="1" t="s">
        <v>18</v>
      </c>
      <c r="D204" s="1" t="s">
        <v>23</v>
      </c>
      <c r="E204" s="1">
        <v>17</v>
      </c>
      <c r="F204" s="1">
        <v>6695</v>
      </c>
      <c r="G204" s="1">
        <v>2</v>
      </c>
      <c r="H204" s="2">
        <v>46119</v>
      </c>
      <c r="I204" s="2">
        <v>46122</v>
      </c>
      <c r="J204" s="1" t="s">
        <v>51</v>
      </c>
      <c r="K204" s="1">
        <v>1203</v>
      </c>
      <c r="L204" s="1">
        <f t="shared" si="0"/>
        <v>111538.7</v>
      </c>
      <c r="M204" s="1">
        <f t="shared" si="1"/>
        <v>1219742.43</v>
      </c>
      <c r="N204" s="1" t="str">
        <f t="shared" si="5"/>
        <v>Sneha</v>
      </c>
    </row>
    <row r="205" spans="1:14" x14ac:dyDescent="0.3">
      <c r="A205" s="1" t="s">
        <v>16</v>
      </c>
      <c r="B205" s="1" t="s">
        <v>31</v>
      </c>
      <c r="C205" s="1" t="s">
        <v>13</v>
      </c>
      <c r="D205" s="1" t="s">
        <v>37</v>
      </c>
      <c r="E205" s="1">
        <v>13</v>
      </c>
      <c r="F205" s="1">
        <v>416</v>
      </c>
      <c r="G205" s="1">
        <v>10</v>
      </c>
      <c r="H205" s="2">
        <v>46123</v>
      </c>
      <c r="I205" s="2">
        <v>46132</v>
      </c>
      <c r="J205" s="1" t="s">
        <v>20</v>
      </c>
      <c r="K205" s="1">
        <v>1204</v>
      </c>
      <c r="L205" s="1">
        <f t="shared" si="0"/>
        <v>4867.2</v>
      </c>
      <c r="M205" s="1">
        <f t="shared" si="1"/>
        <v>1219742.43</v>
      </c>
      <c r="N205" s="1" t="str">
        <f t="shared" si="5"/>
        <v>Sneha</v>
      </c>
    </row>
    <row r="206" spans="1:14" x14ac:dyDescent="0.3">
      <c r="A206" s="1" t="s">
        <v>21</v>
      </c>
      <c r="B206" s="1" t="s">
        <v>38</v>
      </c>
      <c r="C206" s="1" t="s">
        <v>13</v>
      </c>
      <c r="D206" s="1" t="s">
        <v>36</v>
      </c>
      <c r="E206" s="1">
        <v>1</v>
      </c>
      <c r="F206" s="1">
        <v>112</v>
      </c>
      <c r="G206" s="1">
        <v>7</v>
      </c>
      <c r="H206" s="2">
        <v>46033</v>
      </c>
      <c r="I206" s="2">
        <v>46040</v>
      </c>
      <c r="J206" s="1" t="s">
        <v>51</v>
      </c>
      <c r="K206" s="1">
        <v>1205</v>
      </c>
      <c r="L206" s="1">
        <f t="shared" si="0"/>
        <v>104.16</v>
      </c>
      <c r="M206" s="1">
        <f t="shared" si="1"/>
        <v>1219742.43</v>
      </c>
      <c r="N206" s="1" t="str">
        <f t="shared" si="5"/>
        <v>Sneha</v>
      </c>
    </row>
    <row r="207" spans="1:14" x14ac:dyDescent="0.3">
      <c r="A207" s="1" t="s">
        <v>55</v>
      </c>
      <c r="B207" s="1" t="s">
        <v>33</v>
      </c>
      <c r="C207" s="1" t="s">
        <v>13</v>
      </c>
      <c r="D207" s="1" t="s">
        <v>14</v>
      </c>
      <c r="E207" s="1">
        <v>9</v>
      </c>
      <c r="F207" s="1">
        <v>60</v>
      </c>
      <c r="G207" s="1">
        <v>0</v>
      </c>
      <c r="H207" s="2">
        <v>46166</v>
      </c>
      <c r="I207" s="2">
        <v>46174</v>
      </c>
      <c r="J207" s="1" t="s">
        <v>15</v>
      </c>
      <c r="K207" s="1">
        <v>1206</v>
      </c>
      <c r="L207" s="1">
        <f t="shared" si="0"/>
        <v>540</v>
      </c>
      <c r="M207" s="1">
        <f t="shared" si="1"/>
        <v>1219742.43</v>
      </c>
      <c r="N207" s="1" t="str">
        <f t="shared" si="5"/>
        <v>Sneha</v>
      </c>
    </row>
    <row r="208" spans="1:14" x14ac:dyDescent="0.3">
      <c r="A208" s="1" t="s">
        <v>55</v>
      </c>
      <c r="B208" s="1" t="s">
        <v>25</v>
      </c>
      <c r="C208" s="1" t="s">
        <v>13</v>
      </c>
      <c r="D208" s="1" t="s">
        <v>53</v>
      </c>
      <c r="E208" s="1">
        <v>7</v>
      </c>
      <c r="F208" s="1">
        <v>244</v>
      </c>
      <c r="G208" s="1">
        <v>2</v>
      </c>
      <c r="H208" s="2">
        <v>46164</v>
      </c>
      <c r="I208" s="2">
        <v>46173</v>
      </c>
      <c r="J208" s="1" t="s">
        <v>24</v>
      </c>
      <c r="K208" s="1">
        <v>1207</v>
      </c>
      <c r="L208" s="1">
        <f t="shared" si="0"/>
        <v>1673.84</v>
      </c>
      <c r="M208" s="1">
        <f t="shared" si="1"/>
        <v>1219742.43</v>
      </c>
      <c r="N208" s="1" t="str">
        <f t="shared" si="5"/>
        <v>Sneha</v>
      </c>
    </row>
    <row r="209" spans="1:14" x14ac:dyDescent="0.3">
      <c r="A209" s="1" t="s">
        <v>54</v>
      </c>
      <c r="B209" s="1" t="s">
        <v>43</v>
      </c>
      <c r="C209" s="1" t="s">
        <v>18</v>
      </c>
      <c r="D209" s="1" t="s">
        <v>44</v>
      </c>
      <c r="E209" s="1">
        <v>6</v>
      </c>
      <c r="F209" s="1">
        <v>7627</v>
      </c>
      <c r="G209" s="1">
        <v>10</v>
      </c>
      <c r="H209" s="2">
        <v>46042</v>
      </c>
      <c r="I209" s="2">
        <v>46047</v>
      </c>
      <c r="J209" s="1" t="s">
        <v>20</v>
      </c>
      <c r="K209" s="1">
        <v>1208</v>
      </c>
      <c r="L209" s="1">
        <f t="shared" si="0"/>
        <v>41185.800000000003</v>
      </c>
      <c r="M209" s="1">
        <f t="shared" si="1"/>
        <v>1219742.43</v>
      </c>
      <c r="N209" s="1" t="str">
        <f t="shared" si="5"/>
        <v>Sneha</v>
      </c>
    </row>
    <row r="210" spans="1:14" x14ac:dyDescent="0.3">
      <c r="A210" s="1" t="s">
        <v>48</v>
      </c>
      <c r="B210" s="1" t="s">
        <v>38</v>
      </c>
      <c r="C210" s="1" t="s">
        <v>34</v>
      </c>
      <c r="D210" s="1" t="s">
        <v>35</v>
      </c>
      <c r="E210" s="1">
        <v>19</v>
      </c>
      <c r="F210" s="1">
        <v>20284</v>
      </c>
      <c r="G210" s="1">
        <v>10</v>
      </c>
      <c r="H210" s="2">
        <v>46103</v>
      </c>
      <c r="I210" s="2">
        <v>46110</v>
      </c>
      <c r="J210" s="1" t="s">
        <v>20</v>
      </c>
      <c r="K210" s="1">
        <v>1209</v>
      </c>
      <c r="L210" s="1">
        <f t="shared" si="0"/>
        <v>346856.4</v>
      </c>
      <c r="M210" s="1">
        <f t="shared" si="1"/>
        <v>1219742.43</v>
      </c>
      <c r="N210" s="1" t="str">
        <f t="shared" si="5"/>
        <v>Sneha</v>
      </c>
    </row>
    <row r="211" spans="1:14" x14ac:dyDescent="0.3">
      <c r="A211" s="1" t="s">
        <v>30</v>
      </c>
      <c r="B211" s="1" t="s">
        <v>31</v>
      </c>
      <c r="C211" s="1" t="s">
        <v>13</v>
      </c>
      <c r="D211" s="1" t="s">
        <v>53</v>
      </c>
      <c r="E211" s="1">
        <v>10</v>
      </c>
      <c r="F211" s="1">
        <v>349</v>
      </c>
      <c r="G211" s="1">
        <v>0</v>
      </c>
      <c r="H211" s="2">
        <v>46052</v>
      </c>
      <c r="I211" s="2">
        <v>46060</v>
      </c>
      <c r="J211" s="1" t="s">
        <v>29</v>
      </c>
      <c r="K211" s="1">
        <v>1210</v>
      </c>
      <c r="L211" s="1">
        <f t="shared" si="0"/>
        <v>3490</v>
      </c>
      <c r="M211" s="1">
        <f t="shared" si="1"/>
        <v>1219742.43</v>
      </c>
      <c r="N211" s="1" t="str">
        <f t="shared" si="5"/>
        <v>Sneha</v>
      </c>
    </row>
    <row r="212" spans="1:14" x14ac:dyDescent="0.3">
      <c r="A212" s="1" t="s">
        <v>48</v>
      </c>
      <c r="B212" s="1" t="s">
        <v>17</v>
      </c>
      <c r="C212" s="1" t="s">
        <v>34</v>
      </c>
      <c r="D212" s="1" t="s">
        <v>35</v>
      </c>
      <c r="E212" s="1">
        <v>3</v>
      </c>
      <c r="F212" s="1">
        <v>5962</v>
      </c>
      <c r="G212" s="1">
        <v>7</v>
      </c>
      <c r="H212" s="2">
        <v>46175</v>
      </c>
      <c r="I212" s="2">
        <v>46183</v>
      </c>
      <c r="J212" s="1" t="s">
        <v>15</v>
      </c>
      <c r="K212" s="1">
        <v>1211</v>
      </c>
      <c r="L212" s="1">
        <f t="shared" si="0"/>
        <v>16633.98</v>
      </c>
      <c r="M212" s="1">
        <f t="shared" si="1"/>
        <v>1219742.43</v>
      </c>
      <c r="N212" s="1" t="str">
        <f t="shared" si="5"/>
        <v>Sneha</v>
      </c>
    </row>
    <row r="213" spans="1:14" x14ac:dyDescent="0.3">
      <c r="A213" s="1" t="s">
        <v>59</v>
      </c>
      <c r="B213" s="1" t="s">
        <v>25</v>
      </c>
      <c r="C213" s="1" t="s">
        <v>34</v>
      </c>
      <c r="D213" s="1" t="s">
        <v>60</v>
      </c>
      <c r="E213" s="1">
        <v>10</v>
      </c>
      <c r="F213" s="1">
        <v>34380</v>
      </c>
      <c r="G213" s="1">
        <v>7</v>
      </c>
      <c r="H213" s="2">
        <v>46194</v>
      </c>
      <c r="I213" s="2">
        <v>46195</v>
      </c>
      <c r="J213" s="1" t="s">
        <v>29</v>
      </c>
      <c r="K213" s="1">
        <v>1212</v>
      </c>
      <c r="L213" s="1">
        <f t="shared" si="0"/>
        <v>319734</v>
      </c>
      <c r="M213" s="1">
        <f t="shared" si="1"/>
        <v>1219742.43</v>
      </c>
      <c r="N213" s="1" t="str">
        <f t="shared" si="5"/>
        <v>Sneha</v>
      </c>
    </row>
    <row r="214" spans="1:14" x14ac:dyDescent="0.3">
      <c r="A214" s="1" t="s">
        <v>32</v>
      </c>
      <c r="B214" s="1" t="s">
        <v>38</v>
      </c>
      <c r="C214" s="1" t="s">
        <v>34</v>
      </c>
      <c r="D214" s="1" t="s">
        <v>45</v>
      </c>
      <c r="E214" s="1">
        <v>16</v>
      </c>
      <c r="F214" s="1">
        <v>27741</v>
      </c>
      <c r="G214" s="1">
        <v>12</v>
      </c>
      <c r="H214" s="2">
        <v>46116</v>
      </c>
      <c r="I214" s="2">
        <v>46119</v>
      </c>
      <c r="J214" s="1" t="s">
        <v>15</v>
      </c>
      <c r="K214" s="1">
        <v>1213</v>
      </c>
      <c r="L214" s="1">
        <f t="shared" si="0"/>
        <v>390593.28000000003</v>
      </c>
      <c r="M214" s="1">
        <f t="shared" si="1"/>
        <v>1219742.43</v>
      </c>
      <c r="N214" s="1" t="str">
        <f t="shared" si="5"/>
        <v>Sneha</v>
      </c>
    </row>
    <row r="215" spans="1:14" x14ac:dyDescent="0.3">
      <c r="A215" s="1" t="s">
        <v>42</v>
      </c>
      <c r="B215" s="1" t="s">
        <v>25</v>
      </c>
      <c r="C215" s="1" t="s">
        <v>18</v>
      </c>
      <c r="D215" s="1" t="s">
        <v>28</v>
      </c>
      <c r="E215" s="1">
        <v>19</v>
      </c>
      <c r="F215" s="1">
        <v>13832</v>
      </c>
      <c r="G215" s="1">
        <v>0</v>
      </c>
      <c r="H215" s="2">
        <v>46140</v>
      </c>
      <c r="I215" s="2">
        <v>46145</v>
      </c>
      <c r="J215" s="1" t="s">
        <v>51</v>
      </c>
      <c r="K215" s="1">
        <v>1214</v>
      </c>
      <c r="L215" s="1">
        <f t="shared" si="0"/>
        <v>262808</v>
      </c>
      <c r="M215" s="1">
        <f t="shared" si="1"/>
        <v>1219742.43</v>
      </c>
      <c r="N215" s="1" t="str">
        <f t="shared" si="5"/>
        <v>Sneha</v>
      </c>
    </row>
    <row r="216" spans="1:14" x14ac:dyDescent="0.3">
      <c r="A216" s="1" t="s">
        <v>27</v>
      </c>
      <c r="B216" s="1" t="s">
        <v>12</v>
      </c>
      <c r="C216" s="1" t="s">
        <v>18</v>
      </c>
      <c r="D216" s="1" t="s">
        <v>28</v>
      </c>
      <c r="E216" s="1">
        <v>6</v>
      </c>
      <c r="F216" s="1">
        <v>1254</v>
      </c>
      <c r="G216" s="1">
        <v>0</v>
      </c>
      <c r="H216" s="2">
        <v>46131</v>
      </c>
      <c r="I216" s="2">
        <v>46136</v>
      </c>
      <c r="J216" s="1" t="s">
        <v>29</v>
      </c>
      <c r="K216" s="1">
        <v>1215</v>
      </c>
      <c r="L216" s="1">
        <f t="shared" si="0"/>
        <v>7524</v>
      </c>
      <c r="M216" s="1">
        <f t="shared" si="1"/>
        <v>1219742.43</v>
      </c>
      <c r="N216" s="1" t="str">
        <f t="shared" si="5"/>
        <v>Sneha</v>
      </c>
    </row>
    <row r="217" spans="1:14" x14ac:dyDescent="0.3">
      <c r="A217" s="1" t="s">
        <v>40</v>
      </c>
      <c r="B217" s="1" t="s">
        <v>22</v>
      </c>
      <c r="C217" s="1" t="s">
        <v>34</v>
      </c>
      <c r="D217" s="1" t="s">
        <v>45</v>
      </c>
      <c r="E217" s="1">
        <v>10</v>
      </c>
      <c r="F217" s="1">
        <v>56709</v>
      </c>
      <c r="G217" s="1">
        <v>15</v>
      </c>
      <c r="H217" s="2">
        <v>46135</v>
      </c>
      <c r="I217" s="2">
        <v>46139</v>
      </c>
      <c r="J217" s="1" t="s">
        <v>29</v>
      </c>
      <c r="K217" s="1">
        <v>1216</v>
      </c>
      <c r="L217" s="1">
        <f t="shared" si="0"/>
        <v>482026.5</v>
      </c>
      <c r="M217" s="1">
        <f t="shared" si="1"/>
        <v>1219742.43</v>
      </c>
      <c r="N217" s="1" t="str">
        <f t="shared" si="5"/>
        <v>Sneha</v>
      </c>
    </row>
    <row r="218" spans="1:14" x14ac:dyDescent="0.3">
      <c r="A218" s="1" t="s">
        <v>30</v>
      </c>
      <c r="B218" s="1" t="s">
        <v>22</v>
      </c>
      <c r="C218" s="1" t="s">
        <v>13</v>
      </c>
      <c r="D218" s="1" t="s">
        <v>50</v>
      </c>
      <c r="E218" s="1">
        <v>18</v>
      </c>
      <c r="F218" s="1">
        <v>60</v>
      </c>
      <c r="G218" s="1">
        <v>0</v>
      </c>
      <c r="H218" s="2">
        <v>46171</v>
      </c>
      <c r="I218" s="2">
        <v>46172</v>
      </c>
      <c r="J218" s="1" t="s">
        <v>29</v>
      </c>
      <c r="K218" s="1">
        <v>1217</v>
      </c>
      <c r="L218" s="1">
        <f t="shared" si="0"/>
        <v>1080</v>
      </c>
      <c r="M218" s="1">
        <f t="shared" si="1"/>
        <v>1219742.43</v>
      </c>
      <c r="N218" s="1" t="str">
        <f t="shared" si="5"/>
        <v>Sneha</v>
      </c>
    </row>
    <row r="219" spans="1:14" x14ac:dyDescent="0.3">
      <c r="A219" s="1" t="s">
        <v>55</v>
      </c>
      <c r="B219" s="1" t="s">
        <v>38</v>
      </c>
      <c r="C219" s="1" t="s">
        <v>13</v>
      </c>
      <c r="D219" s="1" t="s">
        <v>14</v>
      </c>
      <c r="E219" s="1">
        <v>1</v>
      </c>
      <c r="F219" s="1">
        <v>134</v>
      </c>
      <c r="G219" s="1">
        <v>10</v>
      </c>
      <c r="H219" s="2">
        <v>46143</v>
      </c>
      <c r="I219" s="2">
        <v>46151</v>
      </c>
      <c r="J219" s="1" t="s">
        <v>51</v>
      </c>
      <c r="K219" s="1">
        <v>1218</v>
      </c>
      <c r="L219" s="1">
        <f t="shared" si="0"/>
        <v>120.60000000000001</v>
      </c>
      <c r="M219" s="1">
        <f t="shared" si="1"/>
        <v>1219742.43</v>
      </c>
      <c r="N219" s="1" t="str">
        <f t="shared" si="5"/>
        <v>Sneha</v>
      </c>
    </row>
    <row r="220" spans="1:14" x14ac:dyDescent="0.3">
      <c r="A220" s="1" t="s">
        <v>46</v>
      </c>
      <c r="B220" s="1" t="s">
        <v>22</v>
      </c>
      <c r="C220" s="1" t="s">
        <v>13</v>
      </c>
      <c r="D220" s="1" t="s">
        <v>14</v>
      </c>
      <c r="E220" s="1">
        <v>4</v>
      </c>
      <c r="F220" s="1">
        <v>117</v>
      </c>
      <c r="G220" s="1">
        <v>15</v>
      </c>
      <c r="H220" s="2">
        <v>46202</v>
      </c>
      <c r="I220" s="2">
        <v>46206</v>
      </c>
      <c r="J220" s="1" t="s">
        <v>29</v>
      </c>
      <c r="K220" s="1">
        <v>1219</v>
      </c>
      <c r="L220" s="1">
        <f t="shared" si="0"/>
        <v>397.8</v>
      </c>
      <c r="M220" s="1">
        <f t="shared" si="1"/>
        <v>1219742.43</v>
      </c>
      <c r="N220" s="1" t="str">
        <f t="shared" si="5"/>
        <v>Sneha</v>
      </c>
    </row>
    <row r="221" spans="1:14" x14ac:dyDescent="0.3">
      <c r="A221" s="1" t="s">
        <v>11</v>
      </c>
      <c r="B221" s="1" t="s">
        <v>25</v>
      </c>
      <c r="C221" s="1" t="s">
        <v>18</v>
      </c>
      <c r="D221" s="1" t="s">
        <v>56</v>
      </c>
      <c r="E221" s="1">
        <v>2</v>
      </c>
      <c r="F221" s="1">
        <v>8861</v>
      </c>
      <c r="G221" s="1">
        <v>2</v>
      </c>
      <c r="H221" s="2">
        <v>46170</v>
      </c>
      <c r="I221" s="2">
        <v>46174</v>
      </c>
      <c r="J221" s="1" t="s">
        <v>24</v>
      </c>
      <c r="K221" s="1">
        <v>1220</v>
      </c>
      <c r="L221" s="1">
        <f t="shared" si="0"/>
        <v>17367.560000000001</v>
      </c>
      <c r="M221" s="1">
        <f t="shared" si="1"/>
        <v>1219742.43</v>
      </c>
      <c r="N221" s="1" t="str">
        <f t="shared" si="5"/>
        <v>Sneha</v>
      </c>
    </row>
    <row r="222" spans="1:14" x14ac:dyDescent="0.3">
      <c r="A222" s="1" t="s">
        <v>11</v>
      </c>
      <c r="B222" s="1" t="s">
        <v>31</v>
      </c>
      <c r="C222" s="1" t="s">
        <v>18</v>
      </c>
      <c r="D222" s="1" t="s">
        <v>56</v>
      </c>
      <c r="E222" s="1">
        <v>18</v>
      </c>
      <c r="F222" s="1">
        <v>2681</v>
      </c>
      <c r="G222" s="1">
        <v>10</v>
      </c>
      <c r="H222" s="2">
        <v>46122</v>
      </c>
      <c r="I222" s="2">
        <v>46125</v>
      </c>
      <c r="J222" s="1" t="s">
        <v>51</v>
      </c>
      <c r="K222" s="1">
        <v>1221</v>
      </c>
      <c r="L222" s="1">
        <f t="shared" si="0"/>
        <v>43432.200000000004</v>
      </c>
      <c r="M222" s="1">
        <f t="shared" si="1"/>
        <v>1219742.43</v>
      </c>
      <c r="N222" s="1" t="str">
        <f t="shared" si="5"/>
        <v>Sneha</v>
      </c>
    </row>
    <row r="223" spans="1:14" x14ac:dyDescent="0.3">
      <c r="A223" s="1" t="s">
        <v>30</v>
      </c>
      <c r="B223" s="1" t="s">
        <v>33</v>
      </c>
      <c r="C223" s="1" t="s">
        <v>18</v>
      </c>
      <c r="D223" s="1" t="s">
        <v>23</v>
      </c>
      <c r="E223" s="1">
        <v>9</v>
      </c>
      <c r="F223" s="1">
        <v>2712</v>
      </c>
      <c r="G223" s="1">
        <v>12</v>
      </c>
      <c r="H223" s="2">
        <v>46154</v>
      </c>
      <c r="I223" s="2">
        <v>46163</v>
      </c>
      <c r="J223" s="1" t="s">
        <v>15</v>
      </c>
      <c r="K223" s="1">
        <v>1222</v>
      </c>
      <c r="L223" s="1">
        <f t="shared" si="0"/>
        <v>21479.040000000001</v>
      </c>
      <c r="M223" s="1">
        <f t="shared" si="1"/>
        <v>1219742.43</v>
      </c>
      <c r="N223" s="1" t="str">
        <f t="shared" si="5"/>
        <v>Sneha</v>
      </c>
    </row>
    <row r="224" spans="1:14" x14ac:dyDescent="0.3">
      <c r="A224" s="1" t="s">
        <v>59</v>
      </c>
      <c r="B224" s="1" t="s">
        <v>17</v>
      </c>
      <c r="C224" s="1" t="s">
        <v>18</v>
      </c>
      <c r="D224" s="1" t="s">
        <v>23</v>
      </c>
      <c r="E224" s="1">
        <v>4</v>
      </c>
      <c r="F224" s="1">
        <v>2249</v>
      </c>
      <c r="G224" s="1">
        <v>7</v>
      </c>
      <c r="H224" s="2">
        <v>46077</v>
      </c>
      <c r="I224" s="2">
        <v>46084</v>
      </c>
      <c r="J224" s="1" t="s">
        <v>15</v>
      </c>
      <c r="K224" s="1">
        <v>1223</v>
      </c>
      <c r="L224" s="1">
        <f t="shared" si="0"/>
        <v>8366.2799999999988</v>
      </c>
      <c r="M224" s="1">
        <f t="shared" si="1"/>
        <v>1219742.43</v>
      </c>
      <c r="N224" s="1" t="str">
        <f t="shared" si="5"/>
        <v>Sneha</v>
      </c>
    </row>
    <row r="225" spans="1:14" x14ac:dyDescent="0.3">
      <c r="A225" s="1" t="s">
        <v>30</v>
      </c>
      <c r="B225" s="1" t="s">
        <v>38</v>
      </c>
      <c r="C225" s="1" t="s">
        <v>34</v>
      </c>
      <c r="D225" s="1" t="s">
        <v>45</v>
      </c>
      <c r="E225" s="1">
        <v>16</v>
      </c>
      <c r="F225" s="1">
        <v>18378</v>
      </c>
      <c r="G225" s="1">
        <v>10</v>
      </c>
      <c r="H225" s="2">
        <v>46045</v>
      </c>
      <c r="I225" s="2">
        <v>46052</v>
      </c>
      <c r="J225" s="1" t="s">
        <v>24</v>
      </c>
      <c r="K225" s="1">
        <v>1224</v>
      </c>
      <c r="L225" s="1">
        <f t="shared" si="0"/>
        <v>264643.20000000001</v>
      </c>
      <c r="M225" s="1">
        <f t="shared" si="1"/>
        <v>1219742.43</v>
      </c>
      <c r="N225" s="1" t="str">
        <f t="shared" si="5"/>
        <v>Sneha</v>
      </c>
    </row>
    <row r="226" spans="1:14" x14ac:dyDescent="0.3">
      <c r="A226" s="1" t="s">
        <v>42</v>
      </c>
      <c r="B226" s="1" t="s">
        <v>31</v>
      </c>
      <c r="C226" s="1" t="s">
        <v>34</v>
      </c>
      <c r="D226" s="1" t="s">
        <v>35</v>
      </c>
      <c r="E226" s="1">
        <v>16</v>
      </c>
      <c r="F226" s="1">
        <v>32262</v>
      </c>
      <c r="G226" s="1">
        <v>12</v>
      </c>
      <c r="H226" s="2">
        <v>46125</v>
      </c>
      <c r="I226" s="2">
        <v>46126</v>
      </c>
      <c r="J226" s="1" t="s">
        <v>20</v>
      </c>
      <c r="K226" s="1">
        <v>1225</v>
      </c>
      <c r="L226" s="1">
        <f t="shared" si="0"/>
        <v>454248.96000000002</v>
      </c>
      <c r="M226" s="1">
        <f t="shared" si="1"/>
        <v>1219742.43</v>
      </c>
      <c r="N226" s="1" t="str">
        <f t="shared" si="5"/>
        <v>Sneha</v>
      </c>
    </row>
    <row r="227" spans="1:14" x14ac:dyDescent="0.3">
      <c r="A227" s="1" t="s">
        <v>29</v>
      </c>
      <c r="B227" s="1" t="s">
        <v>31</v>
      </c>
      <c r="C227" s="1" t="s">
        <v>34</v>
      </c>
      <c r="D227" s="1" t="s">
        <v>41</v>
      </c>
      <c r="E227" s="1">
        <v>13</v>
      </c>
      <c r="F227" s="1">
        <v>21332</v>
      </c>
      <c r="G227" s="1">
        <v>0</v>
      </c>
      <c r="H227" s="2">
        <v>46044</v>
      </c>
      <c r="I227" s="2">
        <v>46048</v>
      </c>
      <c r="J227" s="1" t="s">
        <v>29</v>
      </c>
      <c r="K227" s="1">
        <v>1226</v>
      </c>
      <c r="L227" s="1">
        <f t="shared" si="0"/>
        <v>277316</v>
      </c>
      <c r="M227" s="1">
        <f t="shared" si="1"/>
        <v>1219742.43</v>
      </c>
      <c r="N227" s="1" t="str">
        <f t="shared" si="5"/>
        <v>Sneha</v>
      </c>
    </row>
    <row r="228" spans="1:14" x14ac:dyDescent="0.3">
      <c r="A228" s="1" t="s">
        <v>58</v>
      </c>
      <c r="B228" s="1" t="s">
        <v>22</v>
      </c>
      <c r="C228" s="1" t="s">
        <v>34</v>
      </c>
      <c r="D228" s="1" t="s">
        <v>45</v>
      </c>
      <c r="E228" s="1">
        <v>16</v>
      </c>
      <c r="F228" s="1">
        <v>1321</v>
      </c>
      <c r="G228" s="1">
        <v>12</v>
      </c>
      <c r="H228" s="2">
        <v>46113</v>
      </c>
      <c r="I228" s="2">
        <v>46116</v>
      </c>
      <c r="J228" s="1" t="s">
        <v>15</v>
      </c>
      <c r="K228" s="1">
        <v>1227</v>
      </c>
      <c r="L228" s="1">
        <f t="shared" si="0"/>
        <v>18599.68</v>
      </c>
      <c r="M228" s="1">
        <f t="shared" si="1"/>
        <v>1219742.43</v>
      </c>
      <c r="N228" s="1" t="str">
        <f t="shared" si="5"/>
        <v>Sneha</v>
      </c>
    </row>
    <row r="229" spans="1:14" x14ac:dyDescent="0.3">
      <c r="A229" s="1" t="s">
        <v>29</v>
      </c>
      <c r="B229" s="1" t="s">
        <v>25</v>
      </c>
      <c r="C229" s="1" t="s">
        <v>34</v>
      </c>
      <c r="D229" s="1" t="s">
        <v>45</v>
      </c>
      <c r="E229" s="1">
        <v>16</v>
      </c>
      <c r="F229" s="1">
        <v>17477</v>
      </c>
      <c r="G229" s="1">
        <v>10</v>
      </c>
      <c r="H229" s="2">
        <v>46041</v>
      </c>
      <c r="I229" s="2">
        <v>46043</v>
      </c>
      <c r="J229" s="1" t="s">
        <v>24</v>
      </c>
      <c r="K229" s="1">
        <v>1228</v>
      </c>
      <c r="L229" s="1">
        <f t="shared" si="0"/>
        <v>251668.80000000002</v>
      </c>
      <c r="M229" s="1">
        <f t="shared" si="1"/>
        <v>1219742.43</v>
      </c>
      <c r="N229" s="1" t="str">
        <f t="shared" si="5"/>
        <v>Sneha</v>
      </c>
    </row>
    <row r="230" spans="1:14" x14ac:dyDescent="0.3">
      <c r="A230" s="1" t="s">
        <v>57</v>
      </c>
      <c r="B230" s="1" t="s">
        <v>12</v>
      </c>
      <c r="C230" s="1" t="s">
        <v>18</v>
      </c>
      <c r="D230" s="1" t="s">
        <v>56</v>
      </c>
      <c r="E230" s="1">
        <v>14</v>
      </c>
      <c r="F230" s="1">
        <v>5859</v>
      </c>
      <c r="G230" s="1">
        <v>12</v>
      </c>
      <c r="H230" s="2">
        <v>46027</v>
      </c>
      <c r="I230" s="2">
        <v>46036</v>
      </c>
      <c r="J230" s="1" t="s">
        <v>20</v>
      </c>
      <c r="K230" s="1">
        <v>1229</v>
      </c>
      <c r="L230" s="1">
        <f t="shared" si="0"/>
        <v>72182.880000000005</v>
      </c>
      <c r="M230" s="1">
        <f t="shared" si="1"/>
        <v>1219742.43</v>
      </c>
      <c r="N230" s="1" t="str">
        <f t="shared" si="5"/>
        <v>Sneha</v>
      </c>
    </row>
    <row r="231" spans="1:14" x14ac:dyDescent="0.3">
      <c r="A231" s="1" t="s">
        <v>59</v>
      </c>
      <c r="B231" s="1" t="s">
        <v>33</v>
      </c>
      <c r="C231" s="1" t="s">
        <v>34</v>
      </c>
      <c r="D231" s="1" t="s">
        <v>60</v>
      </c>
      <c r="E231" s="1">
        <v>7</v>
      </c>
      <c r="F231" s="1">
        <v>2932</v>
      </c>
      <c r="G231" s="1">
        <v>7</v>
      </c>
      <c r="H231" s="2">
        <v>46050</v>
      </c>
      <c r="I231" s="2">
        <v>46059</v>
      </c>
      <c r="J231" s="1" t="s">
        <v>24</v>
      </c>
      <c r="K231" s="1">
        <v>1230</v>
      </c>
      <c r="L231" s="1">
        <f t="shared" si="0"/>
        <v>19087.32</v>
      </c>
      <c r="M231" s="1">
        <f t="shared" si="1"/>
        <v>1219742.43</v>
      </c>
      <c r="N231" s="1" t="str">
        <f t="shared" si="5"/>
        <v>Sneha</v>
      </c>
    </row>
    <row r="232" spans="1:14" x14ac:dyDescent="0.3">
      <c r="A232" s="1" t="s">
        <v>48</v>
      </c>
      <c r="B232" s="1" t="s">
        <v>38</v>
      </c>
      <c r="C232" s="1" t="s">
        <v>18</v>
      </c>
      <c r="D232" s="1" t="s">
        <v>19</v>
      </c>
      <c r="E232" s="1">
        <v>13</v>
      </c>
      <c r="F232" s="1">
        <v>10297</v>
      </c>
      <c r="G232" s="1">
        <v>12</v>
      </c>
      <c r="H232" s="2">
        <v>46178</v>
      </c>
      <c r="I232" s="2">
        <v>46186</v>
      </c>
      <c r="J232" s="1" t="s">
        <v>20</v>
      </c>
      <c r="K232" s="1">
        <v>1231</v>
      </c>
      <c r="L232" s="1">
        <f t="shared" si="0"/>
        <v>117797.68000000001</v>
      </c>
      <c r="M232" s="1">
        <f t="shared" si="1"/>
        <v>1219742.43</v>
      </c>
      <c r="N232" s="1" t="str">
        <f t="shared" si="5"/>
        <v>Sneha</v>
      </c>
    </row>
    <row r="233" spans="1:14" x14ac:dyDescent="0.3">
      <c r="A233" s="1" t="s">
        <v>21</v>
      </c>
      <c r="B233" s="1" t="s">
        <v>12</v>
      </c>
      <c r="C233" s="1" t="s">
        <v>34</v>
      </c>
      <c r="D233" s="1" t="s">
        <v>60</v>
      </c>
      <c r="E233" s="1">
        <v>3</v>
      </c>
      <c r="F233" s="1">
        <v>13272</v>
      </c>
      <c r="G233" s="1">
        <v>2</v>
      </c>
      <c r="H233" s="2">
        <v>46060</v>
      </c>
      <c r="I233" s="2">
        <v>46065</v>
      </c>
      <c r="J233" s="1" t="s">
        <v>15</v>
      </c>
      <c r="K233" s="1">
        <v>1232</v>
      </c>
      <c r="L233" s="1">
        <f t="shared" si="0"/>
        <v>39019.68</v>
      </c>
      <c r="M233" s="1">
        <f t="shared" si="1"/>
        <v>1219742.43</v>
      </c>
      <c r="N233" s="1" t="str">
        <f t="shared" si="5"/>
        <v>Sneha</v>
      </c>
    </row>
    <row r="234" spans="1:14" x14ac:dyDescent="0.3">
      <c r="A234" s="1" t="s">
        <v>58</v>
      </c>
      <c r="B234" s="1" t="s">
        <v>22</v>
      </c>
      <c r="C234" s="1" t="s">
        <v>18</v>
      </c>
      <c r="D234" s="1" t="s">
        <v>19</v>
      </c>
      <c r="E234" s="1">
        <v>20</v>
      </c>
      <c r="F234" s="1">
        <v>13941</v>
      </c>
      <c r="G234" s="1">
        <v>15</v>
      </c>
      <c r="H234" s="2">
        <v>46198</v>
      </c>
      <c r="I234" s="2">
        <v>46202</v>
      </c>
      <c r="J234" s="1" t="s">
        <v>24</v>
      </c>
      <c r="K234" s="1">
        <v>1233</v>
      </c>
      <c r="L234" s="1">
        <f t="shared" si="0"/>
        <v>236997</v>
      </c>
      <c r="M234" s="1">
        <f t="shared" si="1"/>
        <v>1219742.43</v>
      </c>
      <c r="N234" s="1" t="str">
        <f t="shared" si="5"/>
        <v>Sneha</v>
      </c>
    </row>
    <row r="235" spans="1:14" x14ac:dyDescent="0.3">
      <c r="A235" s="1" t="s">
        <v>11</v>
      </c>
      <c r="B235" s="1" t="s">
        <v>25</v>
      </c>
      <c r="C235" s="1" t="s">
        <v>18</v>
      </c>
      <c r="D235" s="1" t="s">
        <v>28</v>
      </c>
      <c r="E235" s="1">
        <v>1</v>
      </c>
      <c r="F235" s="1">
        <v>14320</v>
      </c>
      <c r="G235" s="1">
        <v>12</v>
      </c>
      <c r="H235" s="2">
        <v>46114</v>
      </c>
      <c r="I235" s="2">
        <v>46121</v>
      </c>
      <c r="J235" s="1" t="s">
        <v>51</v>
      </c>
      <c r="K235" s="1">
        <v>1234</v>
      </c>
      <c r="L235" s="1">
        <f t="shared" si="0"/>
        <v>12601.6</v>
      </c>
      <c r="M235" s="1">
        <f t="shared" si="1"/>
        <v>1219742.43</v>
      </c>
      <c r="N235" s="1" t="str">
        <f t="shared" si="5"/>
        <v>Sneha</v>
      </c>
    </row>
    <row r="236" spans="1:14" x14ac:dyDescent="0.3">
      <c r="A236" s="1" t="s">
        <v>57</v>
      </c>
      <c r="B236" s="1" t="s">
        <v>25</v>
      </c>
      <c r="C236" s="1" t="s">
        <v>13</v>
      </c>
      <c r="D236" s="1" t="s">
        <v>50</v>
      </c>
      <c r="E236" s="1">
        <v>15</v>
      </c>
      <c r="F236" s="1">
        <v>267</v>
      </c>
      <c r="G236" s="1">
        <v>15</v>
      </c>
      <c r="H236" s="2">
        <v>46172</v>
      </c>
      <c r="I236" s="2">
        <v>46177</v>
      </c>
      <c r="J236" s="1" t="s">
        <v>29</v>
      </c>
      <c r="K236" s="1">
        <v>1235</v>
      </c>
      <c r="L236" s="1">
        <f t="shared" si="0"/>
        <v>3404.25</v>
      </c>
      <c r="M236" s="1">
        <f t="shared" si="1"/>
        <v>1219742.43</v>
      </c>
      <c r="N236" s="1" t="str">
        <f t="shared" si="5"/>
        <v>Sneha</v>
      </c>
    </row>
    <row r="237" spans="1:14" x14ac:dyDescent="0.3">
      <c r="A237" s="1" t="s">
        <v>54</v>
      </c>
      <c r="B237" s="1" t="s">
        <v>43</v>
      </c>
      <c r="C237" s="1" t="s">
        <v>13</v>
      </c>
      <c r="D237" s="1" t="s">
        <v>37</v>
      </c>
      <c r="E237" s="1">
        <v>12</v>
      </c>
      <c r="F237" s="1">
        <v>189</v>
      </c>
      <c r="G237" s="1">
        <v>7</v>
      </c>
      <c r="H237" s="2">
        <v>46164</v>
      </c>
      <c r="I237" s="2">
        <v>46169</v>
      </c>
      <c r="J237" s="1" t="s">
        <v>29</v>
      </c>
      <c r="K237" s="1">
        <v>1236</v>
      </c>
      <c r="L237" s="1">
        <f t="shared" si="0"/>
        <v>2109.2399999999998</v>
      </c>
      <c r="M237" s="1">
        <f t="shared" si="1"/>
        <v>1219742.43</v>
      </c>
      <c r="N237" s="1" t="str">
        <f t="shared" si="5"/>
        <v>Sneha</v>
      </c>
    </row>
    <row r="238" spans="1:14" x14ac:dyDescent="0.3">
      <c r="A238" s="1" t="s">
        <v>46</v>
      </c>
      <c r="B238" s="1" t="s">
        <v>38</v>
      </c>
      <c r="C238" s="1" t="s">
        <v>18</v>
      </c>
      <c r="D238" s="1" t="s">
        <v>56</v>
      </c>
      <c r="E238" s="1">
        <v>8</v>
      </c>
      <c r="F238" s="1">
        <v>12123</v>
      </c>
      <c r="G238" s="1">
        <v>2</v>
      </c>
      <c r="H238" s="2">
        <v>46137</v>
      </c>
      <c r="I238" s="2">
        <v>46145</v>
      </c>
      <c r="J238" s="1" t="s">
        <v>15</v>
      </c>
      <c r="K238" s="1">
        <v>1237</v>
      </c>
      <c r="L238" s="1">
        <f t="shared" si="0"/>
        <v>95044.319999999992</v>
      </c>
      <c r="M238" s="1">
        <f t="shared" si="1"/>
        <v>1219742.43</v>
      </c>
      <c r="N238" s="1" t="str">
        <f t="shared" si="5"/>
        <v>Sneha</v>
      </c>
    </row>
    <row r="239" spans="1:14" x14ac:dyDescent="0.3">
      <c r="A239" s="1" t="s">
        <v>30</v>
      </c>
      <c r="B239" s="1" t="s">
        <v>31</v>
      </c>
      <c r="C239" s="1" t="s">
        <v>13</v>
      </c>
      <c r="D239" s="1" t="s">
        <v>14</v>
      </c>
      <c r="E239" s="1">
        <v>6</v>
      </c>
      <c r="F239" s="1">
        <v>180</v>
      </c>
      <c r="G239" s="1">
        <v>12</v>
      </c>
      <c r="H239" s="2">
        <v>46096</v>
      </c>
      <c r="I239" s="2">
        <v>46097</v>
      </c>
      <c r="J239" s="1" t="s">
        <v>51</v>
      </c>
      <c r="K239" s="1">
        <v>1238</v>
      </c>
      <c r="L239" s="1">
        <f t="shared" si="0"/>
        <v>950.4</v>
      </c>
      <c r="M239" s="1">
        <f t="shared" si="1"/>
        <v>1219742.43</v>
      </c>
      <c r="N239" s="1" t="str">
        <f t="shared" si="5"/>
        <v>Sneha</v>
      </c>
    </row>
    <row r="240" spans="1:14" x14ac:dyDescent="0.3">
      <c r="A240" s="1" t="s">
        <v>48</v>
      </c>
      <c r="B240" s="1" t="s">
        <v>17</v>
      </c>
      <c r="C240" s="1" t="s">
        <v>18</v>
      </c>
      <c r="D240" s="1" t="s">
        <v>56</v>
      </c>
      <c r="E240" s="1">
        <v>2</v>
      </c>
      <c r="F240" s="1">
        <v>12330</v>
      </c>
      <c r="G240" s="1">
        <v>12</v>
      </c>
      <c r="H240" s="2">
        <v>46122</v>
      </c>
      <c r="I240" s="2">
        <v>46125</v>
      </c>
      <c r="J240" s="1" t="s">
        <v>15</v>
      </c>
      <c r="K240" s="1">
        <v>1239</v>
      </c>
      <c r="L240" s="1">
        <f t="shared" si="0"/>
        <v>21700.799999999999</v>
      </c>
      <c r="M240" s="1">
        <f t="shared" si="1"/>
        <v>1219742.43</v>
      </c>
      <c r="N240" s="1" t="str">
        <f t="shared" si="5"/>
        <v>Sneha</v>
      </c>
    </row>
    <row r="241" spans="1:14" x14ac:dyDescent="0.3">
      <c r="A241" s="1" t="s">
        <v>55</v>
      </c>
      <c r="B241" s="1" t="s">
        <v>33</v>
      </c>
      <c r="C241" s="1" t="s">
        <v>18</v>
      </c>
      <c r="D241" s="1" t="s">
        <v>23</v>
      </c>
      <c r="E241" s="1">
        <v>2</v>
      </c>
      <c r="F241" s="1">
        <v>5475</v>
      </c>
      <c r="G241" s="1">
        <v>2</v>
      </c>
      <c r="H241" s="2">
        <v>46142</v>
      </c>
      <c r="I241" s="2">
        <v>46146</v>
      </c>
      <c r="J241" s="1" t="s">
        <v>29</v>
      </c>
      <c r="K241" s="1">
        <v>1240</v>
      </c>
      <c r="L241" s="1">
        <f t="shared" si="0"/>
        <v>10731</v>
      </c>
      <c r="M241" s="1">
        <f t="shared" si="1"/>
        <v>1219742.43</v>
      </c>
      <c r="N241" s="1" t="str">
        <f t="shared" si="5"/>
        <v>Sneha</v>
      </c>
    </row>
    <row r="242" spans="1:14" x14ac:dyDescent="0.3">
      <c r="A242" s="1" t="s">
        <v>46</v>
      </c>
      <c r="B242" s="1" t="s">
        <v>31</v>
      </c>
      <c r="C242" s="1" t="s">
        <v>18</v>
      </c>
      <c r="D242" s="1" t="s">
        <v>44</v>
      </c>
      <c r="E242" s="1">
        <v>1</v>
      </c>
      <c r="F242" s="1">
        <v>12537</v>
      </c>
      <c r="G242" s="1">
        <v>0</v>
      </c>
      <c r="H242" s="2">
        <v>46119</v>
      </c>
      <c r="I242" s="2">
        <v>46122</v>
      </c>
      <c r="J242" s="1" t="s">
        <v>15</v>
      </c>
      <c r="K242" s="1">
        <v>1241</v>
      </c>
      <c r="L242" s="1">
        <f t="shared" si="0"/>
        <v>12537</v>
      </c>
      <c r="M242" s="1">
        <f t="shared" si="1"/>
        <v>1219742.43</v>
      </c>
      <c r="N242" s="1" t="str">
        <f t="shared" si="5"/>
        <v>Sneha</v>
      </c>
    </row>
    <row r="243" spans="1:14" x14ac:dyDescent="0.3">
      <c r="A243" s="1" t="s">
        <v>54</v>
      </c>
      <c r="B243" s="1" t="s">
        <v>38</v>
      </c>
      <c r="C243" s="1" t="s">
        <v>13</v>
      </c>
      <c r="D243" s="1" t="s">
        <v>50</v>
      </c>
      <c r="E243" s="1">
        <v>7</v>
      </c>
      <c r="F243" s="1">
        <v>168</v>
      </c>
      <c r="G243" s="1">
        <v>10</v>
      </c>
      <c r="H243" s="2">
        <v>46191</v>
      </c>
      <c r="I243" s="2">
        <v>46196</v>
      </c>
      <c r="J243" s="1" t="s">
        <v>51</v>
      </c>
      <c r="K243" s="1">
        <v>1242</v>
      </c>
      <c r="L243" s="1">
        <f t="shared" si="0"/>
        <v>1058.4000000000001</v>
      </c>
      <c r="M243" s="1">
        <f t="shared" si="1"/>
        <v>1219742.43</v>
      </c>
      <c r="N243" s="1" t="str">
        <f t="shared" si="5"/>
        <v>Sneha</v>
      </c>
    </row>
    <row r="244" spans="1:14" x14ac:dyDescent="0.3">
      <c r="A244" s="1" t="s">
        <v>30</v>
      </c>
      <c r="B244" s="1" t="s">
        <v>31</v>
      </c>
      <c r="C244" s="1" t="s">
        <v>34</v>
      </c>
      <c r="D244" s="1" t="s">
        <v>41</v>
      </c>
      <c r="E244" s="1">
        <v>5</v>
      </c>
      <c r="F244" s="1">
        <v>11570</v>
      </c>
      <c r="G244" s="1">
        <v>15</v>
      </c>
      <c r="H244" s="2">
        <v>46069</v>
      </c>
      <c r="I244" s="2">
        <v>46077</v>
      </c>
      <c r="J244" s="1" t="s">
        <v>24</v>
      </c>
      <c r="K244" s="1">
        <v>1243</v>
      </c>
      <c r="L244" s="1">
        <f t="shared" si="0"/>
        <v>49172.5</v>
      </c>
      <c r="M244" s="1">
        <f t="shared" si="1"/>
        <v>1219742.43</v>
      </c>
      <c r="N244" s="1" t="str">
        <f t="shared" si="5"/>
        <v>Sneha</v>
      </c>
    </row>
    <row r="245" spans="1:14" x14ac:dyDescent="0.3">
      <c r="A245" s="1" t="s">
        <v>57</v>
      </c>
      <c r="B245" s="1" t="s">
        <v>38</v>
      </c>
      <c r="C245" s="1" t="s">
        <v>18</v>
      </c>
      <c r="D245" s="1" t="s">
        <v>28</v>
      </c>
      <c r="E245" s="1">
        <v>10</v>
      </c>
      <c r="F245" s="1">
        <v>6339</v>
      </c>
      <c r="G245" s="1">
        <v>12</v>
      </c>
      <c r="H245" s="2">
        <v>46200</v>
      </c>
      <c r="I245" s="2">
        <v>46205</v>
      </c>
      <c r="J245" s="1" t="s">
        <v>15</v>
      </c>
      <c r="K245" s="1">
        <v>1244</v>
      </c>
      <c r="L245" s="1">
        <f t="shared" si="0"/>
        <v>55783.199999999997</v>
      </c>
      <c r="M245" s="1">
        <f t="shared" si="1"/>
        <v>1219742.43</v>
      </c>
      <c r="N245" s="1" t="str">
        <f t="shared" si="5"/>
        <v>Sneha</v>
      </c>
    </row>
    <row r="246" spans="1:14" x14ac:dyDescent="0.3">
      <c r="A246" s="1" t="s">
        <v>55</v>
      </c>
      <c r="B246" s="1" t="s">
        <v>43</v>
      </c>
      <c r="C246" s="1" t="s">
        <v>34</v>
      </c>
      <c r="D246" s="1" t="s">
        <v>41</v>
      </c>
      <c r="E246" s="1">
        <v>19</v>
      </c>
      <c r="F246" s="1">
        <v>69029</v>
      </c>
      <c r="G246" s="1">
        <v>7</v>
      </c>
      <c r="H246" s="2">
        <v>46176</v>
      </c>
      <c r="I246" s="2">
        <v>46179</v>
      </c>
      <c r="J246" s="1" t="s">
        <v>29</v>
      </c>
      <c r="K246" s="1">
        <v>1245</v>
      </c>
      <c r="L246" s="1">
        <f t="shared" si="0"/>
        <v>1219742.43</v>
      </c>
      <c r="M246" s="1">
        <f t="shared" si="1"/>
        <v>1219742.43</v>
      </c>
      <c r="N246" s="1" t="str">
        <f t="shared" si="5"/>
        <v>Sneha</v>
      </c>
    </row>
    <row r="247" spans="1:14" x14ac:dyDescent="0.3">
      <c r="A247" s="1" t="s">
        <v>55</v>
      </c>
      <c r="B247" s="1" t="s">
        <v>22</v>
      </c>
      <c r="C247" s="1" t="s">
        <v>34</v>
      </c>
      <c r="D247" s="1" t="s">
        <v>35</v>
      </c>
      <c r="E247" s="1">
        <v>13</v>
      </c>
      <c r="F247" s="1">
        <v>1825</v>
      </c>
      <c r="G247" s="1">
        <v>2</v>
      </c>
      <c r="H247" s="2">
        <v>46039</v>
      </c>
      <c r="I247" s="2">
        <v>46045</v>
      </c>
      <c r="J247" s="1" t="s">
        <v>51</v>
      </c>
      <c r="K247" s="1">
        <v>1246</v>
      </c>
      <c r="L247" s="1">
        <f t="shared" si="0"/>
        <v>23250.5</v>
      </c>
      <c r="M247" s="1">
        <f t="shared" si="1"/>
        <v>1166610.5999999999</v>
      </c>
      <c r="N247" s="1" t="str">
        <f t="shared" si="5"/>
        <v>Deepak</v>
      </c>
    </row>
    <row r="248" spans="1:14" x14ac:dyDescent="0.3">
      <c r="A248" s="1" t="s">
        <v>26</v>
      </c>
      <c r="B248" s="1" t="s">
        <v>12</v>
      </c>
      <c r="C248" s="1" t="s">
        <v>13</v>
      </c>
      <c r="D248" s="1" t="s">
        <v>50</v>
      </c>
      <c r="E248" s="1">
        <v>10</v>
      </c>
      <c r="F248" s="1">
        <v>336</v>
      </c>
      <c r="G248" s="1">
        <v>7</v>
      </c>
      <c r="H248" s="2">
        <v>46173</v>
      </c>
      <c r="I248" s="2">
        <v>46175</v>
      </c>
      <c r="J248" s="1" t="s">
        <v>20</v>
      </c>
      <c r="K248" s="1">
        <v>1247</v>
      </c>
      <c r="L248" s="1">
        <f t="shared" si="0"/>
        <v>3124.7999999999997</v>
      </c>
      <c r="M248" s="1">
        <f t="shared" si="1"/>
        <v>1166610.5999999999</v>
      </c>
      <c r="N248" s="1" t="str">
        <f t="shared" si="5"/>
        <v>Deepak</v>
      </c>
    </row>
    <row r="249" spans="1:14" x14ac:dyDescent="0.3">
      <c r="A249" s="1" t="s">
        <v>27</v>
      </c>
      <c r="B249" s="1" t="s">
        <v>43</v>
      </c>
      <c r="C249" s="1" t="s">
        <v>13</v>
      </c>
      <c r="D249" s="1" t="s">
        <v>37</v>
      </c>
      <c r="E249" s="1">
        <v>5</v>
      </c>
      <c r="F249" s="1">
        <v>398</v>
      </c>
      <c r="G249" s="1">
        <v>7</v>
      </c>
      <c r="H249" s="2">
        <v>46161</v>
      </c>
      <c r="I249" s="2">
        <v>46171</v>
      </c>
      <c r="J249" s="1" t="s">
        <v>29</v>
      </c>
      <c r="K249" s="1">
        <v>1248</v>
      </c>
      <c r="L249" s="1">
        <f t="shared" si="0"/>
        <v>1850.6999999999998</v>
      </c>
      <c r="M249" s="1">
        <f t="shared" si="1"/>
        <v>1166610.5999999999</v>
      </c>
      <c r="N249" s="1" t="str">
        <f t="shared" si="5"/>
        <v>Deepak</v>
      </c>
    </row>
    <row r="250" spans="1:14" x14ac:dyDescent="0.3">
      <c r="A250" s="1" t="s">
        <v>16</v>
      </c>
      <c r="B250" s="1" t="s">
        <v>25</v>
      </c>
      <c r="C250" s="1" t="s">
        <v>34</v>
      </c>
      <c r="D250" s="1" t="s">
        <v>41</v>
      </c>
      <c r="E250" s="1">
        <v>18</v>
      </c>
      <c r="F250" s="1">
        <v>6360</v>
      </c>
      <c r="G250" s="1">
        <v>12</v>
      </c>
      <c r="H250" s="2">
        <v>46163</v>
      </c>
      <c r="I250" s="2">
        <v>46165</v>
      </c>
      <c r="J250" s="1" t="s">
        <v>20</v>
      </c>
      <c r="K250" s="1">
        <v>1249</v>
      </c>
      <c r="L250" s="1">
        <f t="shared" si="0"/>
        <v>100742.39999999999</v>
      </c>
      <c r="M250" s="1">
        <f t="shared" si="1"/>
        <v>1166610.5999999999</v>
      </c>
      <c r="N250" s="1" t="str">
        <f t="shared" si="5"/>
        <v>Deepak</v>
      </c>
    </row>
    <row r="251" spans="1:14" x14ac:dyDescent="0.3">
      <c r="A251" s="1" t="s">
        <v>11</v>
      </c>
      <c r="B251" s="1" t="s">
        <v>17</v>
      </c>
      <c r="C251" s="1" t="s">
        <v>34</v>
      </c>
      <c r="D251" s="1" t="s">
        <v>45</v>
      </c>
      <c r="E251" s="1">
        <v>2</v>
      </c>
      <c r="F251" s="1">
        <v>65953</v>
      </c>
      <c r="G251" s="1">
        <v>7</v>
      </c>
      <c r="H251" s="2">
        <v>46051</v>
      </c>
      <c r="I251" s="2">
        <v>46053</v>
      </c>
      <c r="J251" s="1" t="s">
        <v>29</v>
      </c>
      <c r="K251" s="1">
        <v>1250</v>
      </c>
      <c r="L251" s="1">
        <f t="shared" si="0"/>
        <v>122672.57999999999</v>
      </c>
      <c r="M251" s="1">
        <f t="shared" si="1"/>
        <v>1166610.5999999999</v>
      </c>
      <c r="N251" s="1" t="str">
        <f t="shared" si="5"/>
        <v>Deepak</v>
      </c>
    </row>
    <row r="252" spans="1:14" x14ac:dyDescent="0.3">
      <c r="A252" s="1" t="s">
        <v>55</v>
      </c>
      <c r="B252" s="1" t="s">
        <v>38</v>
      </c>
      <c r="C252" s="1" t="s">
        <v>34</v>
      </c>
      <c r="D252" s="1" t="s">
        <v>61</v>
      </c>
      <c r="E252" s="1">
        <v>19</v>
      </c>
      <c r="F252" s="1">
        <v>48548</v>
      </c>
      <c r="G252" s="1">
        <v>0</v>
      </c>
      <c r="H252" s="2">
        <v>46112</v>
      </c>
      <c r="I252" s="2">
        <v>46121</v>
      </c>
      <c r="J252" s="1" t="s">
        <v>51</v>
      </c>
      <c r="K252" s="1">
        <v>1251</v>
      </c>
      <c r="L252" s="1">
        <f t="shared" si="0"/>
        <v>922412</v>
      </c>
      <c r="M252" s="1">
        <f t="shared" si="1"/>
        <v>1166610.5999999999</v>
      </c>
      <c r="N252" s="1" t="str">
        <f t="shared" si="5"/>
        <v>Deepak</v>
      </c>
    </row>
    <row r="253" spans="1:14" x14ac:dyDescent="0.3">
      <c r="A253" s="1" t="s">
        <v>47</v>
      </c>
      <c r="B253" s="1" t="s">
        <v>25</v>
      </c>
      <c r="C253" s="1" t="s">
        <v>13</v>
      </c>
      <c r="D253" s="1" t="s">
        <v>36</v>
      </c>
      <c r="E253" s="1">
        <v>15</v>
      </c>
      <c r="F253" s="1">
        <v>257</v>
      </c>
      <c r="G253" s="1">
        <v>5</v>
      </c>
      <c r="H253" s="2">
        <v>46166</v>
      </c>
      <c r="I253" s="2">
        <v>46173</v>
      </c>
      <c r="J253" s="1" t="s">
        <v>20</v>
      </c>
      <c r="K253" s="1">
        <v>1252</v>
      </c>
      <c r="L253" s="1">
        <f t="shared" si="0"/>
        <v>3662.25</v>
      </c>
      <c r="M253" s="1">
        <f t="shared" si="1"/>
        <v>1166610.5999999999</v>
      </c>
      <c r="N253" s="1" t="str">
        <f t="shared" si="5"/>
        <v>Deepak</v>
      </c>
    </row>
    <row r="254" spans="1:14" x14ac:dyDescent="0.3">
      <c r="A254" s="1" t="s">
        <v>21</v>
      </c>
      <c r="B254" s="1" t="s">
        <v>31</v>
      </c>
      <c r="C254" s="1" t="s">
        <v>34</v>
      </c>
      <c r="D254" s="1" t="s">
        <v>45</v>
      </c>
      <c r="E254" s="1">
        <v>20</v>
      </c>
      <c r="F254" s="1">
        <v>47880</v>
      </c>
      <c r="G254" s="1">
        <v>7</v>
      </c>
      <c r="H254" s="2">
        <v>46074</v>
      </c>
      <c r="I254" s="2">
        <v>46075</v>
      </c>
      <c r="J254" s="1" t="s">
        <v>29</v>
      </c>
      <c r="K254" s="1">
        <v>1253</v>
      </c>
      <c r="L254" s="1">
        <f t="shared" si="0"/>
        <v>890567.99999999988</v>
      </c>
      <c r="M254" s="1">
        <f t="shared" si="1"/>
        <v>1166610.5999999999</v>
      </c>
      <c r="N254" s="1" t="str">
        <f t="shared" si="5"/>
        <v>Deepak</v>
      </c>
    </row>
    <row r="255" spans="1:14" x14ac:dyDescent="0.3">
      <c r="A255" s="1" t="s">
        <v>52</v>
      </c>
      <c r="B255" s="1" t="s">
        <v>22</v>
      </c>
      <c r="C255" s="1" t="s">
        <v>13</v>
      </c>
      <c r="D255" s="1" t="s">
        <v>50</v>
      </c>
      <c r="E255" s="1">
        <v>18</v>
      </c>
      <c r="F255" s="1">
        <v>447</v>
      </c>
      <c r="G255" s="1">
        <v>15</v>
      </c>
      <c r="H255" s="2">
        <v>46141</v>
      </c>
      <c r="I255" s="2">
        <v>46149</v>
      </c>
      <c r="J255" s="1" t="s">
        <v>24</v>
      </c>
      <c r="K255" s="1">
        <v>1254</v>
      </c>
      <c r="L255" s="1">
        <f t="shared" si="0"/>
        <v>6839.0999999999995</v>
      </c>
      <c r="M255" s="1">
        <f t="shared" si="1"/>
        <v>1166610.5999999999</v>
      </c>
      <c r="N255" s="1" t="str">
        <f t="shared" si="5"/>
        <v>Deepak</v>
      </c>
    </row>
    <row r="256" spans="1:14" x14ac:dyDescent="0.3">
      <c r="A256" s="1" t="s">
        <v>32</v>
      </c>
      <c r="B256" s="1" t="s">
        <v>17</v>
      </c>
      <c r="C256" s="1" t="s">
        <v>18</v>
      </c>
      <c r="D256" s="1" t="s">
        <v>19</v>
      </c>
      <c r="E256" s="1">
        <v>1</v>
      </c>
      <c r="F256" s="1">
        <v>2240</v>
      </c>
      <c r="G256" s="1">
        <v>5</v>
      </c>
      <c r="H256" s="2">
        <v>46091</v>
      </c>
      <c r="I256" s="2">
        <v>46095</v>
      </c>
      <c r="J256" s="1" t="s">
        <v>20</v>
      </c>
      <c r="K256" s="1">
        <v>1255</v>
      </c>
      <c r="L256" s="1">
        <f t="shared" si="0"/>
        <v>2128</v>
      </c>
      <c r="M256" s="1">
        <f t="shared" si="1"/>
        <v>1166610.5999999999</v>
      </c>
      <c r="N256" s="1" t="str">
        <f t="shared" si="5"/>
        <v>Deepak</v>
      </c>
    </row>
    <row r="257" spans="1:14" x14ac:dyDescent="0.3">
      <c r="A257" s="1" t="s">
        <v>48</v>
      </c>
      <c r="B257" s="1" t="s">
        <v>31</v>
      </c>
      <c r="C257" s="1" t="s">
        <v>13</v>
      </c>
      <c r="D257" s="1" t="s">
        <v>50</v>
      </c>
      <c r="E257" s="1">
        <v>19</v>
      </c>
      <c r="F257" s="1">
        <v>406</v>
      </c>
      <c r="G257" s="1">
        <v>7</v>
      </c>
      <c r="H257" s="2">
        <v>46057</v>
      </c>
      <c r="I257" s="2">
        <v>46061</v>
      </c>
      <c r="J257" s="1" t="s">
        <v>15</v>
      </c>
      <c r="K257" s="1">
        <v>1256</v>
      </c>
      <c r="L257" s="1">
        <f t="shared" ref="L257:L401" si="6">E257*F257*(1-G257/100)</f>
        <v>7174.0199999999995</v>
      </c>
      <c r="M257" s="1">
        <f t="shared" ref="M257:M401" si="7">MAX(L257:L656)</f>
        <v>1166610.5999999999</v>
      </c>
      <c r="N257" s="1" t="str">
        <f t="shared" si="5"/>
        <v>Deepak</v>
      </c>
    </row>
    <row r="258" spans="1:14" x14ac:dyDescent="0.3">
      <c r="A258" s="1" t="s">
        <v>54</v>
      </c>
      <c r="B258" s="1" t="s">
        <v>25</v>
      </c>
      <c r="C258" s="1" t="s">
        <v>34</v>
      </c>
      <c r="D258" s="1" t="s">
        <v>61</v>
      </c>
      <c r="E258" s="1">
        <v>7</v>
      </c>
      <c r="F258" s="1">
        <v>53243</v>
      </c>
      <c r="G258" s="1">
        <v>12</v>
      </c>
      <c r="H258" s="2">
        <v>46161</v>
      </c>
      <c r="I258" s="2">
        <v>46171</v>
      </c>
      <c r="J258" s="1" t="s">
        <v>15</v>
      </c>
      <c r="K258" s="1">
        <v>1257</v>
      </c>
      <c r="L258" s="1">
        <f t="shared" si="6"/>
        <v>327976.88</v>
      </c>
      <c r="M258" s="1">
        <f t="shared" si="7"/>
        <v>1166610.5999999999</v>
      </c>
      <c r="N258" s="1" t="str">
        <f t="shared" si="5"/>
        <v>Deepak</v>
      </c>
    </row>
    <row r="259" spans="1:14" x14ac:dyDescent="0.3">
      <c r="A259" s="1" t="s">
        <v>32</v>
      </c>
      <c r="B259" s="1" t="s">
        <v>31</v>
      </c>
      <c r="C259" s="1" t="s">
        <v>34</v>
      </c>
      <c r="D259" s="1" t="s">
        <v>60</v>
      </c>
      <c r="E259" s="1">
        <v>1</v>
      </c>
      <c r="F259" s="1">
        <v>10600</v>
      </c>
      <c r="G259" s="1">
        <v>5</v>
      </c>
      <c r="H259" s="2">
        <v>46137</v>
      </c>
      <c r="I259" s="2">
        <v>46138</v>
      </c>
      <c r="J259" s="1" t="s">
        <v>29</v>
      </c>
      <c r="K259" s="1">
        <v>1258</v>
      </c>
      <c r="L259" s="1">
        <f t="shared" si="6"/>
        <v>10070</v>
      </c>
      <c r="M259" s="1">
        <f t="shared" si="7"/>
        <v>1166610.5999999999</v>
      </c>
      <c r="N259" s="1" t="str">
        <f t="shared" ref="N259:N322" si="8">_xlfn.XLOOKUP(M259,L259:L658,A259:A658)</f>
        <v>Deepak</v>
      </c>
    </row>
    <row r="260" spans="1:14" x14ac:dyDescent="0.3">
      <c r="A260" s="1" t="s">
        <v>42</v>
      </c>
      <c r="B260" s="1" t="s">
        <v>22</v>
      </c>
      <c r="C260" s="1" t="s">
        <v>34</v>
      </c>
      <c r="D260" s="1" t="s">
        <v>45</v>
      </c>
      <c r="E260" s="1">
        <v>10</v>
      </c>
      <c r="F260" s="1">
        <v>38771</v>
      </c>
      <c r="G260" s="1">
        <v>15</v>
      </c>
      <c r="H260" s="2">
        <v>46172</v>
      </c>
      <c r="I260" s="2">
        <v>46182</v>
      </c>
      <c r="J260" s="1" t="s">
        <v>15</v>
      </c>
      <c r="K260" s="1">
        <v>1259</v>
      </c>
      <c r="L260" s="1">
        <f t="shared" si="6"/>
        <v>329553.5</v>
      </c>
      <c r="M260" s="1">
        <f t="shared" si="7"/>
        <v>1166610.5999999999</v>
      </c>
      <c r="N260" s="1" t="str">
        <f t="shared" si="8"/>
        <v>Deepak</v>
      </c>
    </row>
    <row r="261" spans="1:14" x14ac:dyDescent="0.3">
      <c r="A261" s="1" t="s">
        <v>54</v>
      </c>
      <c r="B261" s="1" t="s">
        <v>38</v>
      </c>
      <c r="C261" s="1" t="s">
        <v>34</v>
      </c>
      <c r="D261" s="1" t="s">
        <v>41</v>
      </c>
      <c r="E261" s="1">
        <v>19</v>
      </c>
      <c r="F261" s="1">
        <v>54981</v>
      </c>
      <c r="G261" s="1">
        <v>10</v>
      </c>
      <c r="H261" s="2">
        <v>46040</v>
      </c>
      <c r="I261" s="2">
        <v>46045</v>
      </c>
      <c r="J261" s="1" t="s">
        <v>29</v>
      </c>
      <c r="K261" s="1">
        <v>1260</v>
      </c>
      <c r="L261" s="1">
        <f t="shared" si="6"/>
        <v>940175.1</v>
      </c>
      <c r="M261" s="1">
        <f t="shared" si="7"/>
        <v>1166610.5999999999</v>
      </c>
      <c r="N261" s="1" t="str">
        <f t="shared" si="8"/>
        <v>Deepak</v>
      </c>
    </row>
    <row r="262" spans="1:14" x14ac:dyDescent="0.3">
      <c r="A262" s="1" t="s">
        <v>40</v>
      </c>
      <c r="B262" s="1" t="s">
        <v>17</v>
      </c>
      <c r="C262" s="1" t="s">
        <v>13</v>
      </c>
      <c r="D262" s="1" t="s">
        <v>50</v>
      </c>
      <c r="E262" s="1">
        <v>20</v>
      </c>
      <c r="F262" s="1">
        <v>162</v>
      </c>
      <c r="G262" s="1">
        <v>7</v>
      </c>
      <c r="H262" s="2">
        <v>46119</v>
      </c>
      <c r="I262" s="2">
        <v>46120</v>
      </c>
      <c r="J262" s="1" t="s">
        <v>51</v>
      </c>
      <c r="K262" s="1">
        <v>1261</v>
      </c>
      <c r="L262" s="1">
        <f t="shared" si="6"/>
        <v>3013.2</v>
      </c>
      <c r="M262" s="1">
        <f t="shared" si="7"/>
        <v>1166610.5999999999</v>
      </c>
      <c r="N262" s="1" t="str">
        <f t="shared" si="8"/>
        <v>Deepak</v>
      </c>
    </row>
    <row r="263" spans="1:14" x14ac:dyDescent="0.3">
      <c r="A263" s="1" t="s">
        <v>16</v>
      </c>
      <c r="B263" s="1" t="s">
        <v>22</v>
      </c>
      <c r="C263" s="1" t="s">
        <v>18</v>
      </c>
      <c r="D263" s="1" t="s">
        <v>28</v>
      </c>
      <c r="E263" s="1">
        <v>9</v>
      </c>
      <c r="F263" s="1">
        <v>2231</v>
      </c>
      <c r="G263" s="1">
        <v>15</v>
      </c>
      <c r="H263" s="2">
        <v>46174</v>
      </c>
      <c r="I263" s="2">
        <v>46183</v>
      </c>
      <c r="J263" s="1" t="s">
        <v>15</v>
      </c>
      <c r="K263" s="1">
        <v>1262</v>
      </c>
      <c r="L263" s="1">
        <f t="shared" si="6"/>
        <v>17067.149999999998</v>
      </c>
      <c r="M263" s="1">
        <f t="shared" si="7"/>
        <v>1166610.5999999999</v>
      </c>
      <c r="N263" s="1" t="str">
        <f t="shared" si="8"/>
        <v>Deepak</v>
      </c>
    </row>
    <row r="264" spans="1:14" x14ac:dyDescent="0.3">
      <c r="A264" s="1" t="s">
        <v>29</v>
      </c>
      <c r="B264" s="1" t="s">
        <v>38</v>
      </c>
      <c r="C264" s="1" t="s">
        <v>18</v>
      </c>
      <c r="D264" s="1" t="s">
        <v>28</v>
      </c>
      <c r="E264" s="1">
        <v>10</v>
      </c>
      <c r="F264" s="1">
        <v>1505</v>
      </c>
      <c r="G264" s="1">
        <v>0</v>
      </c>
      <c r="H264" s="2">
        <v>46130</v>
      </c>
      <c r="I264" s="2">
        <v>46138</v>
      </c>
      <c r="J264" s="1" t="s">
        <v>51</v>
      </c>
      <c r="K264" s="1">
        <v>1263</v>
      </c>
      <c r="L264" s="1">
        <f t="shared" si="6"/>
        <v>15050</v>
      </c>
      <c r="M264" s="1">
        <f t="shared" si="7"/>
        <v>1166610.5999999999</v>
      </c>
      <c r="N264" s="1" t="str">
        <f t="shared" si="8"/>
        <v>Deepak</v>
      </c>
    </row>
    <row r="265" spans="1:14" x14ac:dyDescent="0.3">
      <c r="A265" s="1" t="s">
        <v>11</v>
      </c>
      <c r="B265" s="1" t="s">
        <v>22</v>
      </c>
      <c r="C265" s="1" t="s">
        <v>18</v>
      </c>
      <c r="D265" s="1" t="s">
        <v>28</v>
      </c>
      <c r="E265" s="1">
        <v>15</v>
      </c>
      <c r="F265" s="1">
        <v>6365</v>
      </c>
      <c r="G265" s="1">
        <v>10</v>
      </c>
      <c r="H265" s="2">
        <v>46200</v>
      </c>
      <c r="I265" s="2">
        <v>46206</v>
      </c>
      <c r="J265" s="1" t="s">
        <v>20</v>
      </c>
      <c r="K265" s="1">
        <v>1264</v>
      </c>
      <c r="L265" s="1">
        <f t="shared" si="6"/>
        <v>85927.5</v>
      </c>
      <c r="M265" s="1">
        <f t="shared" si="7"/>
        <v>1166610.5999999999</v>
      </c>
      <c r="N265" s="1" t="str">
        <f t="shared" si="8"/>
        <v>Deepak</v>
      </c>
    </row>
    <row r="266" spans="1:14" x14ac:dyDescent="0.3">
      <c r="A266" s="1" t="s">
        <v>58</v>
      </c>
      <c r="B266" s="1" t="s">
        <v>22</v>
      </c>
      <c r="C266" s="1" t="s">
        <v>18</v>
      </c>
      <c r="D266" s="1" t="s">
        <v>19</v>
      </c>
      <c r="E266" s="1">
        <v>1</v>
      </c>
      <c r="F266" s="1">
        <v>1052</v>
      </c>
      <c r="G266" s="1">
        <v>7</v>
      </c>
      <c r="H266" s="2">
        <v>46117</v>
      </c>
      <c r="I266" s="2">
        <v>46127</v>
      </c>
      <c r="J266" s="1" t="s">
        <v>51</v>
      </c>
      <c r="K266" s="1">
        <v>1265</v>
      </c>
      <c r="L266" s="1">
        <f t="shared" si="6"/>
        <v>978.3599999999999</v>
      </c>
      <c r="M266" s="1">
        <f t="shared" si="7"/>
        <v>1166610.5999999999</v>
      </c>
      <c r="N266" s="1" t="str">
        <f t="shared" si="8"/>
        <v>Deepak</v>
      </c>
    </row>
    <row r="267" spans="1:14" x14ac:dyDescent="0.3">
      <c r="A267" s="1" t="s">
        <v>29</v>
      </c>
      <c r="B267" s="1" t="s">
        <v>33</v>
      </c>
      <c r="C267" s="1" t="s">
        <v>13</v>
      </c>
      <c r="D267" s="1" t="s">
        <v>14</v>
      </c>
      <c r="E267" s="1">
        <v>17</v>
      </c>
      <c r="F267" s="1">
        <v>365</v>
      </c>
      <c r="G267" s="1">
        <v>2</v>
      </c>
      <c r="H267" s="2">
        <v>46096</v>
      </c>
      <c r="I267" s="2">
        <v>46104</v>
      </c>
      <c r="J267" s="1" t="s">
        <v>51</v>
      </c>
      <c r="K267" s="1">
        <v>1266</v>
      </c>
      <c r="L267" s="1">
        <f t="shared" si="6"/>
        <v>6080.9</v>
      </c>
      <c r="M267" s="1">
        <f t="shared" si="7"/>
        <v>1166610.5999999999</v>
      </c>
      <c r="N267" s="1" t="str">
        <f t="shared" si="8"/>
        <v>Deepak</v>
      </c>
    </row>
    <row r="268" spans="1:14" x14ac:dyDescent="0.3">
      <c r="A268" s="1" t="s">
        <v>27</v>
      </c>
      <c r="B268" s="1" t="s">
        <v>38</v>
      </c>
      <c r="C268" s="1" t="s">
        <v>13</v>
      </c>
      <c r="D268" s="1" t="s">
        <v>50</v>
      </c>
      <c r="E268" s="1">
        <v>1</v>
      </c>
      <c r="F268" s="1">
        <v>50</v>
      </c>
      <c r="G268" s="1">
        <v>0</v>
      </c>
      <c r="H268" s="2">
        <v>46129</v>
      </c>
      <c r="I268" s="2">
        <v>46138</v>
      </c>
      <c r="J268" s="1" t="s">
        <v>20</v>
      </c>
      <c r="K268" s="1">
        <v>1267</v>
      </c>
      <c r="L268" s="1">
        <f t="shared" si="6"/>
        <v>50</v>
      </c>
      <c r="M268" s="1">
        <f t="shared" si="7"/>
        <v>1166610.5999999999</v>
      </c>
      <c r="N268" s="1" t="str">
        <f t="shared" si="8"/>
        <v>Deepak</v>
      </c>
    </row>
    <row r="269" spans="1:14" x14ac:dyDescent="0.3">
      <c r="A269" s="1" t="s">
        <v>42</v>
      </c>
      <c r="B269" s="1" t="s">
        <v>38</v>
      </c>
      <c r="C269" s="1" t="s">
        <v>34</v>
      </c>
      <c r="D269" s="1" t="s">
        <v>45</v>
      </c>
      <c r="E269" s="1">
        <v>10</v>
      </c>
      <c r="F269" s="1">
        <v>46291</v>
      </c>
      <c r="G269" s="1">
        <v>12</v>
      </c>
      <c r="H269" s="2">
        <v>46199</v>
      </c>
      <c r="I269" s="2">
        <v>46202</v>
      </c>
      <c r="J269" s="1" t="s">
        <v>20</v>
      </c>
      <c r="K269" s="1">
        <v>1268</v>
      </c>
      <c r="L269" s="1">
        <f t="shared" si="6"/>
        <v>407360.8</v>
      </c>
      <c r="M269" s="1">
        <f t="shared" si="7"/>
        <v>1166610.5999999999</v>
      </c>
      <c r="N269" s="1" t="str">
        <f t="shared" si="8"/>
        <v>Deepak</v>
      </c>
    </row>
    <row r="270" spans="1:14" x14ac:dyDescent="0.3">
      <c r="A270" s="1" t="s">
        <v>52</v>
      </c>
      <c r="B270" s="1" t="s">
        <v>43</v>
      </c>
      <c r="C270" s="1" t="s">
        <v>18</v>
      </c>
      <c r="D270" s="1" t="s">
        <v>19</v>
      </c>
      <c r="E270" s="1">
        <v>14</v>
      </c>
      <c r="F270" s="1">
        <v>5704</v>
      </c>
      <c r="G270" s="1">
        <v>2</v>
      </c>
      <c r="H270" s="2">
        <v>46129</v>
      </c>
      <c r="I270" s="2">
        <v>46131</v>
      </c>
      <c r="J270" s="1" t="s">
        <v>15</v>
      </c>
      <c r="K270" s="1">
        <v>1269</v>
      </c>
      <c r="L270" s="1">
        <f t="shared" si="6"/>
        <v>78258.880000000005</v>
      </c>
      <c r="M270" s="1">
        <f t="shared" si="7"/>
        <v>1166610.5999999999</v>
      </c>
      <c r="N270" s="1" t="str">
        <f t="shared" si="8"/>
        <v>Deepak</v>
      </c>
    </row>
    <row r="271" spans="1:14" x14ac:dyDescent="0.3">
      <c r="A271" s="1" t="s">
        <v>49</v>
      </c>
      <c r="B271" s="1" t="s">
        <v>43</v>
      </c>
      <c r="C271" s="1" t="s">
        <v>34</v>
      </c>
      <c r="D271" s="1" t="s">
        <v>35</v>
      </c>
      <c r="E271" s="1">
        <v>16</v>
      </c>
      <c r="F271" s="1">
        <v>62941</v>
      </c>
      <c r="G271" s="1">
        <v>7</v>
      </c>
      <c r="H271" s="2">
        <v>46135</v>
      </c>
      <c r="I271" s="2">
        <v>46141</v>
      </c>
      <c r="J271" s="1" t="s">
        <v>51</v>
      </c>
      <c r="K271" s="1">
        <v>1270</v>
      </c>
      <c r="L271" s="1">
        <f t="shared" si="6"/>
        <v>936562.08</v>
      </c>
      <c r="M271" s="1">
        <f t="shared" si="7"/>
        <v>1166610.5999999999</v>
      </c>
      <c r="N271" s="1" t="str">
        <f t="shared" si="8"/>
        <v>Deepak</v>
      </c>
    </row>
    <row r="272" spans="1:14" x14ac:dyDescent="0.3">
      <c r="A272" s="1" t="s">
        <v>40</v>
      </c>
      <c r="B272" s="1" t="s">
        <v>33</v>
      </c>
      <c r="C272" s="1" t="s">
        <v>34</v>
      </c>
      <c r="D272" s="1" t="s">
        <v>60</v>
      </c>
      <c r="E272" s="1">
        <v>20</v>
      </c>
      <c r="F272" s="1">
        <v>36941</v>
      </c>
      <c r="G272" s="1">
        <v>15</v>
      </c>
      <c r="H272" s="2">
        <v>46083</v>
      </c>
      <c r="I272" s="2">
        <v>46085</v>
      </c>
      <c r="J272" s="1" t="s">
        <v>29</v>
      </c>
      <c r="K272" s="1">
        <v>1271</v>
      </c>
      <c r="L272" s="1">
        <f t="shared" si="6"/>
        <v>627997</v>
      </c>
      <c r="M272" s="1">
        <f t="shared" si="7"/>
        <v>1166610.5999999999</v>
      </c>
      <c r="N272" s="1" t="str">
        <f t="shared" si="8"/>
        <v>Deepak</v>
      </c>
    </row>
    <row r="273" spans="1:14" x14ac:dyDescent="0.3">
      <c r="A273" s="1" t="s">
        <v>52</v>
      </c>
      <c r="B273" s="1" t="s">
        <v>38</v>
      </c>
      <c r="C273" s="1" t="s">
        <v>34</v>
      </c>
      <c r="D273" s="1" t="s">
        <v>41</v>
      </c>
      <c r="E273" s="1">
        <v>13</v>
      </c>
      <c r="F273" s="1">
        <v>42179</v>
      </c>
      <c r="G273" s="1">
        <v>0</v>
      </c>
      <c r="H273" s="2">
        <v>46078</v>
      </c>
      <c r="I273" s="2">
        <v>46084</v>
      </c>
      <c r="J273" s="1" t="s">
        <v>20</v>
      </c>
      <c r="K273" s="1">
        <v>1272</v>
      </c>
      <c r="L273" s="1">
        <f t="shared" si="6"/>
        <v>548327</v>
      </c>
      <c r="M273" s="1">
        <f t="shared" si="7"/>
        <v>1166610.5999999999</v>
      </c>
      <c r="N273" s="1" t="str">
        <f t="shared" si="8"/>
        <v>Deepak</v>
      </c>
    </row>
    <row r="274" spans="1:14" x14ac:dyDescent="0.3">
      <c r="A274" s="1" t="s">
        <v>46</v>
      </c>
      <c r="B274" s="1" t="s">
        <v>25</v>
      </c>
      <c r="C274" s="1" t="s">
        <v>34</v>
      </c>
      <c r="D274" s="1" t="s">
        <v>39</v>
      </c>
      <c r="E274" s="1">
        <v>12</v>
      </c>
      <c r="F274" s="1">
        <v>20618</v>
      </c>
      <c r="G274" s="1">
        <v>12</v>
      </c>
      <c r="H274" s="2">
        <v>46172</v>
      </c>
      <c r="I274" s="2">
        <v>46174</v>
      </c>
      <c r="J274" s="1" t="s">
        <v>20</v>
      </c>
      <c r="K274" s="1">
        <v>1273</v>
      </c>
      <c r="L274" s="1">
        <f t="shared" si="6"/>
        <v>217726.07999999999</v>
      </c>
      <c r="M274" s="1">
        <f t="shared" si="7"/>
        <v>1166610.5999999999</v>
      </c>
      <c r="N274" s="1" t="str">
        <f t="shared" si="8"/>
        <v>Deepak</v>
      </c>
    </row>
    <row r="275" spans="1:14" x14ac:dyDescent="0.3">
      <c r="A275" s="1" t="s">
        <v>26</v>
      </c>
      <c r="B275" s="1" t="s">
        <v>25</v>
      </c>
      <c r="C275" s="1" t="s">
        <v>34</v>
      </c>
      <c r="D275" s="1" t="s">
        <v>41</v>
      </c>
      <c r="E275" s="1">
        <v>13</v>
      </c>
      <c r="F275" s="1">
        <v>36652</v>
      </c>
      <c r="G275" s="1">
        <v>12</v>
      </c>
      <c r="H275" s="2">
        <v>46179</v>
      </c>
      <c r="I275" s="2">
        <v>46186</v>
      </c>
      <c r="J275" s="1" t="s">
        <v>20</v>
      </c>
      <c r="K275" s="1">
        <v>1274</v>
      </c>
      <c r="L275" s="1">
        <f t="shared" si="6"/>
        <v>419298.88</v>
      </c>
      <c r="M275" s="1">
        <f t="shared" si="7"/>
        <v>1166610.5999999999</v>
      </c>
      <c r="N275" s="1" t="str">
        <f t="shared" si="8"/>
        <v>Deepak</v>
      </c>
    </row>
    <row r="276" spans="1:14" x14ac:dyDescent="0.3">
      <c r="A276" s="1" t="s">
        <v>16</v>
      </c>
      <c r="B276" s="1" t="s">
        <v>31</v>
      </c>
      <c r="C276" s="1" t="s">
        <v>13</v>
      </c>
      <c r="D276" s="1" t="s">
        <v>50</v>
      </c>
      <c r="E276" s="1">
        <v>20</v>
      </c>
      <c r="F276" s="1">
        <v>451</v>
      </c>
      <c r="G276" s="1">
        <v>15</v>
      </c>
      <c r="H276" s="2">
        <v>46092</v>
      </c>
      <c r="I276" s="2">
        <v>46094</v>
      </c>
      <c r="J276" s="1" t="s">
        <v>20</v>
      </c>
      <c r="K276" s="1">
        <v>1275</v>
      </c>
      <c r="L276" s="1">
        <f t="shared" si="6"/>
        <v>7667</v>
      </c>
      <c r="M276" s="1">
        <f t="shared" si="7"/>
        <v>1166610.5999999999</v>
      </c>
      <c r="N276" s="1" t="str">
        <f t="shared" si="8"/>
        <v>Deepak</v>
      </c>
    </row>
    <row r="277" spans="1:14" x14ac:dyDescent="0.3">
      <c r="A277" s="1" t="s">
        <v>40</v>
      </c>
      <c r="B277" s="1" t="s">
        <v>12</v>
      </c>
      <c r="C277" s="1" t="s">
        <v>18</v>
      </c>
      <c r="D277" s="1" t="s">
        <v>19</v>
      </c>
      <c r="E277" s="1">
        <v>1</v>
      </c>
      <c r="F277" s="1">
        <v>13437</v>
      </c>
      <c r="G277" s="1">
        <v>15</v>
      </c>
      <c r="H277" s="2">
        <v>46097</v>
      </c>
      <c r="I277" s="2">
        <v>46099</v>
      </c>
      <c r="J277" s="1" t="s">
        <v>24</v>
      </c>
      <c r="K277" s="1">
        <v>1276</v>
      </c>
      <c r="L277" s="1">
        <f t="shared" si="6"/>
        <v>11421.449999999999</v>
      </c>
      <c r="M277" s="1">
        <f t="shared" si="7"/>
        <v>1166610.5999999999</v>
      </c>
      <c r="N277" s="1" t="str">
        <f t="shared" si="8"/>
        <v>Deepak</v>
      </c>
    </row>
    <row r="278" spans="1:14" x14ac:dyDescent="0.3">
      <c r="A278" s="1" t="s">
        <v>59</v>
      </c>
      <c r="B278" s="1" t="s">
        <v>17</v>
      </c>
      <c r="C278" s="1" t="s">
        <v>13</v>
      </c>
      <c r="D278" s="1" t="s">
        <v>36</v>
      </c>
      <c r="E278" s="1">
        <v>14</v>
      </c>
      <c r="F278" s="1">
        <v>276</v>
      </c>
      <c r="G278" s="1">
        <v>0</v>
      </c>
      <c r="H278" s="2">
        <v>46086</v>
      </c>
      <c r="I278" s="2">
        <v>46089</v>
      </c>
      <c r="J278" s="1" t="s">
        <v>15</v>
      </c>
      <c r="K278" s="1">
        <v>1277</v>
      </c>
      <c r="L278" s="1">
        <f t="shared" si="6"/>
        <v>3864</v>
      </c>
      <c r="M278" s="1">
        <f t="shared" si="7"/>
        <v>1166610.5999999999</v>
      </c>
      <c r="N278" s="1" t="str">
        <f t="shared" si="8"/>
        <v>Deepak</v>
      </c>
    </row>
    <row r="279" spans="1:14" x14ac:dyDescent="0.3">
      <c r="A279" s="1" t="s">
        <v>47</v>
      </c>
      <c r="B279" s="1" t="s">
        <v>22</v>
      </c>
      <c r="C279" s="1" t="s">
        <v>34</v>
      </c>
      <c r="D279" s="1" t="s">
        <v>61</v>
      </c>
      <c r="E279" s="1">
        <v>4</v>
      </c>
      <c r="F279" s="1">
        <v>20639</v>
      </c>
      <c r="G279" s="1">
        <v>7</v>
      </c>
      <c r="H279" s="2">
        <v>46180</v>
      </c>
      <c r="I279" s="2">
        <v>46186</v>
      </c>
      <c r="J279" s="1" t="s">
        <v>20</v>
      </c>
      <c r="K279" s="1">
        <v>1278</v>
      </c>
      <c r="L279" s="1">
        <f t="shared" si="6"/>
        <v>76777.08</v>
      </c>
      <c r="M279" s="1">
        <f t="shared" si="7"/>
        <v>1166610.5999999999</v>
      </c>
      <c r="N279" s="1" t="str">
        <f t="shared" si="8"/>
        <v>Deepak</v>
      </c>
    </row>
    <row r="280" spans="1:14" x14ac:dyDescent="0.3">
      <c r="A280" s="1" t="s">
        <v>55</v>
      </c>
      <c r="B280" s="1" t="s">
        <v>33</v>
      </c>
      <c r="C280" s="1" t="s">
        <v>34</v>
      </c>
      <c r="D280" s="1" t="s">
        <v>45</v>
      </c>
      <c r="E280" s="1">
        <v>20</v>
      </c>
      <c r="F280" s="1">
        <v>49042</v>
      </c>
      <c r="G280" s="1">
        <v>2</v>
      </c>
      <c r="H280" s="2">
        <v>46124</v>
      </c>
      <c r="I280" s="2">
        <v>46126</v>
      </c>
      <c r="J280" s="1" t="s">
        <v>15</v>
      </c>
      <c r="K280" s="1">
        <v>1279</v>
      </c>
      <c r="L280" s="1">
        <f t="shared" si="6"/>
        <v>961223.2</v>
      </c>
      <c r="M280" s="1">
        <f t="shared" si="7"/>
        <v>1166610.5999999999</v>
      </c>
      <c r="N280" s="1" t="str">
        <f t="shared" si="8"/>
        <v>Deepak</v>
      </c>
    </row>
    <row r="281" spans="1:14" x14ac:dyDescent="0.3">
      <c r="A281" s="1" t="s">
        <v>59</v>
      </c>
      <c r="B281" s="1" t="s">
        <v>38</v>
      </c>
      <c r="C281" s="1" t="s">
        <v>13</v>
      </c>
      <c r="D281" s="1" t="s">
        <v>53</v>
      </c>
      <c r="E281" s="1">
        <v>9</v>
      </c>
      <c r="F281" s="1">
        <v>50</v>
      </c>
      <c r="G281" s="1">
        <v>7</v>
      </c>
      <c r="H281" s="2">
        <v>46085</v>
      </c>
      <c r="I281" s="2">
        <v>46095</v>
      </c>
      <c r="J281" s="1" t="s">
        <v>51</v>
      </c>
      <c r="K281" s="1">
        <v>1280</v>
      </c>
      <c r="L281" s="1">
        <f t="shared" si="6"/>
        <v>418.5</v>
      </c>
      <c r="M281" s="1">
        <f t="shared" si="7"/>
        <v>1166610.5999999999</v>
      </c>
      <c r="N281" s="1" t="str">
        <f t="shared" si="8"/>
        <v>Deepak</v>
      </c>
    </row>
    <row r="282" spans="1:14" x14ac:dyDescent="0.3">
      <c r="A282" s="1" t="s">
        <v>55</v>
      </c>
      <c r="B282" s="1" t="s">
        <v>17</v>
      </c>
      <c r="C282" s="1" t="s">
        <v>13</v>
      </c>
      <c r="D282" s="1" t="s">
        <v>50</v>
      </c>
      <c r="E282" s="1">
        <v>6</v>
      </c>
      <c r="F282" s="1">
        <v>253</v>
      </c>
      <c r="G282" s="1">
        <v>0</v>
      </c>
      <c r="H282" s="2">
        <v>46055</v>
      </c>
      <c r="I282" s="2">
        <v>46063</v>
      </c>
      <c r="J282" s="1" t="s">
        <v>24</v>
      </c>
      <c r="K282" s="1">
        <v>1281</v>
      </c>
      <c r="L282" s="1">
        <f t="shared" si="6"/>
        <v>1518</v>
      </c>
      <c r="M282" s="1">
        <f t="shared" si="7"/>
        <v>1166610.5999999999</v>
      </c>
      <c r="N282" s="1" t="str">
        <f t="shared" si="8"/>
        <v>Deepak</v>
      </c>
    </row>
    <row r="283" spans="1:14" x14ac:dyDescent="0.3">
      <c r="A283" s="1" t="s">
        <v>57</v>
      </c>
      <c r="B283" s="1" t="s">
        <v>43</v>
      </c>
      <c r="C283" s="1" t="s">
        <v>18</v>
      </c>
      <c r="D283" s="1" t="s">
        <v>44</v>
      </c>
      <c r="E283" s="1">
        <v>12</v>
      </c>
      <c r="F283" s="1">
        <v>3178</v>
      </c>
      <c r="G283" s="1">
        <v>10</v>
      </c>
      <c r="H283" s="2">
        <v>46176</v>
      </c>
      <c r="I283" s="2">
        <v>46177</v>
      </c>
      <c r="J283" s="1" t="s">
        <v>29</v>
      </c>
      <c r="K283" s="1">
        <v>1282</v>
      </c>
      <c r="L283" s="1">
        <f t="shared" si="6"/>
        <v>34322.400000000001</v>
      </c>
      <c r="M283" s="1">
        <f t="shared" si="7"/>
        <v>1166610.5999999999</v>
      </c>
      <c r="N283" s="1" t="str">
        <f t="shared" si="8"/>
        <v>Deepak</v>
      </c>
    </row>
    <row r="284" spans="1:14" x14ac:dyDescent="0.3">
      <c r="A284" s="1" t="s">
        <v>40</v>
      </c>
      <c r="B284" s="1" t="s">
        <v>12</v>
      </c>
      <c r="C284" s="1" t="s">
        <v>18</v>
      </c>
      <c r="D284" s="1" t="s">
        <v>23</v>
      </c>
      <c r="E284" s="1">
        <v>6</v>
      </c>
      <c r="F284" s="1">
        <v>1167</v>
      </c>
      <c r="G284" s="1">
        <v>2</v>
      </c>
      <c r="H284" s="2">
        <v>46100</v>
      </c>
      <c r="I284" s="2">
        <v>46106</v>
      </c>
      <c r="J284" s="1" t="s">
        <v>15</v>
      </c>
      <c r="K284" s="1">
        <v>1283</v>
      </c>
      <c r="L284" s="1">
        <f t="shared" si="6"/>
        <v>6861.96</v>
      </c>
      <c r="M284" s="1">
        <f t="shared" si="7"/>
        <v>1166610.5999999999</v>
      </c>
      <c r="N284" s="1" t="str">
        <f t="shared" si="8"/>
        <v>Deepak</v>
      </c>
    </row>
    <row r="285" spans="1:14" x14ac:dyDescent="0.3">
      <c r="A285" s="1" t="s">
        <v>40</v>
      </c>
      <c r="B285" s="1" t="s">
        <v>25</v>
      </c>
      <c r="C285" s="1" t="s">
        <v>13</v>
      </c>
      <c r="D285" s="1" t="s">
        <v>37</v>
      </c>
      <c r="E285" s="1">
        <v>16</v>
      </c>
      <c r="F285" s="1">
        <v>419</v>
      </c>
      <c r="G285" s="1">
        <v>2</v>
      </c>
      <c r="H285" s="2">
        <v>46082</v>
      </c>
      <c r="I285" s="2">
        <v>46090</v>
      </c>
      <c r="J285" s="1" t="s">
        <v>15</v>
      </c>
      <c r="K285" s="1">
        <v>1284</v>
      </c>
      <c r="L285" s="1">
        <f t="shared" si="6"/>
        <v>6569.92</v>
      </c>
      <c r="M285" s="1">
        <f t="shared" si="7"/>
        <v>1166610.5999999999</v>
      </c>
      <c r="N285" s="1" t="str">
        <f t="shared" si="8"/>
        <v>Deepak</v>
      </c>
    </row>
    <row r="286" spans="1:14" x14ac:dyDescent="0.3">
      <c r="A286" s="1" t="s">
        <v>32</v>
      </c>
      <c r="B286" s="1" t="s">
        <v>38</v>
      </c>
      <c r="C286" s="1" t="s">
        <v>13</v>
      </c>
      <c r="D286" s="1" t="s">
        <v>36</v>
      </c>
      <c r="E286" s="1">
        <v>7</v>
      </c>
      <c r="F286" s="1">
        <v>439</v>
      </c>
      <c r="G286" s="1">
        <v>15</v>
      </c>
      <c r="H286" s="2">
        <v>46055</v>
      </c>
      <c r="I286" s="2">
        <v>46058</v>
      </c>
      <c r="J286" s="1" t="s">
        <v>20</v>
      </c>
      <c r="K286" s="1">
        <v>1285</v>
      </c>
      <c r="L286" s="1">
        <f t="shared" si="6"/>
        <v>2612.0499999999997</v>
      </c>
      <c r="M286" s="1">
        <f t="shared" si="7"/>
        <v>1166610.5999999999</v>
      </c>
      <c r="N286" s="1" t="str">
        <f t="shared" si="8"/>
        <v>Deepak</v>
      </c>
    </row>
    <row r="287" spans="1:14" x14ac:dyDescent="0.3">
      <c r="A287" s="1" t="s">
        <v>46</v>
      </c>
      <c r="B287" s="1" t="s">
        <v>17</v>
      </c>
      <c r="C287" s="1" t="s">
        <v>18</v>
      </c>
      <c r="D287" s="1" t="s">
        <v>56</v>
      </c>
      <c r="E287" s="1">
        <v>9</v>
      </c>
      <c r="F287" s="1">
        <v>1340</v>
      </c>
      <c r="G287" s="1">
        <v>2</v>
      </c>
      <c r="H287" s="2">
        <v>46168</v>
      </c>
      <c r="I287" s="2">
        <v>46173</v>
      </c>
      <c r="J287" s="1" t="s">
        <v>15</v>
      </c>
      <c r="K287" s="1">
        <v>1286</v>
      </c>
      <c r="L287" s="1">
        <f t="shared" si="6"/>
        <v>11818.8</v>
      </c>
      <c r="M287" s="1">
        <f t="shared" si="7"/>
        <v>1166610.5999999999</v>
      </c>
      <c r="N287" s="1" t="str">
        <f t="shared" si="8"/>
        <v>Deepak</v>
      </c>
    </row>
    <row r="288" spans="1:14" x14ac:dyDescent="0.3">
      <c r="A288" s="1" t="s">
        <v>59</v>
      </c>
      <c r="B288" s="1" t="s">
        <v>31</v>
      </c>
      <c r="C288" s="1" t="s">
        <v>13</v>
      </c>
      <c r="D288" s="1" t="s">
        <v>14</v>
      </c>
      <c r="E288" s="1">
        <v>15</v>
      </c>
      <c r="F288" s="1">
        <v>251</v>
      </c>
      <c r="G288" s="1">
        <v>2</v>
      </c>
      <c r="H288" s="2">
        <v>46116</v>
      </c>
      <c r="I288" s="2">
        <v>46122</v>
      </c>
      <c r="J288" s="1" t="s">
        <v>51</v>
      </c>
      <c r="K288" s="1">
        <v>1287</v>
      </c>
      <c r="L288" s="1">
        <f t="shared" si="6"/>
        <v>3689.7</v>
      </c>
      <c r="M288" s="1">
        <f t="shared" si="7"/>
        <v>1166610.5999999999</v>
      </c>
      <c r="N288" s="1" t="str">
        <f t="shared" si="8"/>
        <v>Deepak</v>
      </c>
    </row>
    <row r="289" spans="1:14" x14ac:dyDescent="0.3">
      <c r="A289" s="1" t="s">
        <v>54</v>
      </c>
      <c r="B289" s="1" t="s">
        <v>22</v>
      </c>
      <c r="C289" s="1" t="s">
        <v>34</v>
      </c>
      <c r="D289" s="1" t="s">
        <v>60</v>
      </c>
      <c r="E289" s="1">
        <v>14</v>
      </c>
      <c r="F289" s="1">
        <v>35601</v>
      </c>
      <c r="G289" s="1">
        <v>10</v>
      </c>
      <c r="H289" s="2">
        <v>46179</v>
      </c>
      <c r="I289" s="2">
        <v>46187</v>
      </c>
      <c r="J289" s="1" t="s">
        <v>29</v>
      </c>
      <c r="K289" s="1">
        <v>1288</v>
      </c>
      <c r="L289" s="1">
        <f t="shared" si="6"/>
        <v>448572.60000000003</v>
      </c>
      <c r="M289" s="1">
        <f t="shared" si="7"/>
        <v>1166610.5999999999</v>
      </c>
      <c r="N289" s="1" t="str">
        <f t="shared" si="8"/>
        <v>Deepak</v>
      </c>
    </row>
    <row r="290" spans="1:14" x14ac:dyDescent="0.3">
      <c r="A290" s="1" t="s">
        <v>26</v>
      </c>
      <c r="B290" s="1" t="s">
        <v>22</v>
      </c>
      <c r="C290" s="1" t="s">
        <v>34</v>
      </c>
      <c r="D290" s="1" t="s">
        <v>45</v>
      </c>
      <c r="E290" s="1">
        <v>19</v>
      </c>
      <c r="F290" s="1">
        <v>25336</v>
      </c>
      <c r="G290" s="1">
        <v>2</v>
      </c>
      <c r="H290" s="2">
        <v>46122</v>
      </c>
      <c r="I290" s="2">
        <v>46130</v>
      </c>
      <c r="J290" s="1" t="s">
        <v>24</v>
      </c>
      <c r="K290" s="1">
        <v>1289</v>
      </c>
      <c r="L290" s="1">
        <f t="shared" si="6"/>
        <v>471756.32</v>
      </c>
      <c r="M290" s="1">
        <f t="shared" si="7"/>
        <v>1166610.5999999999</v>
      </c>
      <c r="N290" s="1" t="str">
        <f t="shared" si="8"/>
        <v>Deepak</v>
      </c>
    </row>
    <row r="291" spans="1:14" x14ac:dyDescent="0.3">
      <c r="A291" s="1" t="s">
        <v>26</v>
      </c>
      <c r="B291" s="1" t="s">
        <v>22</v>
      </c>
      <c r="C291" s="1" t="s">
        <v>34</v>
      </c>
      <c r="D291" s="1" t="s">
        <v>35</v>
      </c>
      <c r="E291" s="1">
        <v>3</v>
      </c>
      <c r="F291" s="1">
        <v>69793</v>
      </c>
      <c r="G291" s="1">
        <v>15</v>
      </c>
      <c r="H291" s="2">
        <v>46110</v>
      </c>
      <c r="I291" s="2">
        <v>46111</v>
      </c>
      <c r="J291" s="1" t="s">
        <v>29</v>
      </c>
      <c r="K291" s="1">
        <v>1290</v>
      </c>
      <c r="L291" s="1">
        <f t="shared" si="6"/>
        <v>177972.15</v>
      </c>
      <c r="M291" s="1">
        <f t="shared" si="7"/>
        <v>1166610.5999999999</v>
      </c>
      <c r="N291" s="1" t="str">
        <f t="shared" si="8"/>
        <v>Deepak</v>
      </c>
    </row>
    <row r="292" spans="1:14" x14ac:dyDescent="0.3">
      <c r="A292" s="1" t="s">
        <v>21</v>
      </c>
      <c r="B292" s="1" t="s">
        <v>17</v>
      </c>
      <c r="C292" s="1" t="s">
        <v>13</v>
      </c>
      <c r="D292" s="1" t="s">
        <v>36</v>
      </c>
      <c r="E292" s="1">
        <v>17</v>
      </c>
      <c r="F292" s="1">
        <v>415</v>
      </c>
      <c r="G292" s="1">
        <v>5</v>
      </c>
      <c r="H292" s="2">
        <v>46137</v>
      </c>
      <c r="I292" s="2">
        <v>46141</v>
      </c>
      <c r="J292" s="1" t="s">
        <v>20</v>
      </c>
      <c r="K292" s="1">
        <v>1291</v>
      </c>
      <c r="L292" s="1">
        <f t="shared" si="6"/>
        <v>6702.25</v>
      </c>
      <c r="M292" s="1">
        <f t="shared" si="7"/>
        <v>1166610.5999999999</v>
      </c>
      <c r="N292" s="1" t="str">
        <f t="shared" si="8"/>
        <v>Deepak</v>
      </c>
    </row>
    <row r="293" spans="1:14" x14ac:dyDescent="0.3">
      <c r="A293" s="1" t="s">
        <v>54</v>
      </c>
      <c r="B293" s="1" t="s">
        <v>33</v>
      </c>
      <c r="C293" s="1" t="s">
        <v>34</v>
      </c>
      <c r="D293" s="1" t="s">
        <v>61</v>
      </c>
      <c r="E293" s="1">
        <v>11</v>
      </c>
      <c r="F293" s="1">
        <v>25158</v>
      </c>
      <c r="G293" s="1">
        <v>5</v>
      </c>
      <c r="H293" s="2">
        <v>46186</v>
      </c>
      <c r="I293" s="2">
        <v>46193</v>
      </c>
      <c r="J293" s="1" t="s">
        <v>20</v>
      </c>
      <c r="K293" s="1">
        <v>1292</v>
      </c>
      <c r="L293" s="1">
        <f t="shared" si="6"/>
        <v>262901.09999999998</v>
      </c>
      <c r="M293" s="1">
        <f t="shared" si="7"/>
        <v>1166610.5999999999</v>
      </c>
      <c r="N293" s="1" t="str">
        <f t="shared" si="8"/>
        <v>Deepak</v>
      </c>
    </row>
    <row r="294" spans="1:14" x14ac:dyDescent="0.3">
      <c r="A294" s="1" t="s">
        <v>49</v>
      </c>
      <c r="B294" s="1" t="s">
        <v>43</v>
      </c>
      <c r="C294" s="1" t="s">
        <v>18</v>
      </c>
      <c r="D294" s="1" t="s">
        <v>23</v>
      </c>
      <c r="E294" s="1">
        <v>7</v>
      </c>
      <c r="F294" s="1">
        <v>11481</v>
      </c>
      <c r="G294" s="1">
        <v>15</v>
      </c>
      <c r="H294" s="2">
        <v>46045</v>
      </c>
      <c r="I294" s="2">
        <v>46050</v>
      </c>
      <c r="J294" s="1" t="s">
        <v>20</v>
      </c>
      <c r="K294" s="1">
        <v>1293</v>
      </c>
      <c r="L294" s="1">
        <f t="shared" si="6"/>
        <v>68311.95</v>
      </c>
      <c r="M294" s="1">
        <f t="shared" si="7"/>
        <v>1166610.5999999999</v>
      </c>
      <c r="N294" s="1" t="str">
        <f t="shared" si="8"/>
        <v>Deepak</v>
      </c>
    </row>
    <row r="295" spans="1:14" x14ac:dyDescent="0.3">
      <c r="A295" s="1" t="s">
        <v>21</v>
      </c>
      <c r="B295" s="1" t="s">
        <v>12</v>
      </c>
      <c r="C295" s="1" t="s">
        <v>18</v>
      </c>
      <c r="D295" s="1" t="s">
        <v>19</v>
      </c>
      <c r="E295" s="1">
        <v>8</v>
      </c>
      <c r="F295" s="1">
        <v>14448</v>
      </c>
      <c r="G295" s="1">
        <v>10</v>
      </c>
      <c r="H295" s="2">
        <v>46181</v>
      </c>
      <c r="I295" s="2">
        <v>46189</v>
      </c>
      <c r="J295" s="1" t="s">
        <v>15</v>
      </c>
      <c r="K295" s="1">
        <v>1294</v>
      </c>
      <c r="L295" s="1">
        <f t="shared" si="6"/>
        <v>104025.60000000001</v>
      </c>
      <c r="M295" s="1">
        <f t="shared" si="7"/>
        <v>1166610.5999999999</v>
      </c>
      <c r="N295" s="1" t="str">
        <f t="shared" si="8"/>
        <v>Deepak</v>
      </c>
    </row>
    <row r="296" spans="1:14" x14ac:dyDescent="0.3">
      <c r="A296" s="1" t="s">
        <v>52</v>
      </c>
      <c r="B296" s="1" t="s">
        <v>38</v>
      </c>
      <c r="C296" s="1" t="s">
        <v>18</v>
      </c>
      <c r="D296" s="1" t="s">
        <v>28</v>
      </c>
      <c r="E296" s="1">
        <v>16</v>
      </c>
      <c r="F296" s="1">
        <v>11935</v>
      </c>
      <c r="G296" s="1">
        <v>12</v>
      </c>
      <c r="H296" s="2">
        <v>46157</v>
      </c>
      <c r="I296" s="2">
        <v>46162</v>
      </c>
      <c r="J296" s="1" t="s">
        <v>15</v>
      </c>
      <c r="K296" s="1">
        <v>1295</v>
      </c>
      <c r="L296" s="1">
        <f t="shared" si="6"/>
        <v>168044.79999999999</v>
      </c>
      <c r="M296" s="1">
        <f t="shared" si="7"/>
        <v>1166610.5999999999</v>
      </c>
      <c r="N296" s="1" t="str">
        <f t="shared" si="8"/>
        <v>Deepak</v>
      </c>
    </row>
    <row r="297" spans="1:14" x14ac:dyDescent="0.3">
      <c r="A297" s="1" t="s">
        <v>26</v>
      </c>
      <c r="B297" s="1" t="s">
        <v>38</v>
      </c>
      <c r="C297" s="1" t="s">
        <v>13</v>
      </c>
      <c r="D297" s="1" t="s">
        <v>50</v>
      </c>
      <c r="E297" s="1">
        <v>6</v>
      </c>
      <c r="F297" s="1">
        <v>201</v>
      </c>
      <c r="G297" s="1">
        <v>0</v>
      </c>
      <c r="H297" s="2">
        <v>46063</v>
      </c>
      <c r="I297" s="2">
        <v>46072</v>
      </c>
      <c r="J297" s="1" t="s">
        <v>51</v>
      </c>
      <c r="K297" s="1">
        <v>1296</v>
      </c>
      <c r="L297" s="1">
        <f t="shared" si="6"/>
        <v>1206</v>
      </c>
      <c r="M297" s="1">
        <f t="shared" si="7"/>
        <v>1166610.5999999999</v>
      </c>
      <c r="N297" s="1" t="str">
        <f t="shared" si="8"/>
        <v>Deepak</v>
      </c>
    </row>
    <row r="298" spans="1:14" x14ac:dyDescent="0.3">
      <c r="A298" s="1" t="s">
        <v>54</v>
      </c>
      <c r="B298" s="1" t="s">
        <v>25</v>
      </c>
      <c r="C298" s="1" t="s">
        <v>34</v>
      </c>
      <c r="D298" s="1" t="s">
        <v>35</v>
      </c>
      <c r="E298" s="1">
        <v>14</v>
      </c>
      <c r="F298" s="1">
        <v>24524</v>
      </c>
      <c r="G298" s="1">
        <v>10</v>
      </c>
      <c r="H298" s="2">
        <v>46178</v>
      </c>
      <c r="I298" s="2">
        <v>46187</v>
      </c>
      <c r="J298" s="1" t="s">
        <v>29</v>
      </c>
      <c r="K298" s="1">
        <v>1297</v>
      </c>
      <c r="L298" s="1">
        <f t="shared" si="6"/>
        <v>309002.40000000002</v>
      </c>
      <c r="M298" s="1">
        <f t="shared" si="7"/>
        <v>1166610.5999999999</v>
      </c>
      <c r="N298" s="1" t="str">
        <f t="shared" si="8"/>
        <v>Deepak</v>
      </c>
    </row>
    <row r="299" spans="1:14" x14ac:dyDescent="0.3">
      <c r="A299" s="1" t="s">
        <v>21</v>
      </c>
      <c r="B299" s="1" t="s">
        <v>12</v>
      </c>
      <c r="C299" s="1" t="s">
        <v>34</v>
      </c>
      <c r="D299" s="1" t="s">
        <v>61</v>
      </c>
      <c r="E299" s="1">
        <v>19</v>
      </c>
      <c r="F299" s="1">
        <v>20745</v>
      </c>
      <c r="G299" s="1">
        <v>2</v>
      </c>
      <c r="H299" s="2">
        <v>46083</v>
      </c>
      <c r="I299" s="2">
        <v>46093</v>
      </c>
      <c r="J299" s="1" t="s">
        <v>24</v>
      </c>
      <c r="K299" s="1">
        <v>1298</v>
      </c>
      <c r="L299" s="1">
        <f t="shared" si="6"/>
        <v>386271.89999999997</v>
      </c>
      <c r="M299" s="1">
        <f t="shared" si="7"/>
        <v>1166610.5999999999</v>
      </c>
      <c r="N299" s="1" t="str">
        <f t="shared" si="8"/>
        <v>Deepak</v>
      </c>
    </row>
    <row r="300" spans="1:14" x14ac:dyDescent="0.3">
      <c r="A300" s="1" t="s">
        <v>26</v>
      </c>
      <c r="B300" s="1" t="s">
        <v>17</v>
      </c>
      <c r="C300" s="1" t="s">
        <v>18</v>
      </c>
      <c r="D300" s="1" t="s">
        <v>56</v>
      </c>
      <c r="E300" s="1">
        <v>8</v>
      </c>
      <c r="F300" s="1">
        <v>8783</v>
      </c>
      <c r="G300" s="1">
        <v>2</v>
      </c>
      <c r="H300" s="2">
        <v>46123</v>
      </c>
      <c r="I300" s="2">
        <v>46132</v>
      </c>
      <c r="J300" s="1" t="s">
        <v>15</v>
      </c>
      <c r="K300" s="1">
        <v>1299</v>
      </c>
      <c r="L300" s="1">
        <f t="shared" si="6"/>
        <v>68858.720000000001</v>
      </c>
      <c r="M300" s="1">
        <f t="shared" si="7"/>
        <v>1166610.5999999999</v>
      </c>
      <c r="N300" s="1" t="str">
        <f t="shared" si="8"/>
        <v>Deepak</v>
      </c>
    </row>
    <row r="301" spans="1:14" x14ac:dyDescent="0.3">
      <c r="A301" s="1" t="s">
        <v>47</v>
      </c>
      <c r="B301" s="1" t="s">
        <v>33</v>
      </c>
      <c r="C301" s="1" t="s">
        <v>34</v>
      </c>
      <c r="D301" s="1" t="s">
        <v>45</v>
      </c>
      <c r="E301" s="1">
        <v>20</v>
      </c>
      <c r="F301" s="1">
        <v>1392</v>
      </c>
      <c r="G301" s="1">
        <v>2</v>
      </c>
      <c r="H301" s="2">
        <v>46110</v>
      </c>
      <c r="I301" s="2">
        <v>46117</v>
      </c>
      <c r="J301" s="1" t="s">
        <v>24</v>
      </c>
      <c r="K301" s="1">
        <v>1300</v>
      </c>
      <c r="L301" s="1">
        <f t="shared" si="6"/>
        <v>27283.200000000001</v>
      </c>
      <c r="M301" s="1">
        <f t="shared" si="7"/>
        <v>1166610.5999999999</v>
      </c>
      <c r="N301" s="1" t="str">
        <f t="shared" si="8"/>
        <v>Deepak</v>
      </c>
    </row>
    <row r="302" spans="1:14" x14ac:dyDescent="0.3">
      <c r="A302" s="1" t="s">
        <v>54</v>
      </c>
      <c r="B302" s="1" t="s">
        <v>17</v>
      </c>
      <c r="C302" s="1" t="s">
        <v>18</v>
      </c>
      <c r="D302" s="1" t="s">
        <v>28</v>
      </c>
      <c r="E302" s="1">
        <v>3</v>
      </c>
      <c r="F302" s="1">
        <v>7020</v>
      </c>
      <c r="G302" s="1">
        <v>10</v>
      </c>
      <c r="H302" s="2">
        <v>46028</v>
      </c>
      <c r="I302" s="2">
        <v>46038</v>
      </c>
      <c r="J302" s="1" t="s">
        <v>24</v>
      </c>
      <c r="K302" s="1">
        <v>1301</v>
      </c>
      <c r="L302" s="1">
        <f t="shared" si="6"/>
        <v>18954</v>
      </c>
      <c r="M302" s="1">
        <f t="shared" si="7"/>
        <v>1166610.5999999999</v>
      </c>
      <c r="N302" s="1" t="str">
        <f t="shared" si="8"/>
        <v>Deepak</v>
      </c>
    </row>
    <row r="303" spans="1:14" x14ac:dyDescent="0.3">
      <c r="A303" s="1" t="s">
        <v>57</v>
      </c>
      <c r="B303" s="1" t="s">
        <v>12</v>
      </c>
      <c r="C303" s="1" t="s">
        <v>34</v>
      </c>
      <c r="D303" s="1" t="s">
        <v>35</v>
      </c>
      <c r="E303" s="1">
        <v>9</v>
      </c>
      <c r="F303" s="1">
        <v>8500</v>
      </c>
      <c r="G303" s="1">
        <v>15</v>
      </c>
      <c r="H303" s="2">
        <v>46163</v>
      </c>
      <c r="I303" s="2">
        <v>46172</v>
      </c>
      <c r="J303" s="1" t="s">
        <v>24</v>
      </c>
      <c r="K303" s="1">
        <v>1302</v>
      </c>
      <c r="L303" s="1">
        <f t="shared" si="6"/>
        <v>65025</v>
      </c>
      <c r="M303" s="1">
        <f t="shared" si="7"/>
        <v>1166610.5999999999</v>
      </c>
      <c r="N303" s="1" t="str">
        <f t="shared" si="8"/>
        <v>Deepak</v>
      </c>
    </row>
    <row r="304" spans="1:14" x14ac:dyDescent="0.3">
      <c r="A304" s="1" t="s">
        <v>57</v>
      </c>
      <c r="B304" s="1" t="s">
        <v>38</v>
      </c>
      <c r="C304" s="1" t="s">
        <v>34</v>
      </c>
      <c r="D304" s="1" t="s">
        <v>35</v>
      </c>
      <c r="E304" s="1">
        <v>13</v>
      </c>
      <c r="F304" s="1">
        <v>5170</v>
      </c>
      <c r="G304" s="1">
        <v>2</v>
      </c>
      <c r="H304" s="2">
        <v>46124</v>
      </c>
      <c r="I304" s="2">
        <v>46127</v>
      </c>
      <c r="J304" s="1" t="s">
        <v>15</v>
      </c>
      <c r="K304" s="1">
        <v>1303</v>
      </c>
      <c r="L304" s="1">
        <f t="shared" si="6"/>
        <v>65865.8</v>
      </c>
      <c r="M304" s="1">
        <f t="shared" si="7"/>
        <v>1166610.5999999999</v>
      </c>
      <c r="N304" s="1" t="str">
        <f t="shared" si="8"/>
        <v>Deepak</v>
      </c>
    </row>
    <row r="305" spans="1:14" x14ac:dyDescent="0.3">
      <c r="A305" s="1" t="s">
        <v>59</v>
      </c>
      <c r="B305" s="1" t="s">
        <v>25</v>
      </c>
      <c r="C305" s="1" t="s">
        <v>13</v>
      </c>
      <c r="D305" s="1" t="s">
        <v>36</v>
      </c>
      <c r="E305" s="1">
        <v>20</v>
      </c>
      <c r="F305" s="1">
        <v>368</v>
      </c>
      <c r="G305" s="1">
        <v>7</v>
      </c>
      <c r="H305" s="2">
        <v>46042</v>
      </c>
      <c r="I305" s="2">
        <v>46051</v>
      </c>
      <c r="J305" s="1" t="s">
        <v>51</v>
      </c>
      <c r="K305" s="1">
        <v>1304</v>
      </c>
      <c r="L305" s="1">
        <f t="shared" si="6"/>
        <v>6844.7999999999993</v>
      </c>
      <c r="M305" s="1">
        <f t="shared" si="7"/>
        <v>1166610.5999999999</v>
      </c>
      <c r="N305" s="1" t="str">
        <f t="shared" si="8"/>
        <v>Deepak</v>
      </c>
    </row>
    <row r="306" spans="1:14" x14ac:dyDescent="0.3">
      <c r="A306" s="1" t="s">
        <v>58</v>
      </c>
      <c r="B306" s="1" t="s">
        <v>31</v>
      </c>
      <c r="C306" s="1" t="s">
        <v>34</v>
      </c>
      <c r="D306" s="1" t="s">
        <v>60</v>
      </c>
      <c r="E306" s="1">
        <v>20</v>
      </c>
      <c r="F306" s="1">
        <v>31406</v>
      </c>
      <c r="G306" s="1">
        <v>15</v>
      </c>
      <c r="H306" s="2">
        <v>46146</v>
      </c>
      <c r="I306" s="2">
        <v>46154</v>
      </c>
      <c r="J306" s="1" t="s">
        <v>51</v>
      </c>
      <c r="K306" s="1">
        <v>1305</v>
      </c>
      <c r="L306" s="1">
        <f t="shared" si="6"/>
        <v>533902</v>
      </c>
      <c r="M306" s="1">
        <f t="shared" si="7"/>
        <v>1166610.5999999999</v>
      </c>
      <c r="N306" s="1" t="str">
        <f t="shared" si="8"/>
        <v>Deepak</v>
      </c>
    </row>
    <row r="307" spans="1:14" x14ac:dyDescent="0.3">
      <c r="A307" s="1" t="s">
        <v>54</v>
      </c>
      <c r="B307" s="1" t="s">
        <v>43</v>
      </c>
      <c r="C307" s="1" t="s">
        <v>13</v>
      </c>
      <c r="D307" s="1" t="s">
        <v>36</v>
      </c>
      <c r="E307" s="1">
        <v>1</v>
      </c>
      <c r="F307" s="1">
        <v>332</v>
      </c>
      <c r="G307" s="1">
        <v>0</v>
      </c>
      <c r="H307" s="2">
        <v>46191</v>
      </c>
      <c r="I307" s="2">
        <v>46194</v>
      </c>
      <c r="J307" s="1" t="s">
        <v>20</v>
      </c>
      <c r="K307" s="1">
        <v>1306</v>
      </c>
      <c r="L307" s="1">
        <f t="shared" si="6"/>
        <v>332</v>
      </c>
      <c r="M307" s="1">
        <f t="shared" si="7"/>
        <v>1166610.5999999999</v>
      </c>
      <c r="N307" s="1" t="str">
        <f t="shared" si="8"/>
        <v>Deepak</v>
      </c>
    </row>
    <row r="308" spans="1:14" x14ac:dyDescent="0.3">
      <c r="A308" s="1" t="s">
        <v>57</v>
      </c>
      <c r="B308" s="1" t="s">
        <v>43</v>
      </c>
      <c r="C308" s="1" t="s">
        <v>34</v>
      </c>
      <c r="D308" s="1" t="s">
        <v>35</v>
      </c>
      <c r="E308" s="1">
        <v>18</v>
      </c>
      <c r="F308" s="1">
        <v>7541</v>
      </c>
      <c r="G308" s="1">
        <v>12</v>
      </c>
      <c r="H308" s="2">
        <v>46048</v>
      </c>
      <c r="I308" s="2">
        <v>46051</v>
      </c>
      <c r="J308" s="1" t="s">
        <v>51</v>
      </c>
      <c r="K308" s="1">
        <v>1307</v>
      </c>
      <c r="L308" s="1">
        <f t="shared" si="6"/>
        <v>119449.44</v>
      </c>
      <c r="M308" s="1">
        <f t="shared" si="7"/>
        <v>1166610.5999999999</v>
      </c>
      <c r="N308" s="1" t="str">
        <f t="shared" si="8"/>
        <v>Deepak</v>
      </c>
    </row>
    <row r="309" spans="1:14" x14ac:dyDescent="0.3">
      <c r="A309" s="1" t="s">
        <v>30</v>
      </c>
      <c r="B309" s="1" t="s">
        <v>22</v>
      </c>
      <c r="C309" s="1" t="s">
        <v>34</v>
      </c>
      <c r="D309" s="1" t="s">
        <v>41</v>
      </c>
      <c r="E309" s="1">
        <v>12</v>
      </c>
      <c r="F309" s="1">
        <v>66075</v>
      </c>
      <c r="G309" s="1">
        <v>5</v>
      </c>
      <c r="H309" s="2">
        <v>46129</v>
      </c>
      <c r="I309" s="2">
        <v>46135</v>
      </c>
      <c r="J309" s="1" t="s">
        <v>20</v>
      </c>
      <c r="K309" s="1">
        <v>1308</v>
      </c>
      <c r="L309" s="1">
        <f t="shared" si="6"/>
        <v>753255</v>
      </c>
      <c r="M309" s="1">
        <f t="shared" si="7"/>
        <v>1166610.5999999999</v>
      </c>
      <c r="N309" s="1" t="str">
        <f t="shared" si="8"/>
        <v>Deepak</v>
      </c>
    </row>
    <row r="310" spans="1:14" x14ac:dyDescent="0.3">
      <c r="A310" s="1" t="s">
        <v>29</v>
      </c>
      <c r="B310" s="1" t="s">
        <v>31</v>
      </c>
      <c r="C310" s="1" t="s">
        <v>13</v>
      </c>
      <c r="D310" s="1" t="s">
        <v>50</v>
      </c>
      <c r="E310" s="1">
        <v>2</v>
      </c>
      <c r="F310" s="1">
        <v>35</v>
      </c>
      <c r="G310" s="1">
        <v>5</v>
      </c>
      <c r="H310" s="2">
        <v>46197</v>
      </c>
      <c r="I310" s="2">
        <v>46198</v>
      </c>
      <c r="J310" s="1" t="s">
        <v>24</v>
      </c>
      <c r="K310" s="1">
        <v>1309</v>
      </c>
      <c r="L310" s="1">
        <f t="shared" si="6"/>
        <v>66.5</v>
      </c>
      <c r="M310" s="1">
        <f t="shared" si="7"/>
        <v>1166610.5999999999</v>
      </c>
      <c r="N310" s="1" t="str">
        <f t="shared" si="8"/>
        <v>Deepak</v>
      </c>
    </row>
    <row r="311" spans="1:14" x14ac:dyDescent="0.3">
      <c r="A311" s="1" t="s">
        <v>49</v>
      </c>
      <c r="B311" s="1" t="s">
        <v>17</v>
      </c>
      <c r="C311" s="1" t="s">
        <v>18</v>
      </c>
      <c r="D311" s="1" t="s">
        <v>56</v>
      </c>
      <c r="E311" s="1">
        <v>19</v>
      </c>
      <c r="F311" s="1">
        <v>12691</v>
      </c>
      <c r="G311" s="1">
        <v>0</v>
      </c>
      <c r="H311" s="2">
        <v>46181</v>
      </c>
      <c r="I311" s="2">
        <v>46189</v>
      </c>
      <c r="J311" s="1" t="s">
        <v>29</v>
      </c>
      <c r="K311" s="1">
        <v>1310</v>
      </c>
      <c r="L311" s="1">
        <f t="shared" si="6"/>
        <v>241129</v>
      </c>
      <c r="M311" s="1">
        <f t="shared" si="7"/>
        <v>1166610.5999999999</v>
      </c>
      <c r="N311" s="1" t="str">
        <f t="shared" si="8"/>
        <v>Deepak</v>
      </c>
    </row>
    <row r="312" spans="1:14" x14ac:dyDescent="0.3">
      <c r="A312" s="1" t="s">
        <v>55</v>
      </c>
      <c r="B312" s="1" t="s">
        <v>12</v>
      </c>
      <c r="C312" s="1" t="s">
        <v>13</v>
      </c>
      <c r="D312" s="1" t="s">
        <v>14</v>
      </c>
      <c r="E312" s="1">
        <v>2</v>
      </c>
      <c r="F312" s="1">
        <v>209</v>
      </c>
      <c r="G312" s="1">
        <v>0</v>
      </c>
      <c r="H312" s="2">
        <v>46173</v>
      </c>
      <c r="I312" s="2">
        <v>46176</v>
      </c>
      <c r="J312" s="1" t="s">
        <v>20</v>
      </c>
      <c r="K312" s="1">
        <v>1311</v>
      </c>
      <c r="L312" s="1">
        <f t="shared" si="6"/>
        <v>418</v>
      </c>
      <c r="M312" s="1">
        <f t="shared" si="7"/>
        <v>1166610.5999999999</v>
      </c>
      <c r="N312" s="1" t="str">
        <f t="shared" si="8"/>
        <v>Deepak</v>
      </c>
    </row>
    <row r="313" spans="1:14" x14ac:dyDescent="0.3">
      <c r="A313" s="1" t="s">
        <v>57</v>
      </c>
      <c r="B313" s="1" t="s">
        <v>22</v>
      </c>
      <c r="C313" s="1" t="s">
        <v>18</v>
      </c>
      <c r="D313" s="1" t="s">
        <v>56</v>
      </c>
      <c r="E313" s="1">
        <v>20</v>
      </c>
      <c r="F313" s="1">
        <v>3274</v>
      </c>
      <c r="G313" s="1">
        <v>2</v>
      </c>
      <c r="H313" s="2">
        <v>46148</v>
      </c>
      <c r="I313" s="2">
        <v>46156</v>
      </c>
      <c r="J313" s="1" t="s">
        <v>24</v>
      </c>
      <c r="K313" s="1">
        <v>1312</v>
      </c>
      <c r="L313" s="1">
        <f t="shared" si="6"/>
        <v>64170.400000000001</v>
      </c>
      <c r="M313" s="1">
        <f t="shared" si="7"/>
        <v>1166610.5999999999</v>
      </c>
      <c r="N313" s="1" t="str">
        <f t="shared" si="8"/>
        <v>Deepak</v>
      </c>
    </row>
    <row r="314" spans="1:14" x14ac:dyDescent="0.3">
      <c r="A314" s="1" t="s">
        <v>59</v>
      </c>
      <c r="B314" s="1" t="s">
        <v>22</v>
      </c>
      <c r="C314" s="1" t="s">
        <v>18</v>
      </c>
      <c r="D314" s="1" t="s">
        <v>56</v>
      </c>
      <c r="E314" s="1">
        <v>6</v>
      </c>
      <c r="F314" s="1">
        <v>10864</v>
      </c>
      <c r="G314" s="1">
        <v>10</v>
      </c>
      <c r="H314" s="2">
        <v>46041</v>
      </c>
      <c r="I314" s="2">
        <v>46049</v>
      </c>
      <c r="J314" s="1" t="s">
        <v>15</v>
      </c>
      <c r="K314" s="1">
        <v>1313</v>
      </c>
      <c r="L314" s="1">
        <f t="shared" si="6"/>
        <v>58665.599999999999</v>
      </c>
      <c r="M314" s="1">
        <f t="shared" si="7"/>
        <v>1166610.5999999999</v>
      </c>
      <c r="N314" s="1" t="str">
        <f t="shared" si="8"/>
        <v>Deepak</v>
      </c>
    </row>
    <row r="315" spans="1:14" x14ac:dyDescent="0.3">
      <c r="A315" s="1" t="s">
        <v>52</v>
      </c>
      <c r="B315" s="1" t="s">
        <v>33</v>
      </c>
      <c r="C315" s="1" t="s">
        <v>18</v>
      </c>
      <c r="D315" s="1" t="s">
        <v>19</v>
      </c>
      <c r="E315" s="1">
        <v>10</v>
      </c>
      <c r="F315" s="1">
        <v>6328</v>
      </c>
      <c r="G315" s="1">
        <v>2</v>
      </c>
      <c r="H315" s="2">
        <v>46196</v>
      </c>
      <c r="I315" s="2">
        <v>46197</v>
      </c>
      <c r="J315" s="1" t="s">
        <v>29</v>
      </c>
      <c r="K315" s="1">
        <v>1314</v>
      </c>
      <c r="L315" s="1">
        <f t="shared" si="6"/>
        <v>62014.400000000001</v>
      </c>
      <c r="M315" s="1">
        <f t="shared" si="7"/>
        <v>1166610.5999999999</v>
      </c>
      <c r="N315" s="1" t="str">
        <f t="shared" si="8"/>
        <v>Deepak</v>
      </c>
    </row>
    <row r="316" spans="1:14" x14ac:dyDescent="0.3">
      <c r="A316" s="1" t="s">
        <v>49</v>
      </c>
      <c r="B316" s="1" t="s">
        <v>31</v>
      </c>
      <c r="C316" s="1" t="s">
        <v>34</v>
      </c>
      <c r="D316" s="1" t="s">
        <v>41</v>
      </c>
      <c r="E316" s="1">
        <v>14</v>
      </c>
      <c r="F316" s="1">
        <v>57670</v>
      </c>
      <c r="G316" s="1">
        <v>2</v>
      </c>
      <c r="H316" s="2">
        <v>46186</v>
      </c>
      <c r="I316" s="2">
        <v>46196</v>
      </c>
      <c r="J316" s="1" t="s">
        <v>15</v>
      </c>
      <c r="K316" s="1">
        <v>1315</v>
      </c>
      <c r="L316" s="1">
        <f t="shared" si="6"/>
        <v>791232.4</v>
      </c>
      <c r="M316" s="1">
        <f t="shared" si="7"/>
        <v>1166610.5999999999</v>
      </c>
      <c r="N316" s="1" t="str">
        <f t="shared" si="8"/>
        <v>Deepak</v>
      </c>
    </row>
    <row r="317" spans="1:14" x14ac:dyDescent="0.3">
      <c r="A317" s="1" t="s">
        <v>46</v>
      </c>
      <c r="B317" s="1" t="s">
        <v>12</v>
      </c>
      <c r="C317" s="1" t="s">
        <v>18</v>
      </c>
      <c r="D317" s="1" t="s">
        <v>28</v>
      </c>
      <c r="E317" s="1">
        <v>7</v>
      </c>
      <c r="F317" s="1">
        <v>9838</v>
      </c>
      <c r="G317" s="1">
        <v>7</v>
      </c>
      <c r="H317" s="2">
        <v>46078</v>
      </c>
      <c r="I317" s="2">
        <v>46085</v>
      </c>
      <c r="J317" s="1" t="s">
        <v>20</v>
      </c>
      <c r="K317" s="1">
        <v>1316</v>
      </c>
      <c r="L317" s="1">
        <f t="shared" si="6"/>
        <v>64045.38</v>
      </c>
      <c r="M317" s="1">
        <f t="shared" si="7"/>
        <v>1166610.5999999999</v>
      </c>
      <c r="N317" s="1" t="str">
        <f t="shared" si="8"/>
        <v>Deepak</v>
      </c>
    </row>
    <row r="318" spans="1:14" x14ac:dyDescent="0.3">
      <c r="A318" s="1" t="s">
        <v>59</v>
      </c>
      <c r="B318" s="1" t="s">
        <v>33</v>
      </c>
      <c r="C318" s="1" t="s">
        <v>34</v>
      </c>
      <c r="D318" s="1" t="s">
        <v>41</v>
      </c>
      <c r="E318" s="1">
        <v>7</v>
      </c>
      <c r="F318" s="1">
        <v>67339</v>
      </c>
      <c r="G318" s="1">
        <v>5</v>
      </c>
      <c r="H318" s="2">
        <v>46159</v>
      </c>
      <c r="I318" s="2">
        <v>46169</v>
      </c>
      <c r="J318" s="1" t="s">
        <v>51</v>
      </c>
      <c r="K318" s="1">
        <v>1317</v>
      </c>
      <c r="L318" s="1">
        <f t="shared" si="6"/>
        <v>447804.35</v>
      </c>
      <c r="M318" s="1">
        <f t="shared" si="7"/>
        <v>1166610.5999999999</v>
      </c>
      <c r="N318" s="1" t="str">
        <f t="shared" si="8"/>
        <v>Deepak</v>
      </c>
    </row>
    <row r="319" spans="1:14" x14ac:dyDescent="0.3">
      <c r="A319" s="1" t="s">
        <v>11</v>
      </c>
      <c r="B319" s="1" t="s">
        <v>43</v>
      </c>
      <c r="C319" s="1" t="s">
        <v>13</v>
      </c>
      <c r="D319" s="1" t="s">
        <v>50</v>
      </c>
      <c r="E319" s="1">
        <v>4</v>
      </c>
      <c r="F319" s="1">
        <v>38</v>
      </c>
      <c r="G319" s="1">
        <v>12</v>
      </c>
      <c r="H319" s="2">
        <v>46169</v>
      </c>
      <c r="I319" s="2">
        <v>46175</v>
      </c>
      <c r="J319" s="1" t="s">
        <v>29</v>
      </c>
      <c r="K319" s="1">
        <v>1318</v>
      </c>
      <c r="L319" s="1">
        <f t="shared" si="6"/>
        <v>133.76</v>
      </c>
      <c r="M319" s="1">
        <f t="shared" si="7"/>
        <v>1166610.5999999999</v>
      </c>
      <c r="N319" s="1" t="str">
        <f t="shared" si="8"/>
        <v>Deepak</v>
      </c>
    </row>
    <row r="320" spans="1:14" x14ac:dyDescent="0.3">
      <c r="A320" s="1" t="s">
        <v>21</v>
      </c>
      <c r="B320" s="1" t="s">
        <v>17</v>
      </c>
      <c r="C320" s="1" t="s">
        <v>34</v>
      </c>
      <c r="D320" s="1" t="s">
        <v>61</v>
      </c>
      <c r="E320" s="1">
        <v>17</v>
      </c>
      <c r="F320" s="1">
        <v>58407</v>
      </c>
      <c r="G320" s="1">
        <v>7</v>
      </c>
      <c r="H320" s="2">
        <v>46094</v>
      </c>
      <c r="I320" s="2">
        <v>46102</v>
      </c>
      <c r="J320" s="1" t="s">
        <v>15</v>
      </c>
      <c r="K320" s="1">
        <v>1319</v>
      </c>
      <c r="L320" s="1">
        <f t="shared" si="6"/>
        <v>923414.66999999993</v>
      </c>
      <c r="M320" s="1">
        <f t="shared" si="7"/>
        <v>1166610.5999999999</v>
      </c>
      <c r="N320" s="1" t="str">
        <f t="shared" si="8"/>
        <v>Deepak</v>
      </c>
    </row>
    <row r="321" spans="1:14" x14ac:dyDescent="0.3">
      <c r="A321" s="1" t="s">
        <v>47</v>
      </c>
      <c r="B321" s="1" t="s">
        <v>38</v>
      </c>
      <c r="C321" s="1" t="s">
        <v>13</v>
      </c>
      <c r="D321" s="1" t="s">
        <v>36</v>
      </c>
      <c r="E321" s="1">
        <v>20</v>
      </c>
      <c r="F321" s="1">
        <v>55</v>
      </c>
      <c r="G321" s="1">
        <v>7</v>
      </c>
      <c r="H321" s="2">
        <v>46183</v>
      </c>
      <c r="I321" s="2">
        <v>46186</v>
      </c>
      <c r="J321" s="1" t="s">
        <v>20</v>
      </c>
      <c r="K321" s="1">
        <v>1320</v>
      </c>
      <c r="L321" s="1">
        <f t="shared" si="6"/>
        <v>1022.9999999999999</v>
      </c>
      <c r="M321" s="1">
        <f t="shared" si="7"/>
        <v>1166610.5999999999</v>
      </c>
      <c r="N321" s="1" t="str">
        <f t="shared" si="8"/>
        <v>Deepak</v>
      </c>
    </row>
    <row r="322" spans="1:14" x14ac:dyDescent="0.3">
      <c r="A322" s="1" t="s">
        <v>32</v>
      </c>
      <c r="B322" s="1" t="s">
        <v>22</v>
      </c>
      <c r="C322" s="1" t="s">
        <v>18</v>
      </c>
      <c r="D322" s="1" t="s">
        <v>19</v>
      </c>
      <c r="E322" s="1">
        <v>8</v>
      </c>
      <c r="F322" s="1">
        <v>5619</v>
      </c>
      <c r="G322" s="1">
        <v>7</v>
      </c>
      <c r="H322" s="2">
        <v>46107</v>
      </c>
      <c r="I322" s="2">
        <v>46109</v>
      </c>
      <c r="J322" s="1" t="s">
        <v>51</v>
      </c>
      <c r="K322" s="1">
        <v>1321</v>
      </c>
      <c r="L322" s="1">
        <f t="shared" si="6"/>
        <v>41805.360000000001</v>
      </c>
      <c r="M322" s="1">
        <f t="shared" si="7"/>
        <v>1166610.5999999999</v>
      </c>
      <c r="N322" s="1" t="str">
        <f t="shared" si="8"/>
        <v>Deepak</v>
      </c>
    </row>
    <row r="323" spans="1:14" x14ac:dyDescent="0.3">
      <c r="A323" s="1" t="s">
        <v>27</v>
      </c>
      <c r="B323" s="1" t="s">
        <v>12</v>
      </c>
      <c r="C323" s="1" t="s">
        <v>18</v>
      </c>
      <c r="D323" s="1" t="s">
        <v>23</v>
      </c>
      <c r="E323" s="1">
        <v>14</v>
      </c>
      <c r="F323" s="1">
        <v>9081</v>
      </c>
      <c r="G323" s="1">
        <v>15</v>
      </c>
      <c r="H323" s="2">
        <v>46141</v>
      </c>
      <c r="I323" s="2">
        <v>46146</v>
      </c>
      <c r="J323" s="1" t="s">
        <v>15</v>
      </c>
      <c r="K323" s="1">
        <v>1322</v>
      </c>
      <c r="L323" s="1">
        <f t="shared" si="6"/>
        <v>108063.9</v>
      </c>
      <c r="M323" s="1">
        <f t="shared" si="7"/>
        <v>1166610.5999999999</v>
      </c>
      <c r="N323" s="1" t="str">
        <f t="shared" ref="N323:N386" si="9">_xlfn.XLOOKUP(M323,L323:L722,A323:A722)</f>
        <v>Deepak</v>
      </c>
    </row>
    <row r="324" spans="1:14" x14ac:dyDescent="0.3">
      <c r="A324" s="1" t="s">
        <v>57</v>
      </c>
      <c r="B324" s="1" t="s">
        <v>38</v>
      </c>
      <c r="C324" s="1" t="s">
        <v>34</v>
      </c>
      <c r="D324" s="1" t="s">
        <v>61</v>
      </c>
      <c r="E324" s="1">
        <v>2</v>
      </c>
      <c r="F324" s="1">
        <v>32074</v>
      </c>
      <c r="G324" s="1">
        <v>10</v>
      </c>
      <c r="H324" s="2">
        <v>46073</v>
      </c>
      <c r="I324" s="2">
        <v>46078</v>
      </c>
      <c r="J324" s="1" t="s">
        <v>15</v>
      </c>
      <c r="K324" s="1">
        <v>1323</v>
      </c>
      <c r="L324" s="1">
        <f t="shared" si="6"/>
        <v>57733.200000000004</v>
      </c>
      <c r="M324" s="1">
        <f t="shared" si="7"/>
        <v>1166610.5999999999</v>
      </c>
      <c r="N324" s="1" t="str">
        <f t="shared" si="9"/>
        <v>Deepak</v>
      </c>
    </row>
    <row r="325" spans="1:14" x14ac:dyDescent="0.3">
      <c r="A325" s="1" t="s">
        <v>32</v>
      </c>
      <c r="B325" s="1" t="s">
        <v>22</v>
      </c>
      <c r="C325" s="1" t="s">
        <v>18</v>
      </c>
      <c r="D325" s="1" t="s">
        <v>19</v>
      </c>
      <c r="E325" s="1">
        <v>1</v>
      </c>
      <c r="F325" s="1">
        <v>4286</v>
      </c>
      <c r="G325" s="1">
        <v>15</v>
      </c>
      <c r="H325" s="2">
        <v>46053</v>
      </c>
      <c r="I325" s="2">
        <v>46056</v>
      </c>
      <c r="J325" s="1" t="s">
        <v>20</v>
      </c>
      <c r="K325" s="1">
        <v>1324</v>
      </c>
      <c r="L325" s="1">
        <f t="shared" si="6"/>
        <v>3643.1</v>
      </c>
      <c r="M325" s="1">
        <f t="shared" si="7"/>
        <v>1166610.5999999999</v>
      </c>
      <c r="N325" s="1" t="str">
        <f t="shared" si="9"/>
        <v>Deepak</v>
      </c>
    </row>
    <row r="326" spans="1:14" x14ac:dyDescent="0.3">
      <c r="A326" s="1" t="s">
        <v>48</v>
      </c>
      <c r="B326" s="1" t="s">
        <v>43</v>
      </c>
      <c r="C326" s="1" t="s">
        <v>34</v>
      </c>
      <c r="D326" s="1" t="s">
        <v>39</v>
      </c>
      <c r="E326" s="1">
        <v>9</v>
      </c>
      <c r="F326" s="1">
        <v>58442</v>
      </c>
      <c r="G326" s="1">
        <v>12</v>
      </c>
      <c r="H326" s="2">
        <v>46076</v>
      </c>
      <c r="I326" s="2">
        <v>46085</v>
      </c>
      <c r="J326" s="1" t="s">
        <v>20</v>
      </c>
      <c r="K326" s="1">
        <v>1325</v>
      </c>
      <c r="L326" s="1">
        <f t="shared" si="6"/>
        <v>462860.64</v>
      </c>
      <c r="M326" s="1">
        <f t="shared" si="7"/>
        <v>1166610.5999999999</v>
      </c>
      <c r="N326" s="1" t="str">
        <f t="shared" si="9"/>
        <v>Deepak</v>
      </c>
    </row>
    <row r="327" spans="1:14" x14ac:dyDescent="0.3">
      <c r="A327" s="1" t="s">
        <v>26</v>
      </c>
      <c r="B327" s="1" t="s">
        <v>17</v>
      </c>
      <c r="C327" s="1" t="s">
        <v>18</v>
      </c>
      <c r="D327" s="1" t="s">
        <v>44</v>
      </c>
      <c r="E327" s="1">
        <v>18</v>
      </c>
      <c r="F327" s="1">
        <v>1830</v>
      </c>
      <c r="G327" s="1">
        <v>10</v>
      </c>
      <c r="H327" s="2">
        <v>46165</v>
      </c>
      <c r="I327" s="2">
        <v>46172</v>
      </c>
      <c r="J327" s="1" t="s">
        <v>15</v>
      </c>
      <c r="K327" s="1">
        <v>1326</v>
      </c>
      <c r="L327" s="1">
        <f t="shared" si="6"/>
        <v>29646</v>
      </c>
      <c r="M327" s="1">
        <f t="shared" si="7"/>
        <v>1166610.5999999999</v>
      </c>
      <c r="N327" s="1" t="str">
        <f t="shared" si="9"/>
        <v>Deepak</v>
      </c>
    </row>
    <row r="328" spans="1:14" x14ac:dyDescent="0.3">
      <c r="A328" s="1" t="s">
        <v>48</v>
      </c>
      <c r="B328" s="1" t="s">
        <v>12</v>
      </c>
      <c r="C328" s="1" t="s">
        <v>13</v>
      </c>
      <c r="D328" s="1" t="s">
        <v>53</v>
      </c>
      <c r="E328" s="1">
        <v>15</v>
      </c>
      <c r="F328" s="1">
        <v>449</v>
      </c>
      <c r="G328" s="1">
        <v>5</v>
      </c>
      <c r="H328" s="2">
        <v>46152</v>
      </c>
      <c r="I328" s="2">
        <v>46153</v>
      </c>
      <c r="J328" s="1" t="s">
        <v>15</v>
      </c>
      <c r="K328" s="1">
        <v>1327</v>
      </c>
      <c r="L328" s="1">
        <f t="shared" si="6"/>
        <v>6398.25</v>
      </c>
      <c r="M328" s="1">
        <f t="shared" si="7"/>
        <v>1166610.5999999999</v>
      </c>
      <c r="N328" s="1" t="str">
        <f t="shared" si="9"/>
        <v>Deepak</v>
      </c>
    </row>
    <row r="329" spans="1:14" x14ac:dyDescent="0.3">
      <c r="A329" s="1" t="s">
        <v>16</v>
      </c>
      <c r="B329" s="1" t="s">
        <v>38</v>
      </c>
      <c r="C329" s="1" t="s">
        <v>13</v>
      </c>
      <c r="D329" s="1" t="s">
        <v>36</v>
      </c>
      <c r="E329" s="1">
        <v>4</v>
      </c>
      <c r="F329" s="1">
        <v>132</v>
      </c>
      <c r="G329" s="1">
        <v>0</v>
      </c>
      <c r="H329" s="2">
        <v>46109</v>
      </c>
      <c r="I329" s="2">
        <v>46114</v>
      </c>
      <c r="J329" s="1" t="s">
        <v>29</v>
      </c>
      <c r="K329" s="1">
        <v>1328</v>
      </c>
      <c r="L329" s="1">
        <f t="shared" si="6"/>
        <v>528</v>
      </c>
      <c r="M329" s="1">
        <f t="shared" si="7"/>
        <v>1166610.5999999999</v>
      </c>
      <c r="N329" s="1" t="str">
        <f t="shared" si="9"/>
        <v>Deepak</v>
      </c>
    </row>
    <row r="330" spans="1:14" x14ac:dyDescent="0.3">
      <c r="A330" s="1" t="s">
        <v>30</v>
      </c>
      <c r="B330" s="1" t="s">
        <v>43</v>
      </c>
      <c r="C330" s="1" t="s">
        <v>13</v>
      </c>
      <c r="D330" s="1" t="s">
        <v>53</v>
      </c>
      <c r="E330" s="1">
        <v>18</v>
      </c>
      <c r="F330" s="1">
        <v>227</v>
      </c>
      <c r="G330" s="1">
        <v>5</v>
      </c>
      <c r="H330" s="2">
        <v>46126</v>
      </c>
      <c r="I330" s="2">
        <v>46136</v>
      </c>
      <c r="J330" s="1" t="s">
        <v>29</v>
      </c>
      <c r="K330" s="1">
        <v>1329</v>
      </c>
      <c r="L330" s="1">
        <f t="shared" si="6"/>
        <v>3881.7</v>
      </c>
      <c r="M330" s="1">
        <f t="shared" si="7"/>
        <v>1166610.5999999999</v>
      </c>
      <c r="N330" s="1" t="str">
        <f t="shared" si="9"/>
        <v>Deepak</v>
      </c>
    </row>
    <row r="331" spans="1:14" x14ac:dyDescent="0.3">
      <c r="A331" s="1" t="s">
        <v>49</v>
      </c>
      <c r="B331" s="1" t="s">
        <v>17</v>
      </c>
      <c r="C331" s="1" t="s">
        <v>18</v>
      </c>
      <c r="D331" s="1" t="s">
        <v>19</v>
      </c>
      <c r="E331" s="1">
        <v>13</v>
      </c>
      <c r="F331" s="1">
        <v>12071</v>
      </c>
      <c r="G331" s="1">
        <v>0</v>
      </c>
      <c r="H331" s="2">
        <v>46032</v>
      </c>
      <c r="I331" s="2">
        <v>46036</v>
      </c>
      <c r="J331" s="1" t="s">
        <v>51</v>
      </c>
      <c r="K331" s="1">
        <v>1330</v>
      </c>
      <c r="L331" s="1">
        <f t="shared" si="6"/>
        <v>156923</v>
      </c>
      <c r="M331" s="1">
        <f t="shared" si="7"/>
        <v>1166610.5999999999</v>
      </c>
      <c r="N331" s="1" t="str">
        <f t="shared" si="9"/>
        <v>Deepak</v>
      </c>
    </row>
    <row r="332" spans="1:14" x14ac:dyDescent="0.3">
      <c r="A332" s="1" t="s">
        <v>21</v>
      </c>
      <c r="B332" s="1" t="s">
        <v>25</v>
      </c>
      <c r="C332" s="1" t="s">
        <v>34</v>
      </c>
      <c r="D332" s="1" t="s">
        <v>61</v>
      </c>
      <c r="E332" s="1">
        <v>2</v>
      </c>
      <c r="F332" s="1">
        <v>43557</v>
      </c>
      <c r="G332" s="1">
        <v>2</v>
      </c>
      <c r="H332" s="2">
        <v>46190</v>
      </c>
      <c r="I332" s="2">
        <v>46200</v>
      </c>
      <c r="J332" s="1" t="s">
        <v>15</v>
      </c>
      <c r="K332" s="1">
        <v>1331</v>
      </c>
      <c r="L332" s="1">
        <f t="shared" si="6"/>
        <v>85371.72</v>
      </c>
      <c r="M332" s="1">
        <f t="shared" si="7"/>
        <v>1166610.5999999999</v>
      </c>
      <c r="N332" s="1" t="str">
        <f t="shared" si="9"/>
        <v>Deepak</v>
      </c>
    </row>
    <row r="333" spans="1:14" x14ac:dyDescent="0.3">
      <c r="A333" s="1" t="s">
        <v>29</v>
      </c>
      <c r="B333" s="1" t="s">
        <v>43</v>
      </c>
      <c r="C333" s="1" t="s">
        <v>13</v>
      </c>
      <c r="D333" s="1" t="s">
        <v>50</v>
      </c>
      <c r="E333" s="1">
        <v>7</v>
      </c>
      <c r="F333" s="1">
        <v>439</v>
      </c>
      <c r="G333" s="1">
        <v>2</v>
      </c>
      <c r="H333" s="2">
        <v>46154</v>
      </c>
      <c r="I333" s="2">
        <v>46157</v>
      </c>
      <c r="J333" s="1" t="s">
        <v>15</v>
      </c>
      <c r="K333" s="1">
        <v>1332</v>
      </c>
      <c r="L333" s="1">
        <f t="shared" si="6"/>
        <v>3011.54</v>
      </c>
      <c r="M333" s="1">
        <f t="shared" si="7"/>
        <v>1166610.5999999999</v>
      </c>
      <c r="N333" s="1" t="str">
        <f t="shared" si="9"/>
        <v>Deepak</v>
      </c>
    </row>
    <row r="334" spans="1:14" x14ac:dyDescent="0.3">
      <c r="A334" s="1" t="s">
        <v>29</v>
      </c>
      <c r="B334" s="1" t="s">
        <v>38</v>
      </c>
      <c r="C334" s="1" t="s">
        <v>13</v>
      </c>
      <c r="D334" s="1" t="s">
        <v>53</v>
      </c>
      <c r="E334" s="1">
        <v>20</v>
      </c>
      <c r="F334" s="1">
        <v>416</v>
      </c>
      <c r="G334" s="1">
        <v>12</v>
      </c>
      <c r="H334" s="2">
        <v>46145</v>
      </c>
      <c r="I334" s="2">
        <v>46146</v>
      </c>
      <c r="J334" s="1" t="s">
        <v>51</v>
      </c>
      <c r="K334" s="1">
        <v>1333</v>
      </c>
      <c r="L334" s="1">
        <f t="shared" si="6"/>
        <v>7321.6</v>
      </c>
      <c r="M334" s="1">
        <f t="shared" si="7"/>
        <v>1166610.5999999999</v>
      </c>
      <c r="N334" s="1" t="str">
        <f t="shared" si="9"/>
        <v>Deepak</v>
      </c>
    </row>
    <row r="335" spans="1:14" x14ac:dyDescent="0.3">
      <c r="A335" s="1" t="s">
        <v>40</v>
      </c>
      <c r="B335" s="1" t="s">
        <v>12</v>
      </c>
      <c r="C335" s="1" t="s">
        <v>34</v>
      </c>
      <c r="D335" s="1" t="s">
        <v>41</v>
      </c>
      <c r="E335" s="1">
        <v>15</v>
      </c>
      <c r="F335" s="1">
        <v>39853</v>
      </c>
      <c r="G335" s="1">
        <v>7</v>
      </c>
      <c r="H335" s="2">
        <v>46038</v>
      </c>
      <c r="I335" s="2">
        <v>46047</v>
      </c>
      <c r="J335" s="1" t="s">
        <v>51</v>
      </c>
      <c r="K335" s="1">
        <v>1334</v>
      </c>
      <c r="L335" s="1">
        <f t="shared" si="6"/>
        <v>555949.35</v>
      </c>
      <c r="M335" s="1">
        <f t="shared" si="7"/>
        <v>1166610.5999999999</v>
      </c>
      <c r="N335" s="1" t="str">
        <f t="shared" si="9"/>
        <v>Deepak</v>
      </c>
    </row>
    <row r="336" spans="1:14" x14ac:dyDescent="0.3">
      <c r="A336" s="1" t="s">
        <v>47</v>
      </c>
      <c r="B336" s="1" t="s">
        <v>17</v>
      </c>
      <c r="C336" s="1" t="s">
        <v>18</v>
      </c>
      <c r="D336" s="1" t="s">
        <v>19</v>
      </c>
      <c r="E336" s="1">
        <v>9</v>
      </c>
      <c r="F336" s="1">
        <v>1495</v>
      </c>
      <c r="G336" s="1">
        <v>12</v>
      </c>
      <c r="H336" s="2">
        <v>46168</v>
      </c>
      <c r="I336" s="2">
        <v>46173</v>
      </c>
      <c r="J336" s="1" t="s">
        <v>15</v>
      </c>
      <c r="K336" s="1">
        <v>1335</v>
      </c>
      <c r="L336" s="1">
        <f t="shared" si="6"/>
        <v>11840.4</v>
      </c>
      <c r="M336" s="1">
        <f t="shared" si="7"/>
        <v>1166610.5999999999</v>
      </c>
      <c r="N336" s="1" t="str">
        <f t="shared" si="9"/>
        <v>Deepak</v>
      </c>
    </row>
    <row r="337" spans="1:14" x14ac:dyDescent="0.3">
      <c r="A337" s="1" t="s">
        <v>16</v>
      </c>
      <c r="B337" s="1" t="s">
        <v>25</v>
      </c>
      <c r="C337" s="1" t="s">
        <v>18</v>
      </c>
      <c r="D337" s="1" t="s">
        <v>56</v>
      </c>
      <c r="E337" s="1">
        <v>10</v>
      </c>
      <c r="F337" s="1">
        <v>5624</v>
      </c>
      <c r="G337" s="1">
        <v>0</v>
      </c>
      <c r="H337" s="2">
        <v>46086</v>
      </c>
      <c r="I337" s="2">
        <v>46092</v>
      </c>
      <c r="J337" s="1" t="s">
        <v>29</v>
      </c>
      <c r="K337" s="1">
        <v>1336</v>
      </c>
      <c r="L337" s="1">
        <f t="shared" si="6"/>
        <v>56240</v>
      </c>
      <c r="M337" s="1">
        <f t="shared" si="7"/>
        <v>1166610.5999999999</v>
      </c>
      <c r="N337" s="1" t="str">
        <f t="shared" si="9"/>
        <v>Deepak</v>
      </c>
    </row>
    <row r="338" spans="1:14" x14ac:dyDescent="0.3">
      <c r="A338" s="1" t="s">
        <v>16</v>
      </c>
      <c r="B338" s="1" t="s">
        <v>12</v>
      </c>
      <c r="C338" s="1" t="s">
        <v>13</v>
      </c>
      <c r="D338" s="1" t="s">
        <v>53</v>
      </c>
      <c r="E338" s="1">
        <v>14</v>
      </c>
      <c r="F338" s="1">
        <v>373</v>
      </c>
      <c r="G338" s="1">
        <v>10</v>
      </c>
      <c r="H338" s="2">
        <v>46074</v>
      </c>
      <c r="I338" s="2">
        <v>46080</v>
      </c>
      <c r="J338" s="1" t="s">
        <v>29</v>
      </c>
      <c r="K338" s="1">
        <v>1337</v>
      </c>
      <c r="L338" s="1">
        <f t="shared" si="6"/>
        <v>4699.8</v>
      </c>
      <c r="M338" s="1">
        <f t="shared" si="7"/>
        <v>1166610.5999999999</v>
      </c>
      <c r="N338" s="1" t="str">
        <f t="shared" si="9"/>
        <v>Deepak</v>
      </c>
    </row>
    <row r="339" spans="1:14" x14ac:dyDescent="0.3">
      <c r="A339" s="1" t="s">
        <v>59</v>
      </c>
      <c r="B339" s="1" t="s">
        <v>25</v>
      </c>
      <c r="C339" s="1" t="s">
        <v>34</v>
      </c>
      <c r="D339" s="1" t="s">
        <v>60</v>
      </c>
      <c r="E339" s="1">
        <v>10</v>
      </c>
      <c r="F339" s="1">
        <v>16719</v>
      </c>
      <c r="G339" s="1">
        <v>5</v>
      </c>
      <c r="H339" s="2">
        <v>46177</v>
      </c>
      <c r="I339" s="2">
        <v>46179</v>
      </c>
      <c r="J339" s="1" t="s">
        <v>15</v>
      </c>
      <c r="K339" s="1">
        <v>1338</v>
      </c>
      <c r="L339" s="1">
        <f t="shared" si="6"/>
        <v>158830.5</v>
      </c>
      <c r="M339" s="1">
        <f t="shared" si="7"/>
        <v>1166610.5999999999</v>
      </c>
      <c r="N339" s="1" t="str">
        <f t="shared" si="9"/>
        <v>Deepak</v>
      </c>
    </row>
    <row r="340" spans="1:14" x14ac:dyDescent="0.3">
      <c r="A340" s="1" t="s">
        <v>32</v>
      </c>
      <c r="B340" s="1" t="s">
        <v>25</v>
      </c>
      <c r="C340" s="1" t="s">
        <v>13</v>
      </c>
      <c r="D340" s="1" t="s">
        <v>14</v>
      </c>
      <c r="E340" s="1">
        <v>6</v>
      </c>
      <c r="F340" s="1">
        <v>302</v>
      </c>
      <c r="G340" s="1">
        <v>5</v>
      </c>
      <c r="H340" s="2">
        <v>46142</v>
      </c>
      <c r="I340" s="2">
        <v>46148</v>
      </c>
      <c r="J340" s="1" t="s">
        <v>20</v>
      </c>
      <c r="K340" s="1">
        <v>1339</v>
      </c>
      <c r="L340" s="1">
        <f t="shared" si="6"/>
        <v>1721.3999999999999</v>
      </c>
      <c r="M340" s="1">
        <f t="shared" si="7"/>
        <v>1166610.5999999999</v>
      </c>
      <c r="N340" s="1" t="str">
        <f t="shared" si="9"/>
        <v>Deepak</v>
      </c>
    </row>
    <row r="341" spans="1:14" x14ac:dyDescent="0.3">
      <c r="A341" s="1" t="s">
        <v>48</v>
      </c>
      <c r="B341" s="1" t="s">
        <v>17</v>
      </c>
      <c r="C341" s="1" t="s">
        <v>18</v>
      </c>
      <c r="D341" s="1" t="s">
        <v>19</v>
      </c>
      <c r="E341" s="1">
        <v>12</v>
      </c>
      <c r="F341" s="1">
        <v>3857</v>
      </c>
      <c r="G341" s="1">
        <v>12</v>
      </c>
      <c r="H341" s="2">
        <v>46196</v>
      </c>
      <c r="I341" s="2">
        <v>46198</v>
      </c>
      <c r="J341" s="1" t="s">
        <v>51</v>
      </c>
      <c r="K341" s="1">
        <v>1340</v>
      </c>
      <c r="L341" s="1">
        <f t="shared" si="6"/>
        <v>40729.919999999998</v>
      </c>
      <c r="M341" s="1">
        <f t="shared" si="7"/>
        <v>1166610.5999999999</v>
      </c>
      <c r="N341" s="1" t="str">
        <f t="shared" si="9"/>
        <v>Deepak</v>
      </c>
    </row>
    <row r="342" spans="1:14" x14ac:dyDescent="0.3">
      <c r="A342" s="1" t="s">
        <v>57</v>
      </c>
      <c r="B342" s="1" t="s">
        <v>38</v>
      </c>
      <c r="C342" s="1" t="s">
        <v>18</v>
      </c>
      <c r="D342" s="1" t="s">
        <v>19</v>
      </c>
      <c r="E342" s="1">
        <v>19</v>
      </c>
      <c r="F342" s="1">
        <v>6488</v>
      </c>
      <c r="G342" s="1">
        <v>15</v>
      </c>
      <c r="H342" s="2">
        <v>46026</v>
      </c>
      <c r="I342" s="2">
        <v>46030</v>
      </c>
      <c r="J342" s="1" t="s">
        <v>20</v>
      </c>
      <c r="K342" s="1">
        <v>1341</v>
      </c>
      <c r="L342" s="1">
        <f t="shared" si="6"/>
        <v>104781.2</v>
      </c>
      <c r="M342" s="1">
        <f t="shared" si="7"/>
        <v>1166610.5999999999</v>
      </c>
      <c r="N342" s="1" t="str">
        <f t="shared" si="9"/>
        <v>Deepak</v>
      </c>
    </row>
    <row r="343" spans="1:14" x14ac:dyDescent="0.3">
      <c r="A343" s="1" t="s">
        <v>59</v>
      </c>
      <c r="B343" s="1" t="s">
        <v>31</v>
      </c>
      <c r="C343" s="1" t="s">
        <v>34</v>
      </c>
      <c r="D343" s="1" t="s">
        <v>35</v>
      </c>
      <c r="E343" s="1">
        <v>13</v>
      </c>
      <c r="F343" s="1">
        <v>47881</v>
      </c>
      <c r="G343" s="1">
        <v>15</v>
      </c>
      <c r="H343" s="2">
        <v>46132</v>
      </c>
      <c r="I343" s="2">
        <v>46139</v>
      </c>
      <c r="J343" s="1" t="s">
        <v>29</v>
      </c>
      <c r="K343" s="1">
        <v>1342</v>
      </c>
      <c r="L343" s="1">
        <f t="shared" si="6"/>
        <v>529085.04999999993</v>
      </c>
      <c r="M343" s="1">
        <f t="shared" si="7"/>
        <v>1166610.5999999999</v>
      </c>
      <c r="N343" s="1" t="str">
        <f t="shared" si="9"/>
        <v>Deepak</v>
      </c>
    </row>
    <row r="344" spans="1:14" x14ac:dyDescent="0.3">
      <c r="A344" s="1" t="s">
        <v>59</v>
      </c>
      <c r="B344" s="1" t="s">
        <v>31</v>
      </c>
      <c r="C344" s="1" t="s">
        <v>34</v>
      </c>
      <c r="D344" s="1" t="s">
        <v>39</v>
      </c>
      <c r="E344" s="1">
        <v>14</v>
      </c>
      <c r="F344" s="1">
        <v>32719</v>
      </c>
      <c r="G344" s="1">
        <v>15</v>
      </c>
      <c r="H344" s="2">
        <v>46174</v>
      </c>
      <c r="I344" s="2">
        <v>46179</v>
      </c>
      <c r="J344" s="1" t="s">
        <v>15</v>
      </c>
      <c r="K344" s="1">
        <v>1343</v>
      </c>
      <c r="L344" s="1">
        <f t="shared" si="6"/>
        <v>389356.1</v>
      </c>
      <c r="M344" s="1">
        <f t="shared" si="7"/>
        <v>1166610.5999999999</v>
      </c>
      <c r="N344" s="1" t="str">
        <f t="shared" si="9"/>
        <v>Deepak</v>
      </c>
    </row>
    <row r="345" spans="1:14" x14ac:dyDescent="0.3">
      <c r="A345" s="1" t="s">
        <v>30</v>
      </c>
      <c r="B345" s="1" t="s">
        <v>17</v>
      </c>
      <c r="C345" s="1" t="s">
        <v>13</v>
      </c>
      <c r="D345" s="1" t="s">
        <v>53</v>
      </c>
      <c r="E345" s="1">
        <v>18</v>
      </c>
      <c r="F345" s="1">
        <v>240</v>
      </c>
      <c r="G345" s="1">
        <v>10</v>
      </c>
      <c r="H345" s="2">
        <v>46155</v>
      </c>
      <c r="I345" s="2">
        <v>46156</v>
      </c>
      <c r="J345" s="1" t="s">
        <v>24</v>
      </c>
      <c r="K345" s="1">
        <v>1344</v>
      </c>
      <c r="L345" s="1">
        <f t="shared" si="6"/>
        <v>3888</v>
      </c>
      <c r="M345" s="1">
        <f t="shared" si="7"/>
        <v>1166610.5999999999</v>
      </c>
      <c r="N345" s="1" t="str">
        <f t="shared" si="9"/>
        <v>Deepak</v>
      </c>
    </row>
    <row r="346" spans="1:14" x14ac:dyDescent="0.3">
      <c r="A346" s="1" t="s">
        <v>32</v>
      </c>
      <c r="B346" s="1" t="s">
        <v>12</v>
      </c>
      <c r="C346" s="1" t="s">
        <v>34</v>
      </c>
      <c r="D346" s="1" t="s">
        <v>45</v>
      </c>
      <c r="E346" s="1">
        <v>12</v>
      </c>
      <c r="F346" s="1">
        <v>50544</v>
      </c>
      <c r="G346" s="1">
        <v>10</v>
      </c>
      <c r="H346" s="2">
        <v>46095</v>
      </c>
      <c r="I346" s="2">
        <v>46097</v>
      </c>
      <c r="J346" s="1" t="s">
        <v>29</v>
      </c>
      <c r="K346" s="1">
        <v>1345</v>
      </c>
      <c r="L346" s="1">
        <f t="shared" si="6"/>
        <v>545875.20000000007</v>
      </c>
      <c r="M346" s="1">
        <f t="shared" si="7"/>
        <v>1166610.5999999999</v>
      </c>
      <c r="N346" s="1" t="str">
        <f t="shared" si="9"/>
        <v>Deepak</v>
      </c>
    </row>
    <row r="347" spans="1:14" x14ac:dyDescent="0.3">
      <c r="A347" s="1" t="s">
        <v>32</v>
      </c>
      <c r="B347" s="1" t="s">
        <v>22</v>
      </c>
      <c r="C347" s="1" t="s">
        <v>18</v>
      </c>
      <c r="D347" s="1" t="s">
        <v>19</v>
      </c>
      <c r="E347" s="1">
        <v>16</v>
      </c>
      <c r="F347" s="1">
        <v>6910</v>
      </c>
      <c r="G347" s="1">
        <v>15</v>
      </c>
      <c r="H347" s="2">
        <v>46140</v>
      </c>
      <c r="I347" s="2">
        <v>46142</v>
      </c>
      <c r="J347" s="1" t="s">
        <v>29</v>
      </c>
      <c r="K347" s="1">
        <v>1346</v>
      </c>
      <c r="L347" s="1">
        <f t="shared" si="6"/>
        <v>93976</v>
      </c>
      <c r="M347" s="1">
        <f t="shared" si="7"/>
        <v>1166610.5999999999</v>
      </c>
      <c r="N347" s="1" t="str">
        <f t="shared" si="9"/>
        <v>Deepak</v>
      </c>
    </row>
    <row r="348" spans="1:14" x14ac:dyDescent="0.3">
      <c r="A348" s="1" t="s">
        <v>29</v>
      </c>
      <c r="B348" s="1" t="s">
        <v>22</v>
      </c>
      <c r="C348" s="1" t="s">
        <v>34</v>
      </c>
      <c r="D348" s="1" t="s">
        <v>35</v>
      </c>
      <c r="E348" s="1">
        <v>16</v>
      </c>
      <c r="F348" s="1">
        <v>6034</v>
      </c>
      <c r="G348" s="1">
        <v>15</v>
      </c>
      <c r="H348" s="2">
        <v>46037</v>
      </c>
      <c r="I348" s="2">
        <v>46044</v>
      </c>
      <c r="J348" s="1" t="s">
        <v>24</v>
      </c>
      <c r="K348" s="1">
        <v>1347</v>
      </c>
      <c r="L348" s="1">
        <f t="shared" si="6"/>
        <v>82062.399999999994</v>
      </c>
      <c r="M348" s="1">
        <f t="shared" si="7"/>
        <v>1166610.5999999999</v>
      </c>
      <c r="N348" s="1" t="str">
        <f t="shared" si="9"/>
        <v>Deepak</v>
      </c>
    </row>
    <row r="349" spans="1:14" x14ac:dyDescent="0.3">
      <c r="A349" s="1" t="s">
        <v>11</v>
      </c>
      <c r="B349" s="1" t="s">
        <v>33</v>
      </c>
      <c r="C349" s="1" t="s">
        <v>13</v>
      </c>
      <c r="D349" s="1" t="s">
        <v>50</v>
      </c>
      <c r="E349" s="1">
        <v>12</v>
      </c>
      <c r="F349" s="1">
        <v>244</v>
      </c>
      <c r="G349" s="1">
        <v>7</v>
      </c>
      <c r="H349" s="2">
        <v>46048</v>
      </c>
      <c r="I349" s="2">
        <v>46053</v>
      </c>
      <c r="J349" s="1" t="s">
        <v>15</v>
      </c>
      <c r="K349" s="1">
        <v>1348</v>
      </c>
      <c r="L349" s="1">
        <f t="shared" si="6"/>
        <v>2723.04</v>
      </c>
      <c r="M349" s="1">
        <f t="shared" si="7"/>
        <v>1166610.5999999999</v>
      </c>
      <c r="N349" s="1" t="str">
        <f t="shared" si="9"/>
        <v>Deepak</v>
      </c>
    </row>
    <row r="350" spans="1:14" x14ac:dyDescent="0.3">
      <c r="A350" s="1" t="s">
        <v>40</v>
      </c>
      <c r="B350" s="1" t="s">
        <v>33</v>
      </c>
      <c r="C350" s="1" t="s">
        <v>34</v>
      </c>
      <c r="D350" s="1" t="s">
        <v>35</v>
      </c>
      <c r="E350" s="1">
        <v>20</v>
      </c>
      <c r="F350" s="1">
        <v>62721</v>
      </c>
      <c r="G350" s="1">
        <v>7</v>
      </c>
      <c r="H350" s="2">
        <v>46079</v>
      </c>
      <c r="I350" s="2">
        <v>46083</v>
      </c>
      <c r="J350" s="1" t="s">
        <v>20</v>
      </c>
      <c r="K350" s="1">
        <v>1349</v>
      </c>
      <c r="L350" s="1">
        <f t="shared" si="6"/>
        <v>1166610.5999999999</v>
      </c>
      <c r="M350" s="1">
        <f t="shared" si="7"/>
        <v>1166610.5999999999</v>
      </c>
      <c r="N350" s="1" t="str">
        <f t="shared" si="9"/>
        <v>Deepak</v>
      </c>
    </row>
    <row r="351" spans="1:14" x14ac:dyDescent="0.3">
      <c r="A351" s="1" t="s">
        <v>26</v>
      </c>
      <c r="B351" s="1" t="s">
        <v>43</v>
      </c>
      <c r="C351" s="1" t="s">
        <v>18</v>
      </c>
      <c r="D351" s="1" t="s">
        <v>28</v>
      </c>
      <c r="E351" s="1">
        <v>16</v>
      </c>
      <c r="F351" s="1">
        <v>11790</v>
      </c>
      <c r="G351" s="1">
        <v>12</v>
      </c>
      <c r="H351" s="2">
        <v>46185</v>
      </c>
      <c r="I351" s="2">
        <v>46190</v>
      </c>
      <c r="J351" s="1" t="s">
        <v>29</v>
      </c>
      <c r="K351" s="1">
        <v>1350</v>
      </c>
      <c r="L351" s="1">
        <f t="shared" si="6"/>
        <v>166003.20000000001</v>
      </c>
      <c r="M351" s="1">
        <f t="shared" si="7"/>
        <v>1135320</v>
      </c>
      <c r="N351" s="1" t="str">
        <f t="shared" si="9"/>
        <v>Kiran</v>
      </c>
    </row>
    <row r="352" spans="1:14" x14ac:dyDescent="0.3">
      <c r="A352" s="1" t="s">
        <v>42</v>
      </c>
      <c r="B352" s="1" t="s">
        <v>33</v>
      </c>
      <c r="C352" s="1" t="s">
        <v>34</v>
      </c>
      <c r="D352" s="1" t="s">
        <v>45</v>
      </c>
      <c r="E352" s="1">
        <v>12</v>
      </c>
      <c r="F352" s="1">
        <v>1272</v>
      </c>
      <c r="G352" s="1">
        <v>0</v>
      </c>
      <c r="H352" s="2">
        <v>46026</v>
      </c>
      <c r="I352" s="2">
        <v>46029</v>
      </c>
      <c r="J352" s="1" t="s">
        <v>15</v>
      </c>
      <c r="K352" s="1">
        <v>1351</v>
      </c>
      <c r="L352" s="1">
        <f t="shared" si="6"/>
        <v>15264</v>
      </c>
      <c r="M352" s="1">
        <f t="shared" si="7"/>
        <v>1135320</v>
      </c>
      <c r="N352" s="1" t="str">
        <f t="shared" si="9"/>
        <v>Kiran</v>
      </c>
    </row>
    <row r="353" spans="1:14" x14ac:dyDescent="0.3">
      <c r="A353" s="1" t="s">
        <v>54</v>
      </c>
      <c r="B353" s="1" t="s">
        <v>22</v>
      </c>
      <c r="C353" s="1" t="s">
        <v>13</v>
      </c>
      <c r="D353" s="1" t="s">
        <v>14</v>
      </c>
      <c r="E353" s="1">
        <v>12</v>
      </c>
      <c r="F353" s="1">
        <v>203</v>
      </c>
      <c r="G353" s="1">
        <v>5</v>
      </c>
      <c r="H353" s="2">
        <v>46024</v>
      </c>
      <c r="I353" s="2">
        <v>46033</v>
      </c>
      <c r="J353" s="1" t="s">
        <v>15</v>
      </c>
      <c r="K353" s="1">
        <v>1352</v>
      </c>
      <c r="L353" s="1">
        <f t="shared" si="6"/>
        <v>2314.1999999999998</v>
      </c>
      <c r="M353" s="1">
        <f t="shared" si="7"/>
        <v>1135320</v>
      </c>
      <c r="N353" s="1" t="str">
        <f t="shared" si="9"/>
        <v>Kiran</v>
      </c>
    </row>
    <row r="354" spans="1:14" x14ac:dyDescent="0.3">
      <c r="A354" s="1" t="s">
        <v>47</v>
      </c>
      <c r="B354" s="1" t="s">
        <v>43</v>
      </c>
      <c r="C354" s="1" t="s">
        <v>13</v>
      </c>
      <c r="D354" s="1" t="s">
        <v>14</v>
      </c>
      <c r="E354" s="1">
        <v>6</v>
      </c>
      <c r="F354" s="1">
        <v>495</v>
      </c>
      <c r="G354" s="1">
        <v>2</v>
      </c>
      <c r="H354" s="2">
        <v>46194</v>
      </c>
      <c r="I354" s="2">
        <v>46200</v>
      </c>
      <c r="J354" s="1" t="s">
        <v>24</v>
      </c>
      <c r="K354" s="1">
        <v>1353</v>
      </c>
      <c r="L354" s="1">
        <f t="shared" si="6"/>
        <v>2910.6</v>
      </c>
      <c r="M354" s="1">
        <f t="shared" si="7"/>
        <v>1135320</v>
      </c>
      <c r="N354" s="1" t="str">
        <f t="shared" si="9"/>
        <v>Kiran</v>
      </c>
    </row>
    <row r="355" spans="1:14" x14ac:dyDescent="0.3">
      <c r="A355" s="1" t="s">
        <v>47</v>
      </c>
      <c r="B355" s="1" t="s">
        <v>43</v>
      </c>
      <c r="C355" s="1" t="s">
        <v>34</v>
      </c>
      <c r="D355" s="1" t="s">
        <v>35</v>
      </c>
      <c r="E355" s="1">
        <v>15</v>
      </c>
      <c r="F355" s="1">
        <v>14927</v>
      </c>
      <c r="G355" s="1">
        <v>15</v>
      </c>
      <c r="H355" s="2">
        <v>46118</v>
      </c>
      <c r="I355" s="2">
        <v>46120</v>
      </c>
      <c r="J355" s="1" t="s">
        <v>51</v>
      </c>
      <c r="K355" s="1">
        <v>1354</v>
      </c>
      <c r="L355" s="1">
        <f t="shared" si="6"/>
        <v>190319.25</v>
      </c>
      <c r="M355" s="1">
        <f t="shared" si="7"/>
        <v>1135320</v>
      </c>
      <c r="N355" s="1" t="str">
        <f t="shared" si="9"/>
        <v>Kiran</v>
      </c>
    </row>
    <row r="356" spans="1:14" x14ac:dyDescent="0.3">
      <c r="A356" s="1" t="s">
        <v>27</v>
      </c>
      <c r="B356" s="1" t="s">
        <v>12</v>
      </c>
      <c r="C356" s="1" t="s">
        <v>34</v>
      </c>
      <c r="D356" s="1" t="s">
        <v>60</v>
      </c>
      <c r="E356" s="1">
        <v>18</v>
      </c>
      <c r="F356" s="1">
        <v>35997</v>
      </c>
      <c r="G356" s="1">
        <v>2</v>
      </c>
      <c r="H356" s="2">
        <v>46024</v>
      </c>
      <c r="I356" s="2">
        <v>46031</v>
      </c>
      <c r="J356" s="1" t="s">
        <v>51</v>
      </c>
      <c r="K356" s="1">
        <v>1355</v>
      </c>
      <c r="L356" s="1">
        <f t="shared" si="6"/>
        <v>634987.07999999996</v>
      </c>
      <c r="M356" s="1">
        <f t="shared" si="7"/>
        <v>1135320</v>
      </c>
      <c r="N356" s="1" t="str">
        <f t="shared" si="9"/>
        <v>Kiran</v>
      </c>
    </row>
    <row r="357" spans="1:14" x14ac:dyDescent="0.3">
      <c r="A357" s="1" t="s">
        <v>26</v>
      </c>
      <c r="B357" s="1" t="s">
        <v>38</v>
      </c>
      <c r="C357" s="1" t="s">
        <v>34</v>
      </c>
      <c r="D357" s="1" t="s">
        <v>60</v>
      </c>
      <c r="E357" s="1">
        <v>16</v>
      </c>
      <c r="F357" s="1">
        <v>53457</v>
      </c>
      <c r="G357" s="1">
        <v>10</v>
      </c>
      <c r="H357" s="2">
        <v>46201</v>
      </c>
      <c r="I357" s="2">
        <v>46204</v>
      </c>
      <c r="J357" s="1" t="s">
        <v>15</v>
      </c>
      <c r="K357" s="1">
        <v>1356</v>
      </c>
      <c r="L357" s="1">
        <f t="shared" si="6"/>
        <v>769780.8</v>
      </c>
      <c r="M357" s="1">
        <f t="shared" si="7"/>
        <v>1135320</v>
      </c>
      <c r="N357" s="1" t="str">
        <f t="shared" si="9"/>
        <v>Kiran</v>
      </c>
    </row>
    <row r="358" spans="1:14" x14ac:dyDescent="0.3">
      <c r="A358" s="1" t="s">
        <v>59</v>
      </c>
      <c r="B358" s="1" t="s">
        <v>25</v>
      </c>
      <c r="C358" s="1" t="s">
        <v>13</v>
      </c>
      <c r="D358" s="1" t="s">
        <v>37</v>
      </c>
      <c r="E358" s="1">
        <v>6</v>
      </c>
      <c r="F358" s="1">
        <v>365</v>
      </c>
      <c r="G358" s="1">
        <v>7</v>
      </c>
      <c r="H358" s="2">
        <v>46133</v>
      </c>
      <c r="I358" s="2">
        <v>46140</v>
      </c>
      <c r="J358" s="1" t="s">
        <v>51</v>
      </c>
      <c r="K358" s="1">
        <v>1357</v>
      </c>
      <c r="L358" s="1">
        <f t="shared" si="6"/>
        <v>2036.6999999999998</v>
      </c>
      <c r="M358" s="1">
        <f t="shared" si="7"/>
        <v>1135320</v>
      </c>
      <c r="N358" s="1" t="str">
        <f t="shared" si="9"/>
        <v>Kiran</v>
      </c>
    </row>
    <row r="359" spans="1:14" x14ac:dyDescent="0.3">
      <c r="A359" s="1" t="s">
        <v>40</v>
      </c>
      <c r="B359" s="1" t="s">
        <v>38</v>
      </c>
      <c r="C359" s="1" t="s">
        <v>18</v>
      </c>
      <c r="D359" s="1" t="s">
        <v>19</v>
      </c>
      <c r="E359" s="1">
        <v>7</v>
      </c>
      <c r="F359" s="1">
        <v>6618</v>
      </c>
      <c r="G359" s="1">
        <v>0</v>
      </c>
      <c r="H359" s="2">
        <v>46127</v>
      </c>
      <c r="I359" s="2">
        <v>46129</v>
      </c>
      <c r="J359" s="1" t="s">
        <v>20</v>
      </c>
      <c r="K359" s="1">
        <v>1358</v>
      </c>
      <c r="L359" s="1">
        <f t="shared" si="6"/>
        <v>46326</v>
      </c>
      <c r="M359" s="1">
        <f t="shared" si="7"/>
        <v>1135320</v>
      </c>
      <c r="N359" s="1" t="str">
        <f t="shared" si="9"/>
        <v>Kiran</v>
      </c>
    </row>
    <row r="360" spans="1:14" x14ac:dyDescent="0.3">
      <c r="A360" s="1" t="s">
        <v>54</v>
      </c>
      <c r="B360" s="1" t="s">
        <v>12</v>
      </c>
      <c r="C360" s="1" t="s">
        <v>34</v>
      </c>
      <c r="D360" s="1" t="s">
        <v>61</v>
      </c>
      <c r="E360" s="1">
        <v>9</v>
      </c>
      <c r="F360" s="1">
        <v>38179</v>
      </c>
      <c r="G360" s="1">
        <v>0</v>
      </c>
      <c r="H360" s="2">
        <v>46096</v>
      </c>
      <c r="I360" s="2">
        <v>46099</v>
      </c>
      <c r="J360" s="1" t="s">
        <v>15</v>
      </c>
      <c r="K360" s="1">
        <v>1359</v>
      </c>
      <c r="L360" s="1">
        <f t="shared" si="6"/>
        <v>343611</v>
      </c>
      <c r="M360" s="1">
        <f t="shared" si="7"/>
        <v>1135320</v>
      </c>
      <c r="N360" s="1" t="str">
        <f t="shared" si="9"/>
        <v>Kiran</v>
      </c>
    </row>
    <row r="361" spans="1:14" x14ac:dyDescent="0.3">
      <c r="A361" s="1" t="s">
        <v>11</v>
      </c>
      <c r="B361" s="1" t="s">
        <v>43</v>
      </c>
      <c r="C361" s="1" t="s">
        <v>18</v>
      </c>
      <c r="D361" s="1" t="s">
        <v>23</v>
      </c>
      <c r="E361" s="1">
        <v>19</v>
      </c>
      <c r="F361" s="1">
        <v>6681</v>
      </c>
      <c r="G361" s="1">
        <v>2</v>
      </c>
      <c r="H361" s="2">
        <v>46146</v>
      </c>
      <c r="I361" s="2">
        <v>46150</v>
      </c>
      <c r="J361" s="1" t="s">
        <v>15</v>
      </c>
      <c r="K361" s="1">
        <v>1360</v>
      </c>
      <c r="L361" s="1">
        <f t="shared" si="6"/>
        <v>124400.22</v>
      </c>
      <c r="M361" s="1">
        <f t="shared" si="7"/>
        <v>1135320</v>
      </c>
      <c r="N361" s="1" t="str">
        <f t="shared" si="9"/>
        <v>Kiran</v>
      </c>
    </row>
    <row r="362" spans="1:14" x14ac:dyDescent="0.3">
      <c r="A362" s="1" t="s">
        <v>42</v>
      </c>
      <c r="B362" s="1" t="s">
        <v>17</v>
      </c>
      <c r="C362" s="1" t="s">
        <v>18</v>
      </c>
      <c r="D362" s="1" t="s">
        <v>23</v>
      </c>
      <c r="E362" s="1">
        <v>2</v>
      </c>
      <c r="F362" s="1">
        <v>1822</v>
      </c>
      <c r="G362" s="1">
        <v>5</v>
      </c>
      <c r="H362" s="2">
        <v>46141</v>
      </c>
      <c r="I362" s="2">
        <v>46145</v>
      </c>
      <c r="J362" s="1" t="s">
        <v>20</v>
      </c>
      <c r="K362" s="1">
        <v>1361</v>
      </c>
      <c r="L362" s="1">
        <f t="shared" si="6"/>
        <v>3461.7999999999997</v>
      </c>
      <c r="M362" s="1">
        <f t="shared" si="7"/>
        <v>1135320</v>
      </c>
      <c r="N362" s="1" t="str">
        <f t="shared" si="9"/>
        <v>Kiran</v>
      </c>
    </row>
    <row r="363" spans="1:14" x14ac:dyDescent="0.3">
      <c r="A363" s="1" t="s">
        <v>16</v>
      </c>
      <c r="B363" s="1" t="s">
        <v>12</v>
      </c>
      <c r="C363" s="1" t="s">
        <v>18</v>
      </c>
      <c r="D363" s="1" t="s">
        <v>28</v>
      </c>
      <c r="E363" s="1">
        <v>1</v>
      </c>
      <c r="F363" s="1">
        <v>10474</v>
      </c>
      <c r="G363" s="1">
        <v>0</v>
      </c>
      <c r="H363" s="2">
        <v>46094</v>
      </c>
      <c r="I363" s="2">
        <v>46096</v>
      </c>
      <c r="J363" s="1" t="s">
        <v>29</v>
      </c>
      <c r="K363" s="1">
        <v>1362</v>
      </c>
      <c r="L363" s="1">
        <f t="shared" si="6"/>
        <v>10474</v>
      </c>
      <c r="M363" s="1">
        <f t="shared" si="7"/>
        <v>1135320</v>
      </c>
      <c r="N363" s="1" t="str">
        <f t="shared" si="9"/>
        <v>Kiran</v>
      </c>
    </row>
    <row r="364" spans="1:14" x14ac:dyDescent="0.3">
      <c r="A364" s="1" t="s">
        <v>27</v>
      </c>
      <c r="B364" s="1" t="s">
        <v>25</v>
      </c>
      <c r="C364" s="1" t="s">
        <v>34</v>
      </c>
      <c r="D364" s="1" t="s">
        <v>35</v>
      </c>
      <c r="E364" s="1">
        <v>7</v>
      </c>
      <c r="F364" s="1">
        <v>45381</v>
      </c>
      <c r="G364" s="1">
        <v>0</v>
      </c>
      <c r="H364" s="2">
        <v>46122</v>
      </c>
      <c r="I364" s="2">
        <v>46128</v>
      </c>
      <c r="J364" s="1" t="s">
        <v>15</v>
      </c>
      <c r="K364" s="1">
        <v>1363</v>
      </c>
      <c r="L364" s="1">
        <f t="shared" si="6"/>
        <v>317667</v>
      </c>
      <c r="M364" s="1">
        <f t="shared" si="7"/>
        <v>1135320</v>
      </c>
      <c r="N364" s="1" t="str">
        <f t="shared" si="9"/>
        <v>Kiran</v>
      </c>
    </row>
    <row r="365" spans="1:14" x14ac:dyDescent="0.3">
      <c r="A365" s="1" t="s">
        <v>30</v>
      </c>
      <c r="B365" s="1" t="s">
        <v>22</v>
      </c>
      <c r="C365" s="1" t="s">
        <v>18</v>
      </c>
      <c r="D365" s="1" t="s">
        <v>56</v>
      </c>
      <c r="E365" s="1">
        <v>16</v>
      </c>
      <c r="F365" s="1">
        <v>1744</v>
      </c>
      <c r="G365" s="1">
        <v>15</v>
      </c>
      <c r="H365" s="2">
        <v>46031</v>
      </c>
      <c r="I365" s="2">
        <v>46033</v>
      </c>
      <c r="J365" s="1" t="s">
        <v>51</v>
      </c>
      <c r="K365" s="1">
        <v>1364</v>
      </c>
      <c r="L365" s="1">
        <f t="shared" si="6"/>
        <v>23718.399999999998</v>
      </c>
      <c r="M365" s="1">
        <f t="shared" si="7"/>
        <v>1135320</v>
      </c>
      <c r="N365" s="1" t="str">
        <f t="shared" si="9"/>
        <v>Kiran</v>
      </c>
    </row>
    <row r="366" spans="1:14" x14ac:dyDescent="0.3">
      <c r="A366" s="1" t="s">
        <v>46</v>
      </c>
      <c r="B366" s="1" t="s">
        <v>33</v>
      </c>
      <c r="C366" s="1" t="s">
        <v>13</v>
      </c>
      <c r="D366" s="1" t="s">
        <v>50</v>
      </c>
      <c r="E366" s="1">
        <v>17</v>
      </c>
      <c r="F366" s="1">
        <v>119</v>
      </c>
      <c r="G366" s="1">
        <v>7</v>
      </c>
      <c r="H366" s="2">
        <v>46070</v>
      </c>
      <c r="I366" s="2">
        <v>46072</v>
      </c>
      <c r="J366" s="1" t="s">
        <v>20</v>
      </c>
      <c r="K366" s="1">
        <v>1365</v>
      </c>
      <c r="L366" s="1">
        <f t="shared" si="6"/>
        <v>1881.3899999999999</v>
      </c>
      <c r="M366" s="1">
        <f t="shared" si="7"/>
        <v>1135320</v>
      </c>
      <c r="N366" s="1" t="str">
        <f t="shared" si="9"/>
        <v>Kiran</v>
      </c>
    </row>
    <row r="367" spans="1:14" x14ac:dyDescent="0.3">
      <c r="A367" s="1" t="s">
        <v>26</v>
      </c>
      <c r="B367" s="1" t="s">
        <v>17</v>
      </c>
      <c r="C367" s="1" t="s">
        <v>34</v>
      </c>
      <c r="D367" s="1" t="s">
        <v>61</v>
      </c>
      <c r="E367" s="1">
        <v>20</v>
      </c>
      <c r="F367" s="1">
        <v>44312</v>
      </c>
      <c r="G367" s="1">
        <v>10</v>
      </c>
      <c r="H367" s="2">
        <v>46047</v>
      </c>
      <c r="I367" s="2">
        <v>46054</v>
      </c>
      <c r="J367" s="1" t="s">
        <v>29</v>
      </c>
      <c r="K367" s="1">
        <v>1366</v>
      </c>
      <c r="L367" s="1">
        <f t="shared" si="6"/>
        <v>797616</v>
      </c>
      <c r="M367" s="1">
        <f t="shared" si="7"/>
        <v>1135320</v>
      </c>
      <c r="N367" s="1" t="str">
        <f t="shared" si="9"/>
        <v>Kiran</v>
      </c>
    </row>
    <row r="368" spans="1:14" x14ac:dyDescent="0.3">
      <c r="A368" s="1" t="s">
        <v>54</v>
      </c>
      <c r="B368" s="1" t="s">
        <v>25</v>
      </c>
      <c r="C368" s="1" t="s">
        <v>13</v>
      </c>
      <c r="D368" s="1" t="s">
        <v>53</v>
      </c>
      <c r="E368" s="1">
        <v>1</v>
      </c>
      <c r="F368" s="1">
        <v>371</v>
      </c>
      <c r="G368" s="1">
        <v>5</v>
      </c>
      <c r="H368" s="2">
        <v>46158</v>
      </c>
      <c r="I368" s="2">
        <v>46168</v>
      </c>
      <c r="J368" s="1" t="s">
        <v>29</v>
      </c>
      <c r="K368" s="1">
        <v>1367</v>
      </c>
      <c r="L368" s="1">
        <f t="shared" si="6"/>
        <v>352.45</v>
      </c>
      <c r="M368" s="1">
        <f t="shared" si="7"/>
        <v>1135320</v>
      </c>
      <c r="N368" s="1" t="str">
        <f t="shared" si="9"/>
        <v>Kiran</v>
      </c>
    </row>
    <row r="369" spans="1:14" x14ac:dyDescent="0.3">
      <c r="A369" s="1" t="s">
        <v>55</v>
      </c>
      <c r="B369" s="1" t="s">
        <v>38</v>
      </c>
      <c r="C369" s="1" t="s">
        <v>13</v>
      </c>
      <c r="D369" s="1" t="s">
        <v>36</v>
      </c>
      <c r="E369" s="1">
        <v>9</v>
      </c>
      <c r="F369" s="1">
        <v>115</v>
      </c>
      <c r="G369" s="1">
        <v>0</v>
      </c>
      <c r="H369" s="2">
        <v>46036</v>
      </c>
      <c r="I369" s="2">
        <v>46045</v>
      </c>
      <c r="J369" s="1" t="s">
        <v>24</v>
      </c>
      <c r="K369" s="1">
        <v>1368</v>
      </c>
      <c r="L369" s="1">
        <f t="shared" si="6"/>
        <v>1035</v>
      </c>
      <c r="M369" s="1">
        <f t="shared" si="7"/>
        <v>1135320</v>
      </c>
      <c r="N369" s="1" t="str">
        <f t="shared" si="9"/>
        <v>Kiran</v>
      </c>
    </row>
    <row r="370" spans="1:14" x14ac:dyDescent="0.3">
      <c r="A370" s="1" t="s">
        <v>57</v>
      </c>
      <c r="B370" s="1" t="s">
        <v>25</v>
      </c>
      <c r="C370" s="1" t="s">
        <v>18</v>
      </c>
      <c r="D370" s="1" t="s">
        <v>19</v>
      </c>
      <c r="E370" s="1">
        <v>19</v>
      </c>
      <c r="F370" s="1">
        <v>5840</v>
      </c>
      <c r="G370" s="1">
        <v>5</v>
      </c>
      <c r="H370" s="2">
        <v>46062</v>
      </c>
      <c r="I370" s="2">
        <v>46067</v>
      </c>
      <c r="J370" s="1" t="s">
        <v>15</v>
      </c>
      <c r="K370" s="1">
        <v>1369</v>
      </c>
      <c r="L370" s="1">
        <f t="shared" si="6"/>
        <v>105412</v>
      </c>
      <c r="M370" s="1">
        <f t="shared" si="7"/>
        <v>1135320</v>
      </c>
      <c r="N370" s="1" t="str">
        <f t="shared" si="9"/>
        <v>Kiran</v>
      </c>
    </row>
    <row r="371" spans="1:14" x14ac:dyDescent="0.3">
      <c r="A371" s="1" t="s">
        <v>59</v>
      </c>
      <c r="B371" s="1" t="s">
        <v>38</v>
      </c>
      <c r="C371" s="1" t="s">
        <v>13</v>
      </c>
      <c r="D371" s="1" t="s">
        <v>53</v>
      </c>
      <c r="E371" s="1">
        <v>13</v>
      </c>
      <c r="F371" s="1">
        <v>337</v>
      </c>
      <c r="G371" s="1">
        <v>7</v>
      </c>
      <c r="H371" s="2">
        <v>46184</v>
      </c>
      <c r="I371" s="2">
        <v>46188</v>
      </c>
      <c r="J371" s="1" t="s">
        <v>15</v>
      </c>
      <c r="K371" s="1">
        <v>1370</v>
      </c>
      <c r="L371" s="1">
        <f t="shared" si="6"/>
        <v>4074.33</v>
      </c>
      <c r="M371" s="1">
        <f t="shared" si="7"/>
        <v>1135320</v>
      </c>
      <c r="N371" s="1" t="str">
        <f t="shared" si="9"/>
        <v>Kiran</v>
      </c>
    </row>
    <row r="372" spans="1:14" x14ac:dyDescent="0.3">
      <c r="A372" s="1" t="s">
        <v>48</v>
      </c>
      <c r="B372" s="1" t="s">
        <v>38</v>
      </c>
      <c r="C372" s="1" t="s">
        <v>18</v>
      </c>
      <c r="D372" s="1" t="s">
        <v>19</v>
      </c>
      <c r="E372" s="1">
        <v>19</v>
      </c>
      <c r="F372" s="1">
        <v>1087</v>
      </c>
      <c r="G372" s="1">
        <v>15</v>
      </c>
      <c r="H372" s="2">
        <v>46072</v>
      </c>
      <c r="I372" s="2">
        <v>46082</v>
      </c>
      <c r="J372" s="1" t="s">
        <v>20</v>
      </c>
      <c r="K372" s="1">
        <v>1371</v>
      </c>
      <c r="L372" s="1">
        <f t="shared" si="6"/>
        <v>17555.05</v>
      </c>
      <c r="M372" s="1">
        <f t="shared" si="7"/>
        <v>1135320</v>
      </c>
      <c r="N372" s="1" t="str">
        <f t="shared" si="9"/>
        <v>Kiran</v>
      </c>
    </row>
    <row r="373" spans="1:14" x14ac:dyDescent="0.3">
      <c r="A373" s="1" t="s">
        <v>48</v>
      </c>
      <c r="B373" s="1" t="s">
        <v>17</v>
      </c>
      <c r="C373" s="1" t="s">
        <v>34</v>
      </c>
      <c r="D373" s="1" t="s">
        <v>39</v>
      </c>
      <c r="E373" s="1">
        <v>9</v>
      </c>
      <c r="F373" s="1">
        <v>9551</v>
      </c>
      <c r="G373" s="1">
        <v>10</v>
      </c>
      <c r="H373" s="2">
        <v>46161</v>
      </c>
      <c r="I373" s="2">
        <v>46168</v>
      </c>
      <c r="J373" s="1" t="s">
        <v>15</v>
      </c>
      <c r="K373" s="1">
        <v>1372</v>
      </c>
      <c r="L373" s="1">
        <f t="shared" si="6"/>
        <v>77363.100000000006</v>
      </c>
      <c r="M373" s="1">
        <f t="shared" si="7"/>
        <v>1135320</v>
      </c>
      <c r="N373" s="1" t="str">
        <f t="shared" si="9"/>
        <v>Kiran</v>
      </c>
    </row>
    <row r="374" spans="1:14" x14ac:dyDescent="0.3">
      <c r="A374" s="1" t="s">
        <v>54</v>
      </c>
      <c r="B374" s="1" t="s">
        <v>25</v>
      </c>
      <c r="C374" s="1" t="s">
        <v>34</v>
      </c>
      <c r="D374" s="1" t="s">
        <v>60</v>
      </c>
      <c r="E374" s="1">
        <v>11</v>
      </c>
      <c r="F374" s="1">
        <v>47930</v>
      </c>
      <c r="G374" s="1">
        <v>12</v>
      </c>
      <c r="H374" s="2">
        <v>46191</v>
      </c>
      <c r="I374" s="2">
        <v>46201</v>
      </c>
      <c r="J374" s="1" t="s">
        <v>20</v>
      </c>
      <c r="K374" s="1">
        <v>1373</v>
      </c>
      <c r="L374" s="1">
        <f t="shared" si="6"/>
        <v>463962.4</v>
      </c>
      <c r="M374" s="1">
        <f t="shared" si="7"/>
        <v>1135320</v>
      </c>
      <c r="N374" s="1" t="str">
        <f t="shared" si="9"/>
        <v>Kiran</v>
      </c>
    </row>
    <row r="375" spans="1:14" x14ac:dyDescent="0.3">
      <c r="A375" s="1" t="s">
        <v>57</v>
      </c>
      <c r="B375" s="1" t="s">
        <v>33</v>
      </c>
      <c r="C375" s="1" t="s">
        <v>34</v>
      </c>
      <c r="D375" s="1" t="s">
        <v>35</v>
      </c>
      <c r="E375" s="1">
        <v>12</v>
      </c>
      <c r="F375" s="1">
        <v>66052</v>
      </c>
      <c r="G375" s="1">
        <v>2</v>
      </c>
      <c r="H375" s="2">
        <v>46063</v>
      </c>
      <c r="I375" s="2">
        <v>46066</v>
      </c>
      <c r="J375" s="1" t="s">
        <v>51</v>
      </c>
      <c r="K375" s="1">
        <v>1374</v>
      </c>
      <c r="L375" s="1">
        <f t="shared" si="6"/>
        <v>776771.52</v>
      </c>
      <c r="M375" s="1">
        <f t="shared" si="7"/>
        <v>1135320</v>
      </c>
      <c r="N375" s="1" t="str">
        <f t="shared" si="9"/>
        <v>Kiran</v>
      </c>
    </row>
    <row r="376" spans="1:14" x14ac:dyDescent="0.3">
      <c r="A376" s="1" t="s">
        <v>46</v>
      </c>
      <c r="B376" s="1" t="s">
        <v>43</v>
      </c>
      <c r="C376" s="1" t="s">
        <v>34</v>
      </c>
      <c r="D376" s="1" t="s">
        <v>45</v>
      </c>
      <c r="E376" s="1">
        <v>20</v>
      </c>
      <c r="F376" s="1">
        <v>56766</v>
      </c>
      <c r="G376" s="1">
        <v>0</v>
      </c>
      <c r="H376" s="2">
        <v>46052</v>
      </c>
      <c r="I376" s="2">
        <v>46061</v>
      </c>
      <c r="J376" s="1" t="s">
        <v>24</v>
      </c>
      <c r="K376" s="1">
        <v>1375</v>
      </c>
      <c r="L376" s="1">
        <f t="shared" si="6"/>
        <v>1135320</v>
      </c>
      <c r="M376" s="1">
        <f t="shared" si="7"/>
        <v>1135320</v>
      </c>
      <c r="N376" s="1" t="str">
        <f t="shared" si="9"/>
        <v>Kiran</v>
      </c>
    </row>
    <row r="377" spans="1:14" x14ac:dyDescent="0.3">
      <c r="A377" s="1" t="s">
        <v>52</v>
      </c>
      <c r="B377" s="1" t="s">
        <v>31</v>
      </c>
      <c r="C377" s="1" t="s">
        <v>13</v>
      </c>
      <c r="D377" s="1" t="s">
        <v>50</v>
      </c>
      <c r="E377" s="1">
        <v>20</v>
      </c>
      <c r="F377" s="1">
        <v>429</v>
      </c>
      <c r="G377" s="1">
        <v>5</v>
      </c>
      <c r="H377" s="2">
        <v>46178</v>
      </c>
      <c r="I377" s="2">
        <v>46184</v>
      </c>
      <c r="J377" s="1" t="s">
        <v>20</v>
      </c>
      <c r="K377" s="1">
        <v>1376</v>
      </c>
      <c r="L377" s="1">
        <f t="shared" si="6"/>
        <v>8151</v>
      </c>
      <c r="M377" s="1">
        <f t="shared" si="7"/>
        <v>662688</v>
      </c>
      <c r="N377" s="1" t="str">
        <f t="shared" si="9"/>
        <v>Vikram</v>
      </c>
    </row>
    <row r="378" spans="1:14" x14ac:dyDescent="0.3">
      <c r="A378" s="1" t="s">
        <v>32</v>
      </c>
      <c r="B378" s="1" t="s">
        <v>38</v>
      </c>
      <c r="C378" s="1" t="s">
        <v>18</v>
      </c>
      <c r="D378" s="1" t="s">
        <v>19</v>
      </c>
      <c r="E378" s="1">
        <v>3</v>
      </c>
      <c r="F378" s="1">
        <v>5480</v>
      </c>
      <c r="G378" s="1">
        <v>12</v>
      </c>
      <c r="H378" s="2">
        <v>46105</v>
      </c>
      <c r="I378" s="2">
        <v>46111</v>
      </c>
      <c r="J378" s="1" t="s">
        <v>24</v>
      </c>
      <c r="K378" s="1">
        <v>1377</v>
      </c>
      <c r="L378" s="1">
        <f t="shared" si="6"/>
        <v>14467.2</v>
      </c>
      <c r="M378" s="1">
        <f t="shared" si="7"/>
        <v>662688</v>
      </c>
      <c r="N378" s="1" t="str">
        <f t="shared" si="9"/>
        <v>Vikram</v>
      </c>
    </row>
    <row r="379" spans="1:14" x14ac:dyDescent="0.3">
      <c r="A379" s="1" t="s">
        <v>55</v>
      </c>
      <c r="B379" s="1" t="s">
        <v>22</v>
      </c>
      <c r="C379" s="1" t="s">
        <v>34</v>
      </c>
      <c r="D379" s="1" t="s">
        <v>45</v>
      </c>
      <c r="E379" s="1">
        <v>15</v>
      </c>
      <c r="F379" s="1">
        <v>22693</v>
      </c>
      <c r="G379" s="1">
        <v>12</v>
      </c>
      <c r="H379" s="2">
        <v>46074</v>
      </c>
      <c r="I379" s="2">
        <v>46080</v>
      </c>
      <c r="J379" s="1" t="s">
        <v>51</v>
      </c>
      <c r="K379" s="1">
        <v>1378</v>
      </c>
      <c r="L379" s="1">
        <f t="shared" si="6"/>
        <v>299547.59999999998</v>
      </c>
      <c r="M379" s="1">
        <f t="shared" si="7"/>
        <v>662688</v>
      </c>
      <c r="N379" s="1" t="str">
        <f t="shared" si="9"/>
        <v>Vikram</v>
      </c>
    </row>
    <row r="380" spans="1:14" x14ac:dyDescent="0.3">
      <c r="A380" s="1" t="s">
        <v>47</v>
      </c>
      <c r="B380" s="1" t="s">
        <v>17</v>
      </c>
      <c r="C380" s="1" t="s">
        <v>13</v>
      </c>
      <c r="D380" s="1" t="s">
        <v>14</v>
      </c>
      <c r="E380" s="1">
        <v>11</v>
      </c>
      <c r="F380" s="1">
        <v>136</v>
      </c>
      <c r="G380" s="1">
        <v>15</v>
      </c>
      <c r="H380" s="2">
        <v>46106</v>
      </c>
      <c r="I380" s="2">
        <v>46107</v>
      </c>
      <c r="J380" s="1" t="s">
        <v>20</v>
      </c>
      <c r="K380" s="1">
        <v>1379</v>
      </c>
      <c r="L380" s="1">
        <f t="shared" si="6"/>
        <v>1271.5999999999999</v>
      </c>
      <c r="M380" s="1">
        <f t="shared" si="7"/>
        <v>662688</v>
      </c>
      <c r="N380" s="1" t="str">
        <f t="shared" si="9"/>
        <v>Vikram</v>
      </c>
    </row>
    <row r="381" spans="1:14" x14ac:dyDescent="0.3">
      <c r="A381" s="1" t="s">
        <v>52</v>
      </c>
      <c r="B381" s="1" t="s">
        <v>43</v>
      </c>
      <c r="C381" s="1" t="s">
        <v>13</v>
      </c>
      <c r="D381" s="1" t="s">
        <v>53</v>
      </c>
      <c r="E381" s="1">
        <v>3</v>
      </c>
      <c r="F381" s="1">
        <v>412</v>
      </c>
      <c r="G381" s="1">
        <v>7</v>
      </c>
      <c r="H381" s="2">
        <v>46128</v>
      </c>
      <c r="I381" s="2">
        <v>46138</v>
      </c>
      <c r="J381" s="1" t="s">
        <v>24</v>
      </c>
      <c r="K381" s="1">
        <v>1380</v>
      </c>
      <c r="L381" s="1">
        <f t="shared" si="6"/>
        <v>1149.48</v>
      </c>
      <c r="M381" s="1">
        <f t="shared" si="7"/>
        <v>662688</v>
      </c>
      <c r="N381" s="1" t="str">
        <f t="shared" si="9"/>
        <v>Vikram</v>
      </c>
    </row>
    <row r="382" spans="1:14" x14ac:dyDescent="0.3">
      <c r="A382" s="1" t="s">
        <v>55</v>
      </c>
      <c r="B382" s="1" t="s">
        <v>33</v>
      </c>
      <c r="C382" s="1" t="s">
        <v>18</v>
      </c>
      <c r="D382" s="1" t="s">
        <v>28</v>
      </c>
      <c r="E382" s="1">
        <v>5</v>
      </c>
      <c r="F382" s="1">
        <v>7484</v>
      </c>
      <c r="G382" s="1">
        <v>2</v>
      </c>
      <c r="H382" s="2">
        <v>46089</v>
      </c>
      <c r="I382" s="2">
        <v>46093</v>
      </c>
      <c r="J382" s="1" t="s">
        <v>20</v>
      </c>
      <c r="K382" s="1">
        <v>1381</v>
      </c>
      <c r="L382" s="1">
        <f t="shared" si="6"/>
        <v>36671.599999999999</v>
      </c>
      <c r="M382" s="1">
        <f t="shared" si="7"/>
        <v>662688</v>
      </c>
      <c r="N382" s="1" t="str">
        <f t="shared" si="9"/>
        <v>Vikram</v>
      </c>
    </row>
    <row r="383" spans="1:14" x14ac:dyDescent="0.3">
      <c r="A383" s="1" t="s">
        <v>49</v>
      </c>
      <c r="B383" s="1" t="s">
        <v>33</v>
      </c>
      <c r="C383" s="1" t="s">
        <v>34</v>
      </c>
      <c r="D383" s="1" t="s">
        <v>60</v>
      </c>
      <c r="E383" s="1">
        <v>11</v>
      </c>
      <c r="F383" s="1">
        <v>36198</v>
      </c>
      <c r="G383" s="1">
        <v>0</v>
      </c>
      <c r="H383" s="2">
        <v>46130</v>
      </c>
      <c r="I383" s="2">
        <v>46134</v>
      </c>
      <c r="J383" s="1" t="s">
        <v>15</v>
      </c>
      <c r="K383" s="1">
        <v>1382</v>
      </c>
      <c r="L383" s="1">
        <f t="shared" si="6"/>
        <v>398178</v>
      </c>
      <c r="M383" s="1">
        <f t="shared" si="7"/>
        <v>662688</v>
      </c>
      <c r="N383" s="1" t="str">
        <f t="shared" si="9"/>
        <v>Vikram</v>
      </c>
    </row>
    <row r="384" spans="1:14" x14ac:dyDescent="0.3">
      <c r="A384" s="1" t="s">
        <v>32</v>
      </c>
      <c r="B384" s="1" t="s">
        <v>12</v>
      </c>
      <c r="C384" s="1" t="s">
        <v>13</v>
      </c>
      <c r="D384" s="1" t="s">
        <v>53</v>
      </c>
      <c r="E384" s="1">
        <v>14</v>
      </c>
      <c r="F384" s="1">
        <v>334</v>
      </c>
      <c r="G384" s="1">
        <v>10</v>
      </c>
      <c r="H384" s="2">
        <v>46196</v>
      </c>
      <c r="I384" s="2">
        <v>46203</v>
      </c>
      <c r="J384" s="1" t="s">
        <v>15</v>
      </c>
      <c r="K384" s="1">
        <v>1383</v>
      </c>
      <c r="L384" s="1">
        <f t="shared" si="6"/>
        <v>4208.4000000000005</v>
      </c>
      <c r="M384" s="1">
        <f t="shared" si="7"/>
        <v>662688</v>
      </c>
      <c r="N384" s="1" t="str">
        <f t="shared" si="9"/>
        <v>Vikram</v>
      </c>
    </row>
    <row r="385" spans="1:14" x14ac:dyDescent="0.3">
      <c r="A385" s="1" t="s">
        <v>59</v>
      </c>
      <c r="B385" s="1" t="s">
        <v>12</v>
      </c>
      <c r="C385" s="1" t="s">
        <v>34</v>
      </c>
      <c r="D385" s="1" t="s">
        <v>39</v>
      </c>
      <c r="E385" s="1">
        <v>15</v>
      </c>
      <c r="F385" s="1">
        <v>38116</v>
      </c>
      <c r="G385" s="1">
        <v>0</v>
      </c>
      <c r="H385" s="2">
        <v>46074</v>
      </c>
      <c r="I385" s="2">
        <v>46078</v>
      </c>
      <c r="J385" s="1" t="s">
        <v>29</v>
      </c>
      <c r="K385" s="1">
        <v>1384</v>
      </c>
      <c r="L385" s="1">
        <f t="shared" si="6"/>
        <v>571740</v>
      </c>
      <c r="M385" s="1">
        <f t="shared" si="7"/>
        <v>662688</v>
      </c>
      <c r="N385" s="1" t="str">
        <f t="shared" si="9"/>
        <v>Vikram</v>
      </c>
    </row>
    <row r="386" spans="1:14" x14ac:dyDescent="0.3">
      <c r="A386" s="1" t="s">
        <v>26</v>
      </c>
      <c r="B386" s="1" t="s">
        <v>33</v>
      </c>
      <c r="C386" s="1" t="s">
        <v>34</v>
      </c>
      <c r="D386" s="1" t="s">
        <v>39</v>
      </c>
      <c r="E386" s="1">
        <v>12</v>
      </c>
      <c r="F386" s="1">
        <v>61360</v>
      </c>
      <c r="G386" s="1">
        <v>10</v>
      </c>
      <c r="H386" s="2">
        <v>46048</v>
      </c>
      <c r="I386" s="2">
        <v>46053</v>
      </c>
      <c r="J386" s="1" t="s">
        <v>51</v>
      </c>
      <c r="K386" s="1">
        <v>1385</v>
      </c>
      <c r="L386" s="1">
        <f t="shared" si="6"/>
        <v>662688</v>
      </c>
      <c r="M386" s="1">
        <f t="shared" si="7"/>
        <v>662688</v>
      </c>
      <c r="N386" s="1" t="str">
        <f t="shared" si="9"/>
        <v>Vikram</v>
      </c>
    </row>
    <row r="387" spans="1:14" x14ac:dyDescent="0.3">
      <c r="A387" s="1" t="s">
        <v>27</v>
      </c>
      <c r="B387" s="1" t="s">
        <v>31</v>
      </c>
      <c r="C387" s="1" t="s">
        <v>18</v>
      </c>
      <c r="D387" s="1" t="s">
        <v>28</v>
      </c>
      <c r="E387" s="1">
        <v>9</v>
      </c>
      <c r="F387" s="1">
        <v>7509</v>
      </c>
      <c r="G387" s="1">
        <v>5</v>
      </c>
      <c r="H387" s="2">
        <v>46162</v>
      </c>
      <c r="I387" s="2">
        <v>46171</v>
      </c>
      <c r="J387" s="1" t="s">
        <v>51</v>
      </c>
      <c r="K387" s="1">
        <v>1386</v>
      </c>
      <c r="L387" s="1">
        <f t="shared" si="6"/>
        <v>64201.95</v>
      </c>
      <c r="M387" s="1">
        <f t="shared" si="7"/>
        <v>590581.75</v>
      </c>
      <c r="N387" s="1" t="str">
        <f t="shared" ref="N387:N401" si="10">_xlfn.XLOOKUP(M387,L387:L786,A387:A786)</f>
        <v>Manoj</v>
      </c>
    </row>
    <row r="388" spans="1:14" x14ac:dyDescent="0.3">
      <c r="A388" s="1" t="s">
        <v>54</v>
      </c>
      <c r="B388" s="1" t="s">
        <v>33</v>
      </c>
      <c r="C388" s="1" t="s">
        <v>34</v>
      </c>
      <c r="D388" s="1" t="s">
        <v>35</v>
      </c>
      <c r="E388" s="1">
        <v>11</v>
      </c>
      <c r="F388" s="1">
        <v>56515</v>
      </c>
      <c r="G388" s="1">
        <v>5</v>
      </c>
      <c r="H388" s="2">
        <v>46102</v>
      </c>
      <c r="I388" s="2">
        <v>46112</v>
      </c>
      <c r="J388" s="1" t="s">
        <v>24</v>
      </c>
      <c r="K388" s="1">
        <v>1387</v>
      </c>
      <c r="L388" s="1">
        <f t="shared" si="6"/>
        <v>590581.75</v>
      </c>
      <c r="M388" s="1">
        <f t="shared" si="7"/>
        <v>590581.75</v>
      </c>
      <c r="N388" s="1" t="str">
        <f t="shared" si="10"/>
        <v>Manoj</v>
      </c>
    </row>
    <row r="389" spans="1:14" x14ac:dyDescent="0.3">
      <c r="A389" s="1" t="s">
        <v>55</v>
      </c>
      <c r="B389" s="1" t="s">
        <v>31</v>
      </c>
      <c r="C389" s="1" t="s">
        <v>18</v>
      </c>
      <c r="D389" s="1" t="s">
        <v>28</v>
      </c>
      <c r="E389" s="1">
        <v>12</v>
      </c>
      <c r="F389" s="1">
        <v>11662</v>
      </c>
      <c r="G389" s="1">
        <v>12</v>
      </c>
      <c r="H389" s="2">
        <v>46094</v>
      </c>
      <c r="I389" s="2">
        <v>46096</v>
      </c>
      <c r="J389" s="1" t="s">
        <v>20</v>
      </c>
      <c r="K389" s="1">
        <v>1388</v>
      </c>
      <c r="L389" s="1">
        <f t="shared" si="6"/>
        <v>123150.72</v>
      </c>
      <c r="M389" s="1">
        <f t="shared" si="7"/>
        <v>579141.54999999993</v>
      </c>
      <c r="N389" s="1" t="str">
        <f t="shared" si="10"/>
        <v>Deepak</v>
      </c>
    </row>
    <row r="390" spans="1:14" x14ac:dyDescent="0.3">
      <c r="A390" s="1" t="s">
        <v>32</v>
      </c>
      <c r="B390" s="1" t="s">
        <v>12</v>
      </c>
      <c r="C390" s="1" t="s">
        <v>34</v>
      </c>
      <c r="D390" s="1" t="s">
        <v>41</v>
      </c>
      <c r="E390" s="1">
        <v>3</v>
      </c>
      <c r="F390" s="1">
        <v>56380</v>
      </c>
      <c r="G390" s="1">
        <v>5</v>
      </c>
      <c r="H390" s="2">
        <v>46044</v>
      </c>
      <c r="I390" s="2">
        <v>46048</v>
      </c>
      <c r="J390" s="1" t="s">
        <v>51</v>
      </c>
      <c r="K390" s="1">
        <v>1389</v>
      </c>
      <c r="L390" s="1">
        <f t="shared" si="6"/>
        <v>160683</v>
      </c>
      <c r="M390" s="1">
        <f t="shared" si="7"/>
        <v>579141.54999999993</v>
      </c>
      <c r="N390" s="1" t="str">
        <f t="shared" si="10"/>
        <v>Deepak</v>
      </c>
    </row>
    <row r="391" spans="1:14" x14ac:dyDescent="0.3">
      <c r="A391" s="1" t="s">
        <v>58</v>
      </c>
      <c r="B391" s="1" t="s">
        <v>43</v>
      </c>
      <c r="C391" s="1" t="s">
        <v>18</v>
      </c>
      <c r="D391" s="1" t="s">
        <v>19</v>
      </c>
      <c r="E391" s="1">
        <v>9</v>
      </c>
      <c r="F391" s="1">
        <v>7670</v>
      </c>
      <c r="G391" s="1">
        <v>0</v>
      </c>
      <c r="H391" s="2">
        <v>46076</v>
      </c>
      <c r="I391" s="2">
        <v>46081</v>
      </c>
      <c r="J391" s="1" t="s">
        <v>51</v>
      </c>
      <c r="K391" s="1">
        <v>1390</v>
      </c>
      <c r="L391" s="1">
        <f t="shared" si="6"/>
        <v>69030</v>
      </c>
      <c r="M391" s="1">
        <f t="shared" si="7"/>
        <v>579141.54999999993</v>
      </c>
      <c r="N391" s="1" t="str">
        <f t="shared" si="10"/>
        <v>Deepak</v>
      </c>
    </row>
    <row r="392" spans="1:14" x14ac:dyDescent="0.3">
      <c r="A392" s="1" t="s">
        <v>30</v>
      </c>
      <c r="B392" s="1" t="s">
        <v>31</v>
      </c>
      <c r="C392" s="1" t="s">
        <v>34</v>
      </c>
      <c r="D392" s="1" t="s">
        <v>35</v>
      </c>
      <c r="E392" s="1">
        <v>5</v>
      </c>
      <c r="F392" s="1">
        <v>65270</v>
      </c>
      <c r="G392" s="1">
        <v>5</v>
      </c>
      <c r="H392" s="2">
        <v>46100</v>
      </c>
      <c r="I392" s="2">
        <v>46103</v>
      </c>
      <c r="J392" s="1" t="s">
        <v>24</v>
      </c>
      <c r="K392" s="1">
        <v>1391</v>
      </c>
      <c r="L392" s="1">
        <f t="shared" si="6"/>
        <v>310032.5</v>
      </c>
      <c r="M392" s="1">
        <f t="shared" si="7"/>
        <v>579141.54999999993</v>
      </c>
      <c r="N392" s="1" t="str">
        <f t="shared" si="10"/>
        <v>Deepak</v>
      </c>
    </row>
    <row r="393" spans="1:14" x14ac:dyDescent="0.3">
      <c r="A393" s="1" t="s">
        <v>29</v>
      </c>
      <c r="B393" s="1" t="s">
        <v>43</v>
      </c>
      <c r="C393" s="1" t="s">
        <v>34</v>
      </c>
      <c r="D393" s="1" t="s">
        <v>35</v>
      </c>
      <c r="E393" s="1">
        <v>13</v>
      </c>
      <c r="F393" s="1">
        <v>23903</v>
      </c>
      <c r="G393" s="1">
        <v>5</v>
      </c>
      <c r="H393" s="2">
        <v>46124</v>
      </c>
      <c r="I393" s="2">
        <v>46125</v>
      </c>
      <c r="J393" s="1" t="s">
        <v>29</v>
      </c>
      <c r="K393" s="1">
        <v>1392</v>
      </c>
      <c r="L393" s="1">
        <f t="shared" si="6"/>
        <v>295202.05</v>
      </c>
      <c r="M393" s="1">
        <f t="shared" si="7"/>
        <v>579141.54999999993</v>
      </c>
      <c r="N393" s="1" t="str">
        <f t="shared" si="10"/>
        <v>Deepak</v>
      </c>
    </row>
    <row r="394" spans="1:14" x14ac:dyDescent="0.3">
      <c r="A394" s="1" t="s">
        <v>30</v>
      </c>
      <c r="B394" s="1" t="s">
        <v>25</v>
      </c>
      <c r="C394" s="1" t="s">
        <v>34</v>
      </c>
      <c r="D394" s="1" t="s">
        <v>45</v>
      </c>
      <c r="E394" s="1">
        <v>17</v>
      </c>
      <c r="F394" s="1">
        <v>30351</v>
      </c>
      <c r="G394" s="1">
        <v>15</v>
      </c>
      <c r="H394" s="2">
        <v>46047</v>
      </c>
      <c r="I394" s="2">
        <v>46051</v>
      </c>
      <c r="J394" s="1" t="s">
        <v>51</v>
      </c>
      <c r="K394" s="1">
        <v>1393</v>
      </c>
      <c r="L394" s="1">
        <f t="shared" si="6"/>
        <v>438571.95</v>
      </c>
      <c r="M394" s="1">
        <f t="shared" si="7"/>
        <v>579141.54999999993</v>
      </c>
      <c r="N394" s="1" t="str">
        <f t="shared" si="10"/>
        <v>Deepak</v>
      </c>
    </row>
    <row r="395" spans="1:14" x14ac:dyDescent="0.3">
      <c r="A395" s="1" t="s">
        <v>54</v>
      </c>
      <c r="B395" s="1" t="s">
        <v>12</v>
      </c>
      <c r="C395" s="1" t="s">
        <v>13</v>
      </c>
      <c r="D395" s="1" t="s">
        <v>14</v>
      </c>
      <c r="E395" s="1">
        <v>10</v>
      </c>
      <c r="F395" s="1">
        <v>138</v>
      </c>
      <c r="G395" s="1">
        <v>2</v>
      </c>
      <c r="H395" s="2">
        <v>46056</v>
      </c>
      <c r="I395" s="2">
        <v>46057</v>
      </c>
      <c r="J395" s="1" t="s">
        <v>15</v>
      </c>
      <c r="K395" s="1">
        <v>1394</v>
      </c>
      <c r="L395" s="1">
        <f t="shared" si="6"/>
        <v>1352.3999999999999</v>
      </c>
      <c r="M395" s="1">
        <f t="shared" si="7"/>
        <v>579141.54999999993</v>
      </c>
      <c r="N395" s="1" t="str">
        <f t="shared" si="10"/>
        <v>Deepak</v>
      </c>
    </row>
    <row r="396" spans="1:14" x14ac:dyDescent="0.3">
      <c r="A396" s="1" t="s">
        <v>54</v>
      </c>
      <c r="B396" s="1" t="s">
        <v>33</v>
      </c>
      <c r="C396" s="1" t="s">
        <v>18</v>
      </c>
      <c r="D396" s="1" t="s">
        <v>44</v>
      </c>
      <c r="E396" s="1">
        <v>18</v>
      </c>
      <c r="F396" s="1">
        <v>10402</v>
      </c>
      <c r="G396" s="1">
        <v>15</v>
      </c>
      <c r="H396" s="2">
        <v>46062</v>
      </c>
      <c r="I396" s="2">
        <v>46067</v>
      </c>
      <c r="J396" s="1" t="s">
        <v>29</v>
      </c>
      <c r="K396" s="1">
        <v>1395</v>
      </c>
      <c r="L396" s="1">
        <f t="shared" si="6"/>
        <v>159150.6</v>
      </c>
      <c r="M396" s="1">
        <f t="shared" si="7"/>
        <v>579141.54999999993</v>
      </c>
      <c r="N396" s="1" t="str">
        <f t="shared" si="10"/>
        <v>Deepak</v>
      </c>
    </row>
    <row r="397" spans="1:14" x14ac:dyDescent="0.3">
      <c r="A397" s="1" t="s">
        <v>21</v>
      </c>
      <c r="B397" s="1" t="s">
        <v>38</v>
      </c>
      <c r="C397" s="1" t="s">
        <v>13</v>
      </c>
      <c r="D397" s="1" t="s">
        <v>53</v>
      </c>
      <c r="E397" s="1">
        <v>8</v>
      </c>
      <c r="F397" s="1">
        <v>54</v>
      </c>
      <c r="G397" s="1">
        <v>15</v>
      </c>
      <c r="H397" s="2">
        <v>46031</v>
      </c>
      <c r="I397" s="2">
        <v>46035</v>
      </c>
      <c r="J397" s="1" t="s">
        <v>15</v>
      </c>
      <c r="K397" s="1">
        <v>1396</v>
      </c>
      <c r="L397" s="1">
        <f t="shared" si="6"/>
        <v>367.2</v>
      </c>
      <c r="M397" s="1">
        <f t="shared" si="7"/>
        <v>579141.54999999993</v>
      </c>
      <c r="N397" s="1" t="str">
        <f t="shared" si="10"/>
        <v>Deepak</v>
      </c>
    </row>
    <row r="398" spans="1:14" x14ac:dyDescent="0.3">
      <c r="A398" s="1" t="s">
        <v>21</v>
      </c>
      <c r="B398" s="1" t="s">
        <v>33</v>
      </c>
      <c r="C398" s="1" t="s">
        <v>18</v>
      </c>
      <c r="D398" s="1" t="s">
        <v>23</v>
      </c>
      <c r="E398" s="1">
        <v>1</v>
      </c>
      <c r="F398" s="1">
        <v>8948</v>
      </c>
      <c r="G398" s="1">
        <v>5</v>
      </c>
      <c r="H398" s="2">
        <v>46194</v>
      </c>
      <c r="I398" s="2">
        <v>46201</v>
      </c>
      <c r="J398" s="1" t="s">
        <v>51</v>
      </c>
      <c r="K398" s="1">
        <v>1397</v>
      </c>
      <c r="L398" s="1">
        <f t="shared" si="6"/>
        <v>8500.6</v>
      </c>
      <c r="M398" s="1">
        <f t="shared" si="7"/>
        <v>579141.54999999993</v>
      </c>
      <c r="N398" s="1" t="str">
        <f t="shared" si="10"/>
        <v>Deepak</v>
      </c>
    </row>
    <row r="399" spans="1:14" x14ac:dyDescent="0.3">
      <c r="A399" s="1" t="s">
        <v>58</v>
      </c>
      <c r="B399" s="1" t="s">
        <v>43</v>
      </c>
      <c r="C399" s="1" t="s">
        <v>34</v>
      </c>
      <c r="D399" s="1" t="s">
        <v>39</v>
      </c>
      <c r="E399" s="1">
        <v>12</v>
      </c>
      <c r="F399" s="1">
        <v>10668</v>
      </c>
      <c r="G399" s="1">
        <v>0</v>
      </c>
      <c r="H399" s="2">
        <v>46170</v>
      </c>
      <c r="I399" s="2">
        <v>46176</v>
      </c>
      <c r="J399" s="1" t="s">
        <v>15</v>
      </c>
      <c r="K399" s="1">
        <v>1398</v>
      </c>
      <c r="L399" s="1">
        <f t="shared" si="6"/>
        <v>128016</v>
      </c>
      <c r="M399" s="1">
        <f t="shared" si="7"/>
        <v>579141.54999999993</v>
      </c>
      <c r="N399" s="1" t="str">
        <f t="shared" si="10"/>
        <v>Deepak</v>
      </c>
    </row>
    <row r="400" spans="1:14" x14ac:dyDescent="0.3">
      <c r="A400" s="1" t="s">
        <v>48</v>
      </c>
      <c r="B400" s="1" t="s">
        <v>31</v>
      </c>
      <c r="C400" s="1" t="s">
        <v>13</v>
      </c>
      <c r="D400" s="1" t="s">
        <v>14</v>
      </c>
      <c r="E400" s="1">
        <v>15</v>
      </c>
      <c r="F400" s="1">
        <v>87</v>
      </c>
      <c r="G400" s="1">
        <v>15</v>
      </c>
      <c r="H400" s="2">
        <v>46089</v>
      </c>
      <c r="I400" s="2">
        <v>46093</v>
      </c>
      <c r="J400" s="1" t="s">
        <v>20</v>
      </c>
      <c r="K400" s="1">
        <v>1399</v>
      </c>
      <c r="L400" s="1">
        <f t="shared" si="6"/>
        <v>1109.25</v>
      </c>
      <c r="M400" s="1">
        <f t="shared" si="7"/>
        <v>579141.54999999993</v>
      </c>
      <c r="N400" s="1" t="str">
        <f t="shared" si="10"/>
        <v>Deepak</v>
      </c>
    </row>
    <row r="401" spans="1:14" x14ac:dyDescent="0.3">
      <c r="A401" s="1" t="s">
        <v>40</v>
      </c>
      <c r="B401" s="1" t="s">
        <v>22</v>
      </c>
      <c r="C401" s="1" t="s">
        <v>34</v>
      </c>
      <c r="D401" s="1" t="s">
        <v>35</v>
      </c>
      <c r="E401" s="1">
        <v>13</v>
      </c>
      <c r="F401" s="1">
        <v>52411</v>
      </c>
      <c r="G401" s="1">
        <v>15</v>
      </c>
      <c r="H401" s="2">
        <v>46090</v>
      </c>
      <c r="I401" s="2">
        <v>46092</v>
      </c>
      <c r="J401" s="1" t="s">
        <v>20</v>
      </c>
      <c r="K401" s="1">
        <v>1400</v>
      </c>
      <c r="L401" s="1">
        <f t="shared" si="6"/>
        <v>579141.54999999993</v>
      </c>
      <c r="M401" s="1">
        <f t="shared" si="7"/>
        <v>579141.54999999993</v>
      </c>
      <c r="N401" s="1" t="str">
        <f t="shared" si="10"/>
        <v>Deepak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SalesData</vt:lpstr>
      <vt:lpstr>Sales_Report</vt:lpstr>
      <vt:lpstr>Q2</vt:lpstr>
      <vt:lpstr>Q3</vt:lpstr>
      <vt:lpstr>Q3_PART 2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User</dc:creator>
  <cp:lastModifiedBy>Mr User</cp:lastModifiedBy>
  <dcterms:created xsi:type="dcterms:W3CDTF">2026-08-08T12:55:01Z</dcterms:created>
  <dcterms:modified xsi:type="dcterms:W3CDTF">2026-08-27T06:32:14Z</dcterms:modified>
</cp:coreProperties>
</file>